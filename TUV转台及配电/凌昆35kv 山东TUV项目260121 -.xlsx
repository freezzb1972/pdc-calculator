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slindgren-my.sharepoint.com/personal/zhu_zhengbing_ets-lindgren_com/Documents/Sales Project/YangBin/TUV ChangZhou/TUV shandong/报价/"/>
    </mc:Choice>
  </mc:AlternateContent>
  <xr:revisionPtr revIDLastSave="10" documentId="13_ncr:1_{DFF8FF83-9B5E-4BB7-8320-31C9A946D8D5}" xr6:coauthVersionLast="47" xr6:coauthVersionMax="47" xr10:uidLastSave="{0F97FB5F-659D-4AD2-9C2D-B8FBA4ECC2CB}"/>
  <bookViews>
    <workbookView xWindow="-98" yWindow="-98" windowWidth="19396" windowHeight="11475" xr2:uid="{F8CE36A9-0492-4451-97F2-3D9420AE03A1}"/>
  </bookViews>
  <sheets>
    <sheet name="沃姆克报价" sheetId="1" r:id="rId1"/>
    <sheet name="坚力报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2" l="1"/>
  <c r="F8" i="1"/>
  <c r="G4" i="1"/>
  <c r="G5" i="1"/>
  <c r="G6" i="1"/>
  <c r="G7" i="1"/>
  <c r="G3" i="1"/>
  <c r="G8" i="1" l="1"/>
</calcChain>
</file>

<file path=xl/sharedStrings.xml><?xml version="1.0" encoding="utf-8"?>
<sst xmlns="http://schemas.openxmlformats.org/spreadsheetml/2006/main" count="23" uniqueCount="23">
  <si>
    <t>凌昆35KVAC  800A项目报价</t>
    <phoneticPr fontId="1" type="noConversion"/>
  </si>
  <si>
    <r>
      <t xml:space="preserve">•	四线4x200A 50/60 Hz 电源滤波器（中国）
</t>
    </r>
    <r>
      <rPr>
        <sz val="11"/>
        <color theme="1"/>
        <rFont val="Wingdings"/>
        <family val="2"/>
        <charset val="2"/>
      </rPr>
      <t></t>
    </r>
    <r>
      <rPr>
        <sz val="11"/>
        <color theme="1"/>
        <rFont val="等线"/>
        <family val="2"/>
        <charset val="134"/>
        <scheme val="minor"/>
      </rPr>
      <t xml:space="preserve">	1个用于EUT三相380VAC/200A，用于大转台区域交流充电桩输出用电，通过能量链供电</t>
    </r>
    <phoneticPr fontId="1" type="noConversion"/>
  </si>
  <si>
    <t>•	三相四线 7,000A， 1,500V，通过能量链供电，用于大转台区域供电，可用于逆变器  PF182-1500/15000VAC/T</t>
    <phoneticPr fontId="1" type="noConversion"/>
  </si>
  <si>
    <t xml:space="preserve">•	直流两线 10,000A 3,000V，通过能量链供电，用于大转台区域供电，可用于逆变器  </t>
    <phoneticPr fontId="1" type="noConversion"/>
  </si>
  <si>
    <t>•	定制35KVAC x 500A用于35KVAC x 800A三相三线供电</t>
    <phoneticPr fontId="1" type="noConversion"/>
  </si>
  <si>
    <t>客户描述</t>
    <phoneticPr fontId="1" type="noConversion"/>
  </si>
  <si>
    <t>客户数量</t>
    <phoneticPr fontId="1" type="noConversion"/>
  </si>
  <si>
    <t>WEMC型号</t>
    <phoneticPr fontId="1" type="noConversion"/>
  </si>
  <si>
    <t>WEMC数量</t>
    <phoneticPr fontId="1" type="noConversion"/>
  </si>
  <si>
    <t>其他</t>
    <phoneticPr fontId="1" type="noConversion"/>
  </si>
  <si>
    <t>PF462C-200</t>
    <phoneticPr fontId="1" type="noConversion"/>
  </si>
  <si>
    <t>金额</t>
    <phoneticPr fontId="1" type="noConversion"/>
  </si>
  <si>
    <t>单价</t>
    <phoneticPr fontId="1" type="noConversion"/>
  </si>
  <si>
    <t>PF162-1500/3000VDC/ET</t>
    <phoneticPr fontId="1" type="noConversion"/>
  </si>
  <si>
    <t>PF162-800/35KVAC/ET</t>
    <phoneticPr fontId="1" type="noConversion"/>
  </si>
  <si>
    <t>合计</t>
    <phoneticPr fontId="1" type="noConversion"/>
  </si>
  <si>
    <t>此滤波器为单线滤波器，一个三相三线供电，需要3个这样的滤波器</t>
    <phoneticPr fontId="1" type="noConversion"/>
  </si>
  <si>
    <t>此滤波器为单线滤波器，1500A每线*7个滤波器并联为10000A使用需求。一个直流两线供电，需要14个这样的滤波器</t>
    <phoneticPr fontId="1" type="noConversion"/>
  </si>
  <si>
    <t>此滤波器为单线滤波器，1500A每线*5个滤波器并联为7000A使用需求。一个三相四线供电，需要20个这样的滤波器</t>
    <phoneticPr fontId="1" type="noConversion"/>
  </si>
  <si>
    <t>确认是2台？WEMC猜想1500VAC可能是4台</t>
    <phoneticPr fontId="1" type="noConversion"/>
  </si>
  <si>
    <t xml:space="preserve">•	定制单线滤波器，2,000A、1,500VAC  50/60 Hz，通过能量链供电，用于大转台区域供电，可用于逆变器 </t>
    <phoneticPr fontId="1" type="noConversion"/>
  </si>
  <si>
    <t>PF162-2000/1500VAC/ET</t>
    <phoneticPr fontId="1" type="noConversion"/>
  </si>
  <si>
    <t>PF162-1500/15000VAC/ET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</si>
</sst>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Wingdings"/>
      <family val="2"/>
      <charset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208228</xdr:colOff>
      <xdr:row>5</xdr:row>
      <xdr:rowOff>14175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1B8B62D-D537-828B-1BB9-C34220552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71428" cy="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CABD-8442-498B-8CFF-21825DB8723A}">
  <dimension ref="B1:H11"/>
  <sheetViews>
    <sheetView tabSelected="1" zoomScale="85" zoomScaleNormal="85" workbookViewId="0">
      <selection activeCell="F3" sqref="F3:F4"/>
    </sheetView>
  </sheetViews>
  <sheetFormatPr defaultRowHeight="13.9" x14ac:dyDescent="0.4"/>
  <cols>
    <col min="2" max="2" width="43.06640625" customWidth="1"/>
    <col min="3" max="3" width="9.73046875" customWidth="1"/>
    <col min="4" max="4" width="25.53125" customWidth="1"/>
    <col min="5" max="5" width="12.265625" customWidth="1"/>
    <col min="6" max="6" width="6.86328125" customWidth="1"/>
    <col min="7" max="7" width="14.6640625" customWidth="1"/>
    <col min="8" max="8" width="41.73046875" style="1" customWidth="1"/>
    <col min="9" max="9" width="18.796875" customWidth="1"/>
  </cols>
  <sheetData>
    <row r="1" spans="2:8" ht="23.25" customHeight="1" x14ac:dyDescent="0.4">
      <c r="B1" s="10" t="s">
        <v>0</v>
      </c>
      <c r="C1" s="11"/>
      <c r="D1" s="11"/>
      <c r="E1" s="11"/>
      <c r="F1" s="11"/>
      <c r="G1" s="11"/>
      <c r="H1" s="11"/>
    </row>
    <row r="2" spans="2:8" ht="29.65" customHeight="1" x14ac:dyDescent="0.4">
      <c r="B2" s="8" t="s">
        <v>5</v>
      </c>
      <c r="C2" s="3" t="s">
        <v>6</v>
      </c>
      <c r="D2" s="3" t="s">
        <v>7</v>
      </c>
      <c r="E2" s="3" t="s">
        <v>12</v>
      </c>
      <c r="F2" s="3" t="s">
        <v>8</v>
      </c>
      <c r="G2" s="3" t="s">
        <v>11</v>
      </c>
      <c r="H2" s="3" t="s">
        <v>9</v>
      </c>
    </row>
    <row r="3" spans="2:8" ht="54" customHeight="1" x14ac:dyDescent="0.4">
      <c r="B3" s="2" t="s">
        <v>1</v>
      </c>
      <c r="C3" s="6">
        <v>1</v>
      </c>
      <c r="D3" s="6" t="s">
        <v>10</v>
      </c>
      <c r="E3" s="6">
        <v>15162</v>
      </c>
      <c r="F3" s="6">
        <v>1</v>
      </c>
      <c r="G3" s="6">
        <f>F3*E3</f>
        <v>15162</v>
      </c>
      <c r="H3" s="7"/>
    </row>
    <row r="4" spans="2:8" ht="54" customHeight="1" x14ac:dyDescent="0.4">
      <c r="B4" s="2" t="s">
        <v>20</v>
      </c>
      <c r="C4" s="6">
        <v>2</v>
      </c>
      <c r="D4" s="6" t="s">
        <v>21</v>
      </c>
      <c r="E4" s="6">
        <v>48880</v>
      </c>
      <c r="F4" s="6">
        <v>2</v>
      </c>
      <c r="G4" s="6">
        <f>F4*E4</f>
        <v>97760</v>
      </c>
      <c r="H4" s="7" t="s">
        <v>19</v>
      </c>
    </row>
    <row r="5" spans="2:8" ht="54" customHeight="1" x14ac:dyDescent="0.4">
      <c r="B5" s="2" t="s">
        <v>2</v>
      </c>
      <c r="C5" s="6">
        <v>1</v>
      </c>
      <c r="D5" s="6" t="s">
        <v>22</v>
      </c>
      <c r="E5" s="6">
        <v>36880</v>
      </c>
      <c r="F5" s="6">
        <v>20</v>
      </c>
      <c r="G5" s="6">
        <f>F5*E5</f>
        <v>737600</v>
      </c>
      <c r="H5" s="7" t="s">
        <v>18</v>
      </c>
    </row>
    <row r="6" spans="2:8" ht="54" customHeight="1" x14ac:dyDescent="0.4">
      <c r="B6" s="2" t="s">
        <v>3</v>
      </c>
      <c r="C6" s="6">
        <v>1</v>
      </c>
      <c r="D6" s="6" t="s">
        <v>13</v>
      </c>
      <c r="E6" s="6">
        <v>33900</v>
      </c>
      <c r="F6" s="6">
        <v>14</v>
      </c>
      <c r="G6" s="6">
        <f>F6*E6</f>
        <v>474600</v>
      </c>
      <c r="H6" s="7" t="s">
        <v>17</v>
      </c>
    </row>
    <row r="7" spans="2:8" ht="54" customHeight="1" x14ac:dyDescent="0.4">
      <c r="B7" s="2" t="s">
        <v>4</v>
      </c>
      <c r="C7" s="6">
        <v>1</v>
      </c>
      <c r="D7" s="6" t="s">
        <v>14</v>
      </c>
      <c r="E7" s="6">
        <v>308000</v>
      </c>
      <c r="F7" s="6">
        <v>3</v>
      </c>
      <c r="G7" s="6">
        <f>F7*E7</f>
        <v>924000</v>
      </c>
      <c r="H7" s="7" t="s">
        <v>16</v>
      </c>
    </row>
    <row r="8" spans="2:8" ht="24" customHeight="1" x14ac:dyDescent="0.4">
      <c r="B8" s="9" t="s">
        <v>15</v>
      </c>
      <c r="C8" s="9"/>
      <c r="D8" s="9"/>
      <c r="E8" s="9"/>
      <c r="F8" s="4">
        <f>SUM(F3:F7)</f>
        <v>40</v>
      </c>
      <c r="G8" s="4">
        <f>SUM(G3:G7)</f>
        <v>2249122</v>
      </c>
      <c r="H8" s="5"/>
    </row>
    <row r="9" spans="2:8" x14ac:dyDescent="0.4">
      <c r="B9" s="1"/>
    </row>
    <row r="10" spans="2:8" x14ac:dyDescent="0.4">
      <c r="B10" s="1"/>
    </row>
    <row r="11" spans="2:8" x14ac:dyDescent="0.4">
      <c r="B11" s="1"/>
    </row>
  </sheetData>
  <mergeCells count="2">
    <mergeCell ref="B8:E8"/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9BE8-9E96-40F1-B837-AD0AF37FDD06}">
  <dimension ref="Q3:Q6"/>
  <sheetViews>
    <sheetView workbookViewId="0">
      <selection activeCell="Q6" sqref="Q6"/>
    </sheetView>
  </sheetViews>
  <sheetFormatPr defaultRowHeight="13.9" x14ac:dyDescent="0.4"/>
  <sheetData>
    <row r="3" spans="17:17" x14ac:dyDescent="0.4">
      <c r="Q3">
        <v>780000</v>
      </c>
    </row>
    <row r="4" spans="17:17" x14ac:dyDescent="0.4">
      <c r="Q4">
        <v>560000</v>
      </c>
    </row>
    <row r="5" spans="17:17" x14ac:dyDescent="0.4">
      <c r="Q5">
        <v>370000</v>
      </c>
    </row>
    <row r="6" spans="17:17" x14ac:dyDescent="0.4">
      <c r="Q6">
        <f>SUM(Q3:Q5)</f>
        <v>1710000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沃姆克报价</vt:lpstr>
      <vt:lpstr>坚力报价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 顾</dc:creator>
  <cp:lastModifiedBy>Zhu Zhengbing</cp:lastModifiedBy>
  <dcterms:created xsi:type="dcterms:W3CDTF">2026-01-21T04:55:12Z</dcterms:created>
  <dcterms:modified xsi:type="dcterms:W3CDTF">2026-01-23T08:39:46Z</dcterms:modified>
</cp:coreProperties>
</file>