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方案\销售部工程方案\张亮\2025\NAST整车OTA预算和分项报价2025.4.24\2025.10.28\"/>
    </mc:Choice>
  </mc:AlternateContent>
  <xr:revisionPtr revIDLastSave="0" documentId="13_ncr:1_{5D7D92BF-A5CF-4FC7-B64C-863880F520C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5" i="3"/>
  <c r="F4" i="3"/>
  <c r="F3" i="3"/>
  <c r="F2" i="3"/>
  <c r="F16" i="3" l="1"/>
  <c r="F17" i="3" s="1"/>
  <c r="F18" i="3" s="1"/>
</calcChain>
</file>

<file path=xl/sharedStrings.xml><?xml version="1.0" encoding="utf-8"?>
<sst xmlns="http://schemas.openxmlformats.org/spreadsheetml/2006/main" count="51" uniqueCount="28">
  <si>
    <t>物料号</t>
    <phoneticPr fontId="3" type="noConversion"/>
  </si>
  <si>
    <t>数量</t>
  </si>
  <si>
    <t>单位</t>
  </si>
  <si>
    <t>描述</t>
  </si>
  <si>
    <t>单价</t>
    <phoneticPr fontId="5" type="noConversion"/>
  </si>
  <si>
    <t>M</t>
    <phoneticPr fontId="5" type="noConversion"/>
  </si>
  <si>
    <t>配电辅料</t>
    <phoneticPr fontId="5" type="noConversion"/>
  </si>
  <si>
    <t>人工</t>
    <phoneticPr fontId="5" type="noConversion"/>
  </si>
  <si>
    <t xml:space="preserve">ANI </t>
    <phoneticPr fontId="5" type="noConversion"/>
  </si>
  <si>
    <t xml:space="preserve">EA </t>
    <phoneticPr fontId="5" type="noConversion"/>
  </si>
  <si>
    <t>辅助配电柜AP1-1</t>
    <phoneticPr fontId="5" type="noConversion"/>
  </si>
  <si>
    <t>BJ254075</t>
  </si>
  <si>
    <t>BJ254084</t>
  </si>
  <si>
    <t>软电缆3*185mm+2*95(工作电压1000V)</t>
    <phoneticPr fontId="5" type="noConversion"/>
  </si>
  <si>
    <t>软电缆4*150mm+1*70(工作电压600V)</t>
    <phoneticPr fontId="5" type="noConversion"/>
  </si>
  <si>
    <t>BJ254085</t>
  </si>
  <si>
    <t>软电缆4*240+1*150mm(工作电压1000V)</t>
  </si>
  <si>
    <t>软电缆5*35mm(工作电压600V)阻燃</t>
    <phoneticPr fontId="5" type="noConversion"/>
  </si>
  <si>
    <t>软电缆3*16mm(工作电压600V)阻燃</t>
    <phoneticPr fontId="5" type="noConversion"/>
  </si>
  <si>
    <t>软电缆1*240(工作电压1500V)</t>
    <phoneticPr fontId="5" type="noConversion"/>
  </si>
  <si>
    <t>软电缆4*70mm+1*35(工作电压1000V)</t>
  </si>
  <si>
    <t>镀锌线槽</t>
    <phoneticPr fontId="5" type="noConversion"/>
  </si>
  <si>
    <t>材料合计</t>
    <phoneticPr fontId="5" type="noConversion"/>
  </si>
  <si>
    <t>总合计</t>
    <phoneticPr fontId="5" type="noConversion"/>
  </si>
  <si>
    <t>注：不含税金</t>
    <phoneticPr fontId="5" type="noConversion"/>
  </si>
  <si>
    <t>软电缆3*6mm(工作电压600V)阻燃</t>
    <phoneticPr fontId="2" type="noConversion"/>
  </si>
  <si>
    <t>软电缆3*2.5mm(工作电压600V)阻燃</t>
    <phoneticPr fontId="2" type="noConversion"/>
  </si>
  <si>
    <t>软电缆5*6mm(工作电压600V)阻燃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</si>
</sst>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8"/>
      <name val="仿宋"/>
      <family val="3"/>
      <charset val="134"/>
    </font>
    <font>
      <sz val="9"/>
      <name val="等线"/>
      <family val="3"/>
      <charset val="134"/>
      <scheme val="minor"/>
    </font>
    <font>
      <sz val="12"/>
      <color indexed="10"/>
      <name val="Times New Roman"/>
      <family val="1"/>
    </font>
    <font>
      <sz val="8"/>
      <color theme="1"/>
      <name val="仿宋"/>
      <family val="3"/>
      <charset val="134"/>
    </font>
    <font>
      <sz val="9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4" fillId="3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FBF3-A5DE-4F01-B40A-2A4BE5F81DC3}">
  <dimension ref="A1:F19"/>
  <sheetViews>
    <sheetView tabSelected="1" zoomScale="175" zoomScaleNormal="175" workbookViewId="0">
      <selection activeCell="J7" sqref="J7"/>
    </sheetView>
  </sheetViews>
  <sheetFormatPr defaultRowHeight="13.9" x14ac:dyDescent="0.4"/>
  <cols>
    <col min="4" max="4" width="33.730468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2"/>
    </row>
    <row r="2" spans="1:6" x14ac:dyDescent="0.4">
      <c r="A2" s="6" t="s">
        <v>8</v>
      </c>
      <c r="B2" s="6">
        <v>1</v>
      </c>
      <c r="C2" s="6" t="s">
        <v>9</v>
      </c>
      <c r="D2" s="6" t="s">
        <v>10</v>
      </c>
      <c r="E2" s="6">
        <v>85544</v>
      </c>
      <c r="F2" s="6">
        <f>E2*B2</f>
        <v>85544</v>
      </c>
    </row>
    <row r="3" spans="1:6" x14ac:dyDescent="0.4">
      <c r="A3" s="9" t="s">
        <v>11</v>
      </c>
      <c r="B3" s="9">
        <v>14</v>
      </c>
      <c r="C3" s="9" t="s">
        <v>5</v>
      </c>
      <c r="D3" s="9" t="s">
        <v>14</v>
      </c>
      <c r="E3" s="9">
        <v>861.94600000000003</v>
      </c>
      <c r="F3" s="9">
        <f t="shared" ref="F3:F15" si="0">E3*B3</f>
        <v>12067.244000000001</v>
      </c>
    </row>
    <row r="4" spans="1:6" x14ac:dyDescent="0.4">
      <c r="A4" s="9" t="s">
        <v>12</v>
      </c>
      <c r="B4" s="9">
        <v>110</v>
      </c>
      <c r="C4" s="9" t="s">
        <v>5</v>
      </c>
      <c r="D4" s="9" t="s">
        <v>13</v>
      </c>
      <c r="E4" s="9">
        <v>930</v>
      </c>
      <c r="F4" s="9">
        <f t="shared" si="0"/>
        <v>102300</v>
      </c>
    </row>
    <row r="5" spans="1:6" x14ac:dyDescent="0.4">
      <c r="A5" s="9" t="s">
        <v>15</v>
      </c>
      <c r="B5" s="9">
        <v>35</v>
      </c>
      <c r="C5" s="9" t="s">
        <v>5</v>
      </c>
      <c r="D5" s="9" t="s">
        <v>16</v>
      </c>
      <c r="E5" s="9">
        <v>1120</v>
      </c>
      <c r="F5" s="9">
        <f t="shared" si="0"/>
        <v>39200</v>
      </c>
    </row>
    <row r="6" spans="1:6" x14ac:dyDescent="0.4">
      <c r="A6" s="6" t="s">
        <v>8</v>
      </c>
      <c r="B6" s="6">
        <v>64</v>
      </c>
      <c r="C6" s="6" t="s">
        <v>5</v>
      </c>
      <c r="D6" s="6" t="s">
        <v>17</v>
      </c>
      <c r="E6" s="6">
        <v>136</v>
      </c>
      <c r="F6" s="6">
        <f t="shared" si="0"/>
        <v>8704</v>
      </c>
    </row>
    <row r="7" spans="1:6" x14ac:dyDescent="0.4">
      <c r="A7" s="6" t="s">
        <v>8</v>
      </c>
      <c r="B7" s="6">
        <v>215</v>
      </c>
      <c r="C7" s="6" t="s">
        <v>5</v>
      </c>
      <c r="D7" s="6" t="s">
        <v>18</v>
      </c>
      <c r="E7" s="6">
        <v>42.9</v>
      </c>
      <c r="F7" s="6">
        <f t="shared" si="0"/>
        <v>9223.5</v>
      </c>
    </row>
    <row r="8" spans="1:6" x14ac:dyDescent="0.4">
      <c r="A8" s="6" t="s">
        <v>8</v>
      </c>
      <c r="B8" s="6">
        <v>180</v>
      </c>
      <c r="C8" s="6" t="s">
        <v>5</v>
      </c>
      <c r="D8" s="6" t="s">
        <v>25</v>
      </c>
      <c r="E8" s="6">
        <v>16</v>
      </c>
      <c r="F8" s="6">
        <f t="shared" si="0"/>
        <v>2880</v>
      </c>
    </row>
    <row r="9" spans="1:6" x14ac:dyDescent="0.4">
      <c r="A9" s="6" t="s">
        <v>8</v>
      </c>
      <c r="B9" s="6">
        <v>200</v>
      </c>
      <c r="C9" s="6" t="s">
        <v>5</v>
      </c>
      <c r="D9" s="6" t="s">
        <v>26</v>
      </c>
      <c r="E9" s="6">
        <v>7.3</v>
      </c>
      <c r="F9" s="6">
        <f t="shared" si="0"/>
        <v>1460</v>
      </c>
    </row>
    <row r="10" spans="1:6" x14ac:dyDescent="0.4">
      <c r="A10" s="6" t="s">
        <v>8</v>
      </c>
      <c r="B10" s="6">
        <v>210</v>
      </c>
      <c r="C10" s="6" t="s">
        <v>5</v>
      </c>
      <c r="D10" s="6" t="s">
        <v>25</v>
      </c>
      <c r="E10" s="6">
        <v>16</v>
      </c>
      <c r="F10" s="6">
        <f t="shared" si="0"/>
        <v>3360</v>
      </c>
    </row>
    <row r="11" spans="1:6" x14ac:dyDescent="0.4">
      <c r="A11" s="6" t="s">
        <v>8</v>
      </c>
      <c r="B11" s="6">
        <v>150</v>
      </c>
      <c r="C11" s="6" t="s">
        <v>5</v>
      </c>
      <c r="D11" s="6" t="s">
        <v>27</v>
      </c>
      <c r="E11" s="6">
        <v>27</v>
      </c>
      <c r="F11" s="6">
        <f t="shared" si="0"/>
        <v>4050</v>
      </c>
    </row>
    <row r="12" spans="1:6" x14ac:dyDescent="0.4">
      <c r="A12" s="6" t="s">
        <v>8</v>
      </c>
      <c r="B12" s="6">
        <v>80</v>
      </c>
      <c r="C12" s="6" t="s">
        <v>5</v>
      </c>
      <c r="D12" s="6" t="s">
        <v>19</v>
      </c>
      <c r="E12" s="6">
        <v>386</v>
      </c>
      <c r="F12" s="6">
        <f t="shared" si="0"/>
        <v>30880</v>
      </c>
    </row>
    <row r="13" spans="1:6" x14ac:dyDescent="0.4">
      <c r="A13" s="6" t="s">
        <v>8</v>
      </c>
      <c r="B13" s="6">
        <v>25</v>
      </c>
      <c r="C13" s="6" t="s">
        <v>5</v>
      </c>
      <c r="D13" s="6" t="s">
        <v>20</v>
      </c>
      <c r="E13" s="6">
        <v>325</v>
      </c>
      <c r="F13" s="6">
        <f t="shared" si="0"/>
        <v>8125</v>
      </c>
    </row>
    <row r="14" spans="1:6" x14ac:dyDescent="0.4">
      <c r="A14" s="9" t="s">
        <v>8</v>
      </c>
      <c r="B14" s="9">
        <v>60</v>
      </c>
      <c r="C14" s="9" t="s">
        <v>9</v>
      </c>
      <c r="D14" s="9" t="s">
        <v>21</v>
      </c>
      <c r="E14" s="9">
        <v>280</v>
      </c>
      <c r="F14" s="9">
        <f t="shared" si="0"/>
        <v>16800</v>
      </c>
    </row>
    <row r="15" spans="1:6" x14ac:dyDescent="0.4">
      <c r="A15" s="6" t="s">
        <v>8</v>
      </c>
      <c r="B15" s="6">
        <v>1</v>
      </c>
      <c r="C15" s="6" t="s">
        <v>9</v>
      </c>
      <c r="D15" s="6" t="s">
        <v>6</v>
      </c>
      <c r="E15" s="6">
        <v>13000</v>
      </c>
      <c r="F15" s="6">
        <f t="shared" si="0"/>
        <v>13000</v>
      </c>
    </row>
    <row r="16" spans="1:6" x14ac:dyDescent="0.4">
      <c r="A16" s="4"/>
      <c r="B16" s="4"/>
      <c r="C16" s="4"/>
      <c r="D16" s="4"/>
      <c r="E16" s="4" t="s">
        <v>22</v>
      </c>
      <c r="F16" s="4">
        <f>SUM(F2:F15)</f>
        <v>337593.74400000001</v>
      </c>
    </row>
    <row r="17" spans="1:6" x14ac:dyDescent="0.4">
      <c r="A17" s="4"/>
      <c r="B17" s="4"/>
      <c r="C17" s="4"/>
      <c r="D17" s="4"/>
      <c r="E17" s="4" t="s">
        <v>7</v>
      </c>
      <c r="F17" s="4">
        <f>F16*0.2</f>
        <v>67518.748800000001</v>
      </c>
    </row>
    <row r="18" spans="1:6" x14ac:dyDescent="0.4">
      <c r="A18" s="4"/>
      <c r="B18" s="4"/>
      <c r="C18" s="4"/>
      <c r="D18" s="4"/>
      <c r="E18" s="5" t="s">
        <v>23</v>
      </c>
      <c r="F18" s="5">
        <f>F16+F17</f>
        <v>405112.49280000001</v>
      </c>
    </row>
    <row r="19" spans="1:6" x14ac:dyDescent="0.4">
      <c r="A19" s="7" t="s">
        <v>24</v>
      </c>
      <c r="B19" s="8"/>
      <c r="C19" s="8"/>
      <c r="D19" s="8"/>
      <c r="E19" s="8"/>
      <c r="F19" s="8"/>
    </row>
  </sheetData>
  <protectedRanges>
    <protectedRange password="EADA" sqref="A1:D1" name="区域1_1_1_39"/>
  </protectedRanges>
  <mergeCells count="1">
    <mergeCell ref="A19:F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Haipeng</dc:creator>
  <cp:lastModifiedBy>Zhang Haipeng</cp:lastModifiedBy>
  <dcterms:created xsi:type="dcterms:W3CDTF">2015-06-05T18:19:34Z</dcterms:created>
  <dcterms:modified xsi:type="dcterms:W3CDTF">2025-10-28T08:35:50Z</dcterms:modified>
</cp:coreProperties>
</file>