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C\PDC\"/>
    </mc:Choice>
  </mc:AlternateContent>
  <xr:revisionPtr revIDLastSave="0" documentId="8_{B0A7C5B2-FC2F-4B12-B344-307D9E7112F7}" xr6:coauthVersionLast="47" xr6:coauthVersionMax="47" xr10:uidLastSave="{00000000-0000-0000-0000-000000000000}"/>
  <bookViews>
    <workbookView xWindow="-110" yWindow="-110" windowWidth="19420" windowHeight="11500" xr2:uid="{C888E4FF-993C-459C-AF2D-EAC1098478C9}"/>
  </bookViews>
  <sheets>
    <sheet name="China Filter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op1" hidden="1">#REF!</definedName>
    <definedName name="__op1ac" hidden="1">#REF!</definedName>
    <definedName name="_Fill" hidden="1">#REF!</definedName>
    <definedName name="_Key1">'[2]Item Master'!$R$12</definedName>
    <definedName name="_Key1b" hidden="1">#REF!</definedName>
    <definedName name="_Key1bac" hidden="1">#REF!</definedName>
    <definedName name="_op1" hidden="1">#REF!</definedName>
    <definedName name="_op10">#REF!</definedName>
    <definedName name="_op11">#REF!</definedName>
    <definedName name="_op12">#REF!</definedName>
    <definedName name="_op13">#REF!</definedName>
    <definedName name="_op14">#REF!</definedName>
    <definedName name="_op15">#REF!</definedName>
    <definedName name="_op16">#REF!</definedName>
    <definedName name="_op17">#REF!</definedName>
    <definedName name="_op1ac" hidden="1">#REF!</definedName>
    <definedName name="_op2">#REF!</definedName>
    <definedName name="_op3">#REF!</definedName>
    <definedName name="_op4">#REF!</definedName>
    <definedName name="_op5">#REF!</definedName>
    <definedName name="_op6">#REF!</definedName>
    <definedName name="_op7">#REF!</definedName>
    <definedName name="_op8">#REF!</definedName>
    <definedName name="_op9">#REF!</definedName>
    <definedName name="_Order1">255</definedName>
    <definedName name="_Sort">'[2]Item Master'!$R$12:$Z$16</definedName>
    <definedName name="_Sortb" hidden="1">#REF!</definedName>
    <definedName name="_Sortbac" hidden="1">#REF!</definedName>
    <definedName name="_SUM1">'[2]Item Master'!$A$1:$Q$64</definedName>
    <definedName name="_SUM2">'[2]Item Master'!$A$1:$Z$64</definedName>
    <definedName name="_SUM3">'[2]Item Master'!$A$1:$AH$64</definedName>
    <definedName name="_SUM4">'[2]Item Master'!$A$1:$AP$64</definedName>
    <definedName name="aaa">'[3]#8 Database Ferrite  Finland'!$C$39</definedName>
    <definedName name="ABSORBER">'[2]Item Master'!$AY$1:$BK$64</definedName>
    <definedName name="ACSCount">[4]Estimate!#REF!</definedName>
    <definedName name="addfurring">[4]Shield!$E$27</definedName>
    <definedName name="Agilent_EMC_Discount">20%</definedName>
    <definedName name="Agilnet_Discount">0.8</definedName>
    <definedName name="ap" hidden="1">#REF!</definedName>
    <definedName name="apac" hidden="1">#REF!</definedName>
    <definedName name="AR_Discount">0.85</definedName>
    <definedName name="Area">[4]Shield!$B$5</definedName>
    <definedName name="Asia_Shielding">'[4]Lookup tables'!$E$19</definedName>
    <definedName name="Aurora">[4]Magnets!$A$194:$AC$206</definedName>
    <definedName name="AuroraOptions">[4]Magnets!$G$194:$G$206</definedName>
    <definedName name="Baserate">'[4]Field Labor Rate 2019'!$E$5</definedName>
    <definedName name="Bruker">[4]Magnets!$A$207:$AF$235</definedName>
    <definedName name="Brukeroptions">[4]Magnets!$G$207:$G$235</definedName>
    <definedName name="cctv">'[5]PM Selections'!$J$41</definedName>
    <definedName name="cellscrap1212" comment="5% scrap factor">0.25</definedName>
    <definedName name="cellscrap1228" comment="scrap % is 30%">0.25</definedName>
    <definedName name="cellscrap1818" comment="scrap % is 25%">0.25</definedName>
    <definedName name="cellscrap2828" comment="using a 16% scrap">0.1</definedName>
    <definedName name="CONTROL_ROOM">'[2]Item Master'!$AQ$1:$AX$64</definedName>
    <definedName name="coppercellfloorsqft">'[4]Lookup name'!$C$736</definedName>
    <definedName name="copperwallssqft">'[4]Lookup name'!$C$751</definedName>
    <definedName name="COPY">'[2]Item Master'!$A$1:$DE$64</definedName>
    <definedName name="CPI_Discount">1</definedName>
    <definedName name="CurrentYear">2013</definedName>
    <definedName name="dfjdlk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fjdlk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EMC_Partner_Discount">1</definedName>
    <definedName name="equipmentfreight">300</definedName>
    <definedName name="ETSL_Standard_Discount">0</definedName>
    <definedName name="FERRITE">'[2]Item Master'!$AI$1:$AP$62</definedName>
    <definedName name="floor">[4]calcs!$G$3</definedName>
    <definedName name="FREIGHT">'[2]Item Master'!$DG$1:$DM$41</definedName>
    <definedName name="GDPFilter">[4]Estimate!$H$330</definedName>
    <definedName name="GDPfilterSalesPrice" comment="standard sales price per DBG">450</definedName>
    <definedName name="GDPpersqftsaleprice">245</definedName>
    <definedName name="GDPSalesPrice" comment="standard sales price per DBG for a 2x2 light">980</definedName>
    <definedName name="ge">[4]Magnets!$A$59:$R$100</definedName>
    <definedName name="geoptions">[4]Magnets!$G$59:$G$100</definedName>
    <definedName name="hasgoldsealvibro">[4]calcs!$I$3</definedName>
    <definedName name="hasunistrut">[4]Shield!$E$42</definedName>
    <definedName name="Height">[4]Shield!$B$3</definedName>
    <definedName name="HITACHI">[4]Magnets!$A$150:$AH$185</definedName>
    <definedName name="HitachiOptions">[4]Magnets!$G$150:$G$185</definedName>
    <definedName name="IC">'[4]Cell room'!$M$2</definedName>
    <definedName name="IMRIS">[4]Magnets!$A$236:$AH$306</definedName>
    <definedName name="IMRISoptions">[4]Magnets!$G$236:$G$306</definedName>
    <definedName name="INSTALLATION">'[2]Item Master'!$R$1:$Z$57</definedName>
    <definedName name="installationtraveltime">[4]Estimate!$M$672</definedName>
    <definedName name="interior">[4]calcs!$U$25</definedName>
    <definedName name="jobnum">[4]calcs!$E$6</definedName>
    <definedName name="kattoruuvi">'[6]#8 Database Ferrite  Finland'!$C$39</definedName>
    <definedName name="LabelWW">'[4]Lookup name'!$A$238:$A$246</definedName>
    <definedName name="Length">[4]Shield!$B$1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ac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ac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Tsalestaxwebsites">#REF!</definedName>
    <definedName name="magneticlaborcost">[4]Estimate!$L$674</definedName>
    <definedName name="magnetictravelcost">[4]Estimate!$L$672</definedName>
    <definedName name="MAGNETS">[4]calcs!$CF$3:$CF$29</definedName>
    <definedName name="Mark_up_Generic">0.1</definedName>
    <definedName name="MARKUP">[4]Estimate!$H$81</definedName>
    <definedName name="MATERIAL">'[2]Item Master'!$I$1:$Q$55</definedName>
    <definedName name="Metric">[4]calcs!$E$3</definedName>
    <definedName name="MFLaborRate">'[4]Overhead Mat Labor'!$I$1</definedName>
    <definedName name="MMACS">[4]Estimate!#REF!</definedName>
    <definedName name="MMFERROGUARD">[4]Estimate!#REF!</definedName>
    <definedName name="mono3ozsqft">'[4]Lookup name'!$C$716</definedName>
    <definedName name="mono6ozsqft">'[4]Lookup name'!$C$717</definedName>
    <definedName name="No_discount">0%</definedName>
    <definedName name="OC">'[4]Cell room'!$N$2</definedName>
    <definedName name="ONI">[4]Magnets!$A$186:$AB$193</definedName>
    <definedName name="ONIoptions">[4]Magnets!$G$186:$G$193</definedName>
    <definedName name="op" hidden="1">#REF!</definedName>
    <definedName name="opac" hidden="1">#REF!</definedName>
    <definedName name="ostohinta">'[6]#8 Database Ferrite  Finland'!$B$5</definedName>
    <definedName name="panel_width">[4]Shield!$C$7</definedName>
    <definedName name="PANELS">'[2]Item Master'!$CF$1:$CP$64</definedName>
    <definedName name="parent_height">[4]Estimate!$H$79</definedName>
    <definedName name="parts">[4]parts!$1:$1048576</definedName>
    <definedName name="Perimeter">[4]Shield!$B$4</definedName>
    <definedName name="Philips">[4]Magnets!$A$3:$J$58</definedName>
    <definedName name="philipsoptions">[4]Magnets!$G$3:$G$58</definedName>
    <definedName name="PNLHinches">'[4]Cell room'!$K$5</definedName>
    <definedName name="PNLLinches">'[4]Cell room'!$H$5</definedName>
    <definedName name="PNLWinches">'[4]Cell room'!$E$5</definedName>
    <definedName name="ppcabinet">'[4]PE Selections'!$J$38</definedName>
    <definedName name="PROJSUM">'[2]Item Master'!$A$1:$H$72</definedName>
    <definedName name="QualificationTest">500/(1+[4]Estimate!$G$820)</definedName>
    <definedName name="RF_test_site_visit">'[4]Lookup name'!$A$692:$A$705</definedName>
    <definedName name="rrrr">#REF!</definedName>
    <definedName name="RS_Discount">0.95</definedName>
    <definedName name="ScrapFactor" comment="this factor has been a consistent number in the previous estimate sheet and is fairly accurate">[4]Estimate!$M$543</definedName>
    <definedName name="Select_State_Tax_Rate">'[4]Lookup tables'!$H$204:$H$257</definedName>
    <definedName name="Selectlabortype">'[4]Lookup name'!$A$793:$A$798</definedName>
    <definedName name="SERVICE_COMPONENTS">'[4]Lookup name'!$A$650:$A$652</definedName>
    <definedName name="SHIELD">'[2]Item Master'!$AA$1:$AH$59</definedName>
    <definedName name="Shield_Height">[4]Shield!$B$3</definedName>
    <definedName name="shieldlaborcost">[4]Estimate!$K$674</definedName>
    <definedName name="shieldtravelcost">[4]Estimate!$K$672</definedName>
    <definedName name="SIEMENS">[4]Magnets!$A$101:$U$137</definedName>
    <definedName name="SiemensOptions">[4]Magnets!$G$101:$G$137</definedName>
    <definedName name="SiliconSteelInstall" comment="Per the highly confident Mike Bresnahan he feels this most accurate">0.35</definedName>
    <definedName name="skeletal">'[4]Window Wall 1'!$H$39</definedName>
    <definedName name="sss">'[3]#8 Database Ferrite  Finland'!$B$5</definedName>
    <definedName name="standardmfglaborpercent">0.08</definedName>
    <definedName name="Statetaxtables">#REF!</definedName>
    <definedName name="STATS">'[2]Item Master'!$BU$1:$CE$64</definedName>
    <definedName name="stdfieldlaborrate">'[4]Field Labor Rate 2019'!$E$20</definedName>
    <definedName name="SteelBeams">[4]Shield!$I$88</definedName>
    <definedName name="steelcellfloor2828">'[4]Lookup name'!$C$735</definedName>
    <definedName name="steelcellwall2828">'[4]Lookup name'!$C$750</definedName>
    <definedName name="Subcontractorscope">'[4]Lookup name'!$A$783:$A$791</definedName>
    <definedName name="Surfacesqft">[4]Shield!$B$6</definedName>
    <definedName name="TEST">'[2]Item Master'!$BL$1:$BT$47</definedName>
    <definedName name="testinglaborcost">[4]Estimate!$P$743</definedName>
    <definedName name="Testingtravelcost">[4]Estimate!$P$741</definedName>
    <definedName name="testingtraveltime">[4]Estimate!$O$743</definedName>
    <definedName name="tile">'[6]#8 Database Ferrite  Finland'!$C$5</definedName>
    <definedName name="toshiba">[4]Magnets!$A$138:$V$149</definedName>
    <definedName name="ToshibaOptions">[4]Magnets!$G$138:$G$149</definedName>
    <definedName name="totaldoors">[4]Doors!$AR$20</definedName>
    <definedName name="totalfilters">SUM([4]Estimate!$E$170+[4]Estimate!$E$181)</definedName>
    <definedName name="TotalGDP22">[4]Estimate!#REF!</definedName>
    <definedName name="TotalGDP24">[4]Estimate!#REF!</definedName>
    <definedName name="totalvents">[4]Estimate!$J$202</definedName>
    <definedName name="totalwin">[4]calcs!$K$74</definedName>
    <definedName name="tray">'[5]PM Selections'!$J$42</definedName>
    <definedName name="työ">'[6]#8 Database Ferrite  Finland'!$I$26</definedName>
    <definedName name="valuutta">'[6]#8 Database Ferrite  Finland'!$A$23</definedName>
    <definedName name="Width">[4]Shield!$B$2</definedName>
    <definedName name="win1quan">[4]calcs!$I$65</definedName>
    <definedName name="win2quan">[4]calcs!$J$65</definedName>
    <definedName name="Win3quan">[4]calcs!$K$65</definedName>
    <definedName name="win4quan">[4]calcs!$L$65</definedName>
    <definedName name="wwallparts">'[4]Window Wall 1'!$F$31:$H$158</definedName>
    <definedName name="整改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1" i="1" l="1"/>
  <c r="C270" i="1"/>
  <c r="E270" i="1" s="1"/>
  <c r="E269" i="1"/>
  <c r="E268" i="1"/>
  <c r="E267" i="1"/>
  <c r="I264" i="1"/>
  <c r="K264" i="1" s="1"/>
  <c r="C264" i="1"/>
  <c r="E264" i="1" s="1"/>
  <c r="I263" i="1"/>
  <c r="K263" i="1" s="1"/>
  <c r="E263" i="1"/>
  <c r="C263" i="1"/>
  <c r="I262" i="1"/>
  <c r="K262" i="1" s="1"/>
  <c r="C262" i="1"/>
  <c r="E262" i="1" s="1"/>
  <c r="I261" i="1"/>
  <c r="K261" i="1" s="1"/>
  <c r="C261" i="1"/>
  <c r="E261" i="1" s="1"/>
  <c r="I260" i="1"/>
  <c r="K260" i="1" s="1"/>
  <c r="C260" i="1"/>
  <c r="E260" i="1" s="1"/>
  <c r="I259" i="1"/>
  <c r="K259" i="1" s="1"/>
  <c r="E259" i="1"/>
  <c r="C259" i="1"/>
  <c r="D240" i="1"/>
  <c r="C240" i="1"/>
  <c r="E240" i="1" s="1"/>
  <c r="D239" i="1"/>
  <c r="C239" i="1"/>
  <c r="E239" i="1" s="1"/>
  <c r="J238" i="1"/>
  <c r="I238" i="1"/>
  <c r="K238" i="1" s="1"/>
  <c r="J237" i="1"/>
  <c r="I237" i="1"/>
  <c r="K237" i="1" s="1"/>
  <c r="D237" i="1"/>
  <c r="C237" i="1"/>
  <c r="E237" i="1" s="1"/>
  <c r="K236" i="1"/>
  <c r="J236" i="1"/>
  <c r="D236" i="1"/>
  <c r="C236" i="1"/>
  <c r="E236" i="1" s="1"/>
  <c r="J235" i="1"/>
  <c r="I235" i="1"/>
  <c r="K235" i="1" s="1"/>
  <c r="D235" i="1"/>
  <c r="C235" i="1"/>
  <c r="E235" i="1" s="1"/>
  <c r="D234" i="1"/>
  <c r="C234" i="1"/>
  <c r="E234" i="1" s="1"/>
  <c r="D233" i="1"/>
  <c r="C233" i="1"/>
  <c r="E233" i="1" s="1"/>
  <c r="D232" i="1"/>
  <c r="E232" i="1" s="1"/>
  <c r="C232" i="1"/>
  <c r="D231" i="1"/>
  <c r="C231" i="1"/>
  <c r="E231" i="1" s="1"/>
  <c r="J230" i="1"/>
  <c r="I230" i="1"/>
  <c r="K230" i="1" s="1"/>
  <c r="D230" i="1"/>
  <c r="C230" i="1"/>
  <c r="E230" i="1" s="1"/>
  <c r="D229" i="1"/>
  <c r="C229" i="1"/>
  <c r="E229" i="1" s="1"/>
  <c r="K228" i="1"/>
  <c r="J228" i="1"/>
  <c r="I228" i="1"/>
  <c r="J227" i="1"/>
  <c r="I227" i="1"/>
  <c r="K227" i="1" s="1"/>
  <c r="D227" i="1"/>
  <c r="C227" i="1"/>
  <c r="E227" i="1" s="1"/>
  <c r="D226" i="1"/>
  <c r="E226" i="1" s="1"/>
  <c r="C226" i="1"/>
  <c r="K225" i="1"/>
  <c r="J225" i="1"/>
  <c r="I225" i="1"/>
  <c r="D225" i="1"/>
  <c r="E225" i="1" s="1"/>
  <c r="C225" i="1"/>
  <c r="K224" i="1"/>
  <c r="J224" i="1"/>
  <c r="I224" i="1"/>
  <c r="D224" i="1"/>
  <c r="C224" i="1"/>
  <c r="E224" i="1" s="1"/>
  <c r="D223" i="1"/>
  <c r="C223" i="1"/>
  <c r="E223" i="1" s="1"/>
  <c r="D222" i="1"/>
  <c r="C222" i="1"/>
  <c r="E222" i="1" s="1"/>
  <c r="D221" i="1"/>
  <c r="C221" i="1"/>
  <c r="E221" i="1" s="1"/>
  <c r="D220" i="1"/>
  <c r="E220" i="1" s="1"/>
  <c r="C220" i="1"/>
  <c r="D219" i="1"/>
  <c r="C219" i="1"/>
  <c r="E219" i="1" s="1"/>
  <c r="D218" i="1"/>
  <c r="C218" i="1"/>
  <c r="E218" i="1" s="1"/>
  <c r="D217" i="1"/>
  <c r="C217" i="1"/>
  <c r="E217" i="1" s="1"/>
  <c r="M215" i="1"/>
  <c r="D214" i="1"/>
  <c r="C214" i="1"/>
  <c r="E214" i="1" s="1"/>
  <c r="I213" i="1"/>
  <c r="E213" i="1"/>
  <c r="D213" i="1"/>
  <c r="C213" i="1"/>
  <c r="M212" i="1"/>
  <c r="J212" i="1"/>
  <c r="K212" i="1" s="1"/>
  <c r="E212" i="1"/>
  <c r="M211" i="1"/>
  <c r="J211" i="1" s="1"/>
  <c r="K211" i="1" s="1"/>
  <c r="I211" i="1"/>
  <c r="D211" i="1"/>
  <c r="C211" i="1"/>
  <c r="E211" i="1" s="1"/>
  <c r="E210" i="1"/>
  <c r="M209" i="1"/>
  <c r="J209" i="1" s="1"/>
  <c r="K209" i="1" s="1"/>
  <c r="E209" i="1"/>
  <c r="M208" i="1"/>
  <c r="J208" i="1"/>
  <c r="K208" i="1" s="1"/>
  <c r="I208" i="1"/>
  <c r="D208" i="1"/>
  <c r="E208" i="1" s="1"/>
  <c r="C208" i="1"/>
  <c r="M207" i="1"/>
  <c r="D117" i="1" s="1"/>
  <c r="E117" i="1" s="1"/>
  <c r="E207" i="1"/>
  <c r="K206" i="1"/>
  <c r="J206" i="1"/>
  <c r="I206" i="1"/>
  <c r="E206" i="1"/>
  <c r="D205" i="1"/>
  <c r="C205" i="1"/>
  <c r="E205" i="1" s="1"/>
  <c r="D204" i="1"/>
  <c r="C204" i="1"/>
  <c r="E204" i="1" s="1"/>
  <c r="M201" i="1"/>
  <c r="D197" i="1" s="1"/>
  <c r="D200" i="1"/>
  <c r="C200" i="1"/>
  <c r="E200" i="1" s="1"/>
  <c r="D199" i="1"/>
  <c r="C199" i="1"/>
  <c r="E199" i="1" s="1"/>
  <c r="D198" i="1"/>
  <c r="E198" i="1" s="1"/>
  <c r="C198" i="1"/>
  <c r="C197" i="1"/>
  <c r="E197" i="1" s="1"/>
  <c r="M196" i="1"/>
  <c r="D196" i="1"/>
  <c r="C196" i="1"/>
  <c r="E196" i="1" s="1"/>
  <c r="D194" i="1"/>
  <c r="C194" i="1"/>
  <c r="E194" i="1" s="1"/>
  <c r="D193" i="1"/>
  <c r="C193" i="1"/>
  <c r="E193" i="1" s="1"/>
  <c r="D192" i="1"/>
  <c r="E192" i="1" s="1"/>
  <c r="C192" i="1"/>
  <c r="D191" i="1"/>
  <c r="C191" i="1"/>
  <c r="E191" i="1" s="1"/>
  <c r="D190" i="1"/>
  <c r="C190" i="1"/>
  <c r="E190" i="1" s="1"/>
  <c r="D189" i="1"/>
  <c r="C189" i="1"/>
  <c r="E189" i="1" s="1"/>
  <c r="D188" i="1"/>
  <c r="C188" i="1"/>
  <c r="E188" i="1" s="1"/>
  <c r="E187" i="1"/>
  <c r="D187" i="1"/>
  <c r="C187" i="1"/>
  <c r="D186" i="1"/>
  <c r="C186" i="1"/>
  <c r="E186" i="1" s="1"/>
  <c r="D185" i="1"/>
  <c r="E185" i="1" s="1"/>
  <c r="C185" i="1"/>
  <c r="D184" i="1"/>
  <c r="E184" i="1" s="1"/>
  <c r="C184" i="1"/>
  <c r="E183" i="1"/>
  <c r="D183" i="1"/>
  <c r="M182" i="1"/>
  <c r="D182" i="1"/>
  <c r="E182" i="1" s="1"/>
  <c r="C182" i="1"/>
  <c r="M181" i="1"/>
  <c r="D181" i="1" s="1"/>
  <c r="C181" i="1"/>
  <c r="E181" i="1" s="1"/>
  <c r="D180" i="1"/>
  <c r="E180" i="1" s="1"/>
  <c r="C180" i="1"/>
  <c r="M179" i="1"/>
  <c r="D179" i="1" s="1"/>
  <c r="C179" i="1"/>
  <c r="M178" i="1"/>
  <c r="D178" i="1"/>
  <c r="C178" i="1"/>
  <c r="E178" i="1" s="1"/>
  <c r="C177" i="1"/>
  <c r="E176" i="1"/>
  <c r="D176" i="1"/>
  <c r="D175" i="1"/>
  <c r="E175" i="1" s="1"/>
  <c r="D174" i="1"/>
  <c r="E174" i="1" s="1"/>
  <c r="C174" i="1"/>
  <c r="J173" i="1"/>
  <c r="K173" i="1" s="1"/>
  <c r="D173" i="1"/>
  <c r="C173" i="1"/>
  <c r="E173" i="1" s="1"/>
  <c r="D172" i="1"/>
  <c r="C172" i="1"/>
  <c r="E172" i="1" s="1"/>
  <c r="C171" i="1"/>
  <c r="M170" i="1"/>
  <c r="J170" i="1" s="1"/>
  <c r="K170" i="1" s="1"/>
  <c r="M169" i="1"/>
  <c r="D169" i="1"/>
  <c r="C169" i="1"/>
  <c r="E169" i="1" s="1"/>
  <c r="D168" i="1"/>
  <c r="C168" i="1"/>
  <c r="E168" i="1" s="1"/>
  <c r="M167" i="1"/>
  <c r="D167" i="1"/>
  <c r="E167" i="1" s="1"/>
  <c r="C167" i="1"/>
  <c r="E166" i="1"/>
  <c r="D166" i="1"/>
  <c r="C166" i="1"/>
  <c r="M165" i="1"/>
  <c r="J165" i="1"/>
  <c r="K165" i="1" s="1"/>
  <c r="D165" i="1"/>
  <c r="C165" i="1"/>
  <c r="E165" i="1" s="1"/>
  <c r="D164" i="1"/>
  <c r="C164" i="1"/>
  <c r="E164" i="1" s="1"/>
  <c r="C163" i="1"/>
  <c r="C162" i="1"/>
  <c r="C161" i="1"/>
  <c r="J160" i="1"/>
  <c r="K160" i="1" s="1"/>
  <c r="D160" i="1"/>
  <c r="C160" i="1"/>
  <c r="E160" i="1" s="1"/>
  <c r="M159" i="1"/>
  <c r="J159" i="1" s="1"/>
  <c r="K159" i="1" s="1"/>
  <c r="D159" i="1"/>
  <c r="E159" i="1" s="1"/>
  <c r="C159" i="1"/>
  <c r="M158" i="1"/>
  <c r="J158" i="1" s="1"/>
  <c r="K158" i="1" s="1"/>
  <c r="D158" i="1"/>
  <c r="E158" i="1" s="1"/>
  <c r="M157" i="1"/>
  <c r="D157" i="1" s="1"/>
  <c r="E157" i="1" s="1"/>
  <c r="C157" i="1"/>
  <c r="M156" i="1"/>
  <c r="J156" i="1"/>
  <c r="K156" i="1" s="1"/>
  <c r="D156" i="1"/>
  <c r="E156" i="1" s="1"/>
  <c r="M155" i="1"/>
  <c r="D155" i="1"/>
  <c r="C155" i="1"/>
  <c r="E155" i="1" s="1"/>
  <c r="M154" i="1"/>
  <c r="D154" i="1"/>
  <c r="E154" i="1" s="1"/>
  <c r="C154" i="1"/>
  <c r="M153" i="1"/>
  <c r="J153" i="1" s="1"/>
  <c r="K153" i="1" s="1"/>
  <c r="C152" i="1"/>
  <c r="C151" i="1"/>
  <c r="E151" i="1" s="1"/>
  <c r="D150" i="1"/>
  <c r="C150" i="1"/>
  <c r="E150" i="1" s="1"/>
  <c r="M149" i="1"/>
  <c r="D149" i="1" s="1"/>
  <c r="E149" i="1" s="1"/>
  <c r="J149" i="1"/>
  <c r="K149" i="1" s="1"/>
  <c r="C148" i="1"/>
  <c r="D147" i="1"/>
  <c r="C147" i="1"/>
  <c r="E147" i="1" s="1"/>
  <c r="M146" i="1"/>
  <c r="J146" i="1" s="1"/>
  <c r="K146" i="1" s="1"/>
  <c r="D146" i="1"/>
  <c r="E146" i="1" s="1"/>
  <c r="M145" i="1"/>
  <c r="J145" i="1"/>
  <c r="K145" i="1" s="1"/>
  <c r="M144" i="1"/>
  <c r="D144" i="1" s="1"/>
  <c r="E144" i="1" s="1"/>
  <c r="J144" i="1"/>
  <c r="K144" i="1" s="1"/>
  <c r="M143" i="1"/>
  <c r="K143" i="1"/>
  <c r="J143" i="1"/>
  <c r="D143" i="1"/>
  <c r="E143" i="1" s="1"/>
  <c r="D142" i="1"/>
  <c r="E142" i="1" s="1"/>
  <c r="C141" i="1"/>
  <c r="M140" i="1"/>
  <c r="D140" i="1"/>
  <c r="C140" i="1"/>
  <c r="E140" i="1" s="1"/>
  <c r="M139" i="1"/>
  <c r="D139" i="1" s="1"/>
  <c r="E139" i="1" s="1"/>
  <c r="C139" i="1"/>
  <c r="M138" i="1"/>
  <c r="D138" i="1"/>
  <c r="E138" i="1" s="1"/>
  <c r="C138" i="1"/>
  <c r="I137" i="1"/>
  <c r="C137" i="1"/>
  <c r="M136" i="1"/>
  <c r="D136" i="1"/>
  <c r="E136" i="1" s="1"/>
  <c r="C136" i="1"/>
  <c r="M135" i="1"/>
  <c r="D135" i="1" s="1"/>
  <c r="E135" i="1" s="1"/>
  <c r="C135" i="1"/>
  <c r="M134" i="1"/>
  <c r="K134" i="1"/>
  <c r="J134" i="1"/>
  <c r="D134" i="1"/>
  <c r="E134" i="1" s="1"/>
  <c r="C133" i="1"/>
  <c r="M132" i="1"/>
  <c r="J132" i="1"/>
  <c r="K132" i="1" s="1"/>
  <c r="D132" i="1"/>
  <c r="D133" i="1" s="1"/>
  <c r="C132" i="1"/>
  <c r="E132" i="1" s="1"/>
  <c r="J131" i="1"/>
  <c r="K131" i="1" s="1"/>
  <c r="C131" i="1"/>
  <c r="E131" i="1" s="1"/>
  <c r="J130" i="1"/>
  <c r="K130" i="1" s="1"/>
  <c r="D130" i="1"/>
  <c r="C130" i="1"/>
  <c r="E130" i="1" s="1"/>
  <c r="K129" i="1"/>
  <c r="J129" i="1"/>
  <c r="D129" i="1"/>
  <c r="E129" i="1" s="1"/>
  <c r="C129" i="1"/>
  <c r="J128" i="1"/>
  <c r="K128" i="1" s="1"/>
  <c r="D128" i="1"/>
  <c r="E128" i="1" s="1"/>
  <c r="C128" i="1"/>
  <c r="M127" i="1"/>
  <c r="J127" i="1" s="1"/>
  <c r="K127" i="1" s="1"/>
  <c r="C127" i="1"/>
  <c r="K126" i="1"/>
  <c r="J126" i="1"/>
  <c r="D126" i="1"/>
  <c r="E126" i="1" s="1"/>
  <c r="C126" i="1"/>
  <c r="C125" i="1"/>
  <c r="M124" i="1"/>
  <c r="J124" i="1" s="1"/>
  <c r="K124" i="1" s="1"/>
  <c r="C124" i="1"/>
  <c r="M123" i="1"/>
  <c r="J123" i="1" s="1"/>
  <c r="K123" i="1" s="1"/>
  <c r="D123" i="1"/>
  <c r="E123" i="1" s="1"/>
  <c r="C123" i="1"/>
  <c r="M122" i="1"/>
  <c r="J122" i="1" s="1"/>
  <c r="K122" i="1" s="1"/>
  <c r="D122" i="1"/>
  <c r="E122" i="1" s="1"/>
  <c r="C122" i="1"/>
  <c r="M121" i="1"/>
  <c r="D121" i="1" s="1"/>
  <c r="J121" i="1"/>
  <c r="K121" i="1" s="1"/>
  <c r="C121" i="1"/>
  <c r="E121" i="1" s="1"/>
  <c r="M120" i="1"/>
  <c r="J120" i="1"/>
  <c r="K120" i="1" s="1"/>
  <c r="D120" i="1"/>
  <c r="E120" i="1" s="1"/>
  <c r="M119" i="1"/>
  <c r="D119" i="1" s="1"/>
  <c r="E119" i="1" s="1"/>
  <c r="J119" i="1"/>
  <c r="K119" i="1" s="1"/>
  <c r="C119" i="1"/>
  <c r="M118" i="1"/>
  <c r="E118" i="1"/>
  <c r="D118" i="1"/>
  <c r="C117" i="1"/>
  <c r="C116" i="1"/>
  <c r="M115" i="1"/>
  <c r="D115" i="1"/>
  <c r="C115" i="1"/>
  <c r="E115" i="1" s="1"/>
  <c r="J114" i="1"/>
  <c r="K114" i="1" s="1"/>
  <c r="E114" i="1"/>
  <c r="D114" i="1"/>
  <c r="C114" i="1"/>
  <c r="M113" i="1"/>
  <c r="K113" i="1"/>
  <c r="J113" i="1"/>
  <c r="D113" i="1"/>
  <c r="E113" i="1" s="1"/>
  <c r="M112" i="1"/>
  <c r="J112" i="1"/>
  <c r="K112" i="1" s="1"/>
  <c r="D112" i="1"/>
  <c r="E112" i="1" s="1"/>
  <c r="M111" i="1"/>
  <c r="D111" i="1" s="1"/>
  <c r="E111" i="1" s="1"/>
  <c r="J111" i="1"/>
  <c r="K111" i="1" s="1"/>
  <c r="M110" i="1"/>
  <c r="D110" i="1"/>
  <c r="E110" i="1" s="1"/>
  <c r="M109" i="1"/>
  <c r="J109" i="1"/>
  <c r="K109" i="1" s="1"/>
  <c r="D109" i="1"/>
  <c r="E109" i="1" s="1"/>
  <c r="M108" i="1"/>
  <c r="J108" i="1"/>
  <c r="K108" i="1" s="1"/>
  <c r="E108" i="1"/>
  <c r="D108" i="1"/>
  <c r="J107" i="1"/>
  <c r="K107" i="1" s="1"/>
  <c r="D107" i="1"/>
  <c r="E107" i="1" s="1"/>
  <c r="C107" i="1"/>
  <c r="E106" i="1"/>
  <c r="D106" i="1"/>
  <c r="C106" i="1"/>
  <c r="M105" i="1"/>
  <c r="J105" i="1"/>
  <c r="K105" i="1" s="1"/>
  <c r="E105" i="1"/>
  <c r="D105" i="1"/>
  <c r="I104" i="1"/>
  <c r="K103" i="1"/>
  <c r="J103" i="1"/>
  <c r="D103" i="1"/>
  <c r="E103" i="1" s="1"/>
  <c r="C103" i="1"/>
  <c r="M102" i="1"/>
  <c r="D102" i="1" s="1"/>
  <c r="E102" i="1" s="1"/>
  <c r="J102" i="1"/>
  <c r="K102" i="1" s="1"/>
  <c r="D101" i="1"/>
  <c r="C101" i="1"/>
  <c r="E101" i="1" s="1"/>
  <c r="M100" i="1"/>
  <c r="D100" i="1"/>
  <c r="C100" i="1"/>
  <c r="E100" i="1" s="1"/>
  <c r="M99" i="1"/>
  <c r="D99" i="1" s="1"/>
  <c r="E99" i="1" s="1"/>
  <c r="J99" i="1"/>
  <c r="K99" i="1" s="1"/>
  <c r="D98" i="1"/>
  <c r="C98" i="1"/>
  <c r="E98" i="1" s="1"/>
  <c r="M97" i="1"/>
  <c r="J97" i="1" s="1"/>
  <c r="K97" i="1" s="1"/>
  <c r="D97" i="1"/>
  <c r="E97" i="1" s="1"/>
  <c r="I96" i="1"/>
  <c r="J95" i="1"/>
  <c r="K95" i="1" s="1"/>
  <c r="D94" i="1"/>
  <c r="C94" i="1"/>
  <c r="E94" i="1" s="1"/>
  <c r="M93" i="1"/>
  <c r="D93" i="1" s="1"/>
  <c r="C93" i="1"/>
  <c r="E93" i="1" s="1"/>
  <c r="D92" i="1"/>
  <c r="C92" i="1"/>
  <c r="E92" i="1" s="1"/>
  <c r="M91" i="1"/>
  <c r="J91" i="1"/>
  <c r="K91" i="1" s="1"/>
  <c r="D91" i="1"/>
  <c r="E91" i="1" s="1"/>
  <c r="D90" i="1"/>
  <c r="C90" i="1"/>
  <c r="E90" i="1" s="1"/>
  <c r="M89" i="1"/>
  <c r="J89" i="1" s="1"/>
  <c r="K89" i="1" s="1"/>
  <c r="D88" i="1"/>
  <c r="C88" i="1"/>
  <c r="E88" i="1" s="1"/>
  <c r="D72" i="1"/>
  <c r="C72" i="1"/>
  <c r="E72" i="1" s="1"/>
  <c r="D71" i="1"/>
  <c r="C71" i="1"/>
  <c r="E71" i="1" s="1"/>
  <c r="D70" i="1"/>
  <c r="C70" i="1"/>
  <c r="E70" i="1" s="1"/>
  <c r="D69" i="1"/>
  <c r="E69" i="1" s="1"/>
  <c r="C69" i="1"/>
  <c r="E68" i="1"/>
  <c r="D68" i="1"/>
  <c r="C68" i="1"/>
  <c r="I67" i="1"/>
  <c r="D67" i="1"/>
  <c r="C67" i="1"/>
  <c r="E67" i="1" s="1"/>
  <c r="I66" i="1"/>
  <c r="D66" i="1"/>
  <c r="C66" i="1"/>
  <c r="E66" i="1" s="1"/>
  <c r="D65" i="1"/>
  <c r="E65" i="1" s="1"/>
  <c r="C65" i="1"/>
  <c r="D64" i="1"/>
  <c r="C64" i="1"/>
  <c r="E64" i="1" s="1"/>
  <c r="I63" i="1"/>
  <c r="D63" i="1"/>
  <c r="E63" i="1" s="1"/>
  <c r="C63" i="1"/>
  <c r="I62" i="1"/>
  <c r="D62" i="1"/>
  <c r="C62" i="1"/>
  <c r="E62" i="1" s="1"/>
  <c r="I61" i="1"/>
  <c r="D61" i="1"/>
  <c r="C61" i="1"/>
  <c r="E61" i="1" s="1"/>
  <c r="I60" i="1"/>
  <c r="D60" i="1"/>
  <c r="C60" i="1"/>
  <c r="E60" i="1" s="1"/>
  <c r="D59" i="1"/>
  <c r="E59" i="1" s="1"/>
  <c r="M58" i="1"/>
  <c r="D58" i="1"/>
  <c r="E58" i="1" s="1"/>
  <c r="M57" i="1"/>
  <c r="D57" i="1"/>
  <c r="E57" i="1" s="1"/>
  <c r="M56" i="1"/>
  <c r="M55" i="1"/>
  <c r="D55" i="1"/>
  <c r="E55" i="1" s="1"/>
  <c r="M54" i="1"/>
  <c r="D54" i="1" s="1"/>
  <c r="E54" i="1" s="1"/>
  <c r="M53" i="1"/>
  <c r="D53" i="1" s="1"/>
  <c r="E53" i="1" s="1"/>
  <c r="D52" i="1"/>
  <c r="C52" i="1"/>
  <c r="E52" i="1" s="1"/>
  <c r="M51" i="1"/>
  <c r="D51" i="1"/>
  <c r="E51" i="1" s="1"/>
  <c r="M50" i="1"/>
  <c r="D50" i="1"/>
  <c r="E50" i="1" s="1"/>
  <c r="E49" i="1"/>
  <c r="D49" i="1"/>
  <c r="M48" i="1"/>
  <c r="D48" i="1" s="1"/>
  <c r="E48" i="1" s="1"/>
  <c r="M47" i="1"/>
  <c r="D46" i="1"/>
  <c r="E46" i="1" s="1"/>
  <c r="M45" i="1"/>
  <c r="D45" i="1"/>
  <c r="E45" i="1" s="1"/>
  <c r="M43" i="1"/>
  <c r="J43" i="1"/>
  <c r="K43" i="1" s="1"/>
  <c r="D43" i="1"/>
  <c r="C43" i="1"/>
  <c r="E43" i="1" s="1"/>
  <c r="D42" i="1"/>
  <c r="E42" i="1" s="1"/>
  <c r="C42" i="1"/>
  <c r="E41" i="1"/>
  <c r="D41" i="1"/>
  <c r="C41" i="1"/>
  <c r="M40" i="1"/>
  <c r="J40" i="1"/>
  <c r="K40" i="1" s="1"/>
  <c r="D40" i="1"/>
  <c r="C40" i="1"/>
  <c r="E40" i="1" s="1"/>
  <c r="M39" i="1"/>
  <c r="D39" i="1" s="1"/>
  <c r="E39" i="1" s="1"/>
  <c r="J39" i="1"/>
  <c r="K39" i="1" s="1"/>
  <c r="C39" i="1"/>
  <c r="M38" i="1"/>
  <c r="K38" i="1"/>
  <c r="J38" i="1"/>
  <c r="E38" i="1"/>
  <c r="D38" i="1"/>
  <c r="C38" i="1"/>
  <c r="C36" i="1"/>
  <c r="E36" i="1" s="1"/>
  <c r="D35" i="1"/>
  <c r="C35" i="1"/>
  <c r="E35" i="1" s="1"/>
  <c r="D34" i="1"/>
  <c r="C34" i="1"/>
  <c r="E34" i="1" s="1"/>
  <c r="D33" i="1"/>
  <c r="E33" i="1" s="1"/>
  <c r="C33" i="1"/>
  <c r="E32" i="1"/>
  <c r="D32" i="1"/>
  <c r="C32" i="1"/>
  <c r="D31" i="1"/>
  <c r="C31" i="1"/>
  <c r="E31" i="1" s="1"/>
  <c r="E30" i="1"/>
  <c r="C30" i="1"/>
  <c r="C29" i="1"/>
  <c r="E29" i="1" s="1"/>
  <c r="M28" i="1"/>
  <c r="D28" i="1" s="1"/>
  <c r="E28" i="1" s="1"/>
  <c r="J28" i="1"/>
  <c r="K28" i="1" s="1"/>
  <c r="M27" i="1"/>
  <c r="K27" i="1"/>
  <c r="J27" i="1"/>
  <c r="E27" i="1"/>
  <c r="D27" i="1"/>
  <c r="M26" i="1"/>
  <c r="J26" i="1"/>
  <c r="K26" i="1" s="1"/>
  <c r="D26" i="1"/>
  <c r="E26" i="1" s="1"/>
  <c r="C25" i="1"/>
  <c r="E25" i="1" s="1"/>
  <c r="D24" i="1"/>
  <c r="E24" i="1" s="1"/>
  <c r="C24" i="1"/>
  <c r="E23" i="1"/>
  <c r="D23" i="1"/>
  <c r="C23" i="1"/>
  <c r="M22" i="1"/>
  <c r="K22" i="1"/>
  <c r="J22" i="1"/>
  <c r="D22" i="1"/>
  <c r="E22" i="1" s="1"/>
  <c r="M21" i="1"/>
  <c r="D21" i="1"/>
  <c r="E21" i="1" s="1"/>
  <c r="M20" i="1"/>
  <c r="D20" i="1" s="1"/>
  <c r="E20" i="1" s="1"/>
  <c r="J20" i="1"/>
  <c r="K20" i="1" s="1"/>
  <c r="M19" i="1"/>
  <c r="J19" i="1" s="1"/>
  <c r="K19" i="1" s="1"/>
  <c r="M18" i="1"/>
  <c r="D18" i="1"/>
  <c r="C18" i="1"/>
  <c r="E18" i="1" s="1"/>
  <c r="D17" i="1"/>
  <c r="E17" i="1" s="1"/>
  <c r="C16" i="1"/>
  <c r="M15" i="1"/>
  <c r="D15" i="1" s="1"/>
  <c r="E15" i="1" s="1"/>
  <c r="I15" i="1"/>
  <c r="M14" i="1"/>
  <c r="D14" i="1" s="1"/>
  <c r="C14" i="1"/>
  <c r="E14" i="1" s="1"/>
  <c r="E13" i="1"/>
  <c r="D13" i="1"/>
  <c r="C13" i="1"/>
  <c r="M12" i="1"/>
  <c r="K12" i="1"/>
  <c r="J12" i="1"/>
  <c r="D12" i="1"/>
  <c r="E12" i="1" s="1"/>
  <c r="M11" i="1"/>
  <c r="D11" i="1"/>
  <c r="E11" i="1" s="1"/>
  <c r="D10" i="1"/>
  <c r="E10" i="1" s="1"/>
  <c r="C10" i="1"/>
  <c r="M9" i="1"/>
  <c r="D9" i="1" s="1"/>
  <c r="C9" i="1"/>
  <c r="E9" i="1" s="1"/>
  <c r="M7" i="1"/>
  <c r="J7" i="1"/>
  <c r="K7" i="1" s="1"/>
  <c r="D7" i="1"/>
  <c r="E7" i="1" s="1"/>
  <c r="M6" i="1"/>
  <c r="D6" i="1"/>
  <c r="E6" i="1" s="1"/>
  <c r="C5" i="1"/>
  <c r="M4" i="1"/>
  <c r="J4" i="1" s="1"/>
  <c r="K4" i="1" s="1"/>
  <c r="K3" i="1"/>
  <c r="J3" i="1"/>
  <c r="D3" i="1"/>
  <c r="C3" i="1"/>
  <c r="E3" i="1" s="1"/>
  <c r="M2" i="1"/>
  <c r="J2" i="1"/>
  <c r="K2" i="1" s="1"/>
  <c r="D2" i="1"/>
  <c r="E2" i="1" s="1"/>
  <c r="E133" i="1" l="1"/>
  <c r="E179" i="1"/>
  <c r="J207" i="1"/>
  <c r="K207" i="1" s="1"/>
  <c r="K242" i="1" s="1"/>
  <c r="D141" i="1"/>
  <c r="E141" i="1" s="1"/>
  <c r="D127" i="1"/>
  <c r="E127" i="1" s="1"/>
  <c r="D19" i="1"/>
  <c r="E19" i="1" s="1"/>
  <c r="D153" i="1"/>
  <c r="E153" i="1" s="1"/>
  <c r="D170" i="1"/>
  <c r="E170" i="1" s="1"/>
  <c r="D4" i="1"/>
  <c r="E4" i="1" s="1"/>
  <c r="E242" i="1" s="1"/>
  <c r="D124" i="1"/>
  <c r="E124" i="1" s="1"/>
  <c r="D89" i="1"/>
  <c r="E8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Zou Wenxia</author>
  </authors>
  <commentList>
    <comment ref="B2" authorId="0" shapeId="0" xr:uid="{5C2AAC6A-F65E-44DE-A351-7239C1970E2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电话、传真、交直流开关信号</t>
        </r>
      </text>
    </comment>
    <comment ref="B3" authorId="0" shapeId="0" xr:uid="{07AB364A-3C7F-4A2A-AE66-5AE177D1EF8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应急照明</t>
        </r>
      </text>
    </comment>
    <comment ref="H3" authorId="0" shapeId="0" xr:uid="{AB0FC91B-5D29-4CEE-B5FC-993B69D3652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应急照明</t>
        </r>
      </text>
    </comment>
    <comment ref="B7" authorId="0" shapeId="0" xr:uid="{D61C6466-6C59-4834-B231-93E49121D6D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同SF210-1/A2,用于紧急照明，互锁
(控制信号)</t>
        </r>
      </text>
    </comment>
    <comment ref="B11" authorId="0" shapeId="0" xr:uid="{0DF3E1E8-AECF-48FA-91CE-61C87921F00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1A,是10对，每对2线，这款是20线的滤波器</t>
        </r>
      </text>
    </comment>
    <comment ref="B12" authorId="0" shapeId="0" xr:uid="{BC81013E-B4FB-475A-AB79-3A3001FBDA0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485 信号滤波器
特种消防信号
PA speaker
smoke detectors filters</t>
        </r>
      </text>
    </comment>
    <comment ref="B13" authorId="0" shapeId="0" xr:uid="{B118B9C7-FEBE-4E64-B534-B9415A4EADE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20线信号滤波器
0-100V，电流2A，频率0~140kH</t>
        </r>
      </text>
    </comment>
    <comment ref="B14" authorId="0" shapeId="0" xr:uid="{DBB68A4C-0BAD-4957-ABED-BEE8009B88E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3线信号滤波器</t>
        </r>
      </text>
    </comment>
    <comment ref="B15" authorId="0" shapeId="0" xr:uid="{039937B5-8C10-49EE-BD78-2354BC2AC54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给ESD屏蔽室精密空调用（for Cybermate HAVAC）
ADSL 如果是4线用这个</t>
        </r>
      </text>
    </comment>
    <comment ref="B18" authorId="0" shapeId="0" xr:uid="{BFC8C6A2-D132-4B13-8B11-E6299CCF55D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8线信号滤波器</t>
        </r>
      </text>
    </comment>
    <comment ref="B27" authorId="0" shapeId="0" xr:uid="{2F660F84-17D4-4A59-AC7A-4A5215B3956A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用于摄像头。9-pin D connector</t>
        </r>
      </text>
    </comment>
    <comment ref="B28" authorId="0" shapeId="0" xr:uid="{3B642831-8E8A-4A12-85C1-EF44C04FA96F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USB2.0</t>
        </r>
      </text>
    </comment>
    <comment ref="B29" authorId="0" shapeId="0" xr:uid="{08ECF512-FBD4-4C9A-95B1-DE1DA728F6AA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USB3.0,2024.6.26</t>
        </r>
      </text>
    </comment>
    <comment ref="B30" authorId="0" shapeId="0" xr:uid="{A93E40DD-09D3-4914-BA0B-C5A7A40E84C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USB3.0,2024.6.26</t>
        </r>
      </text>
    </comment>
    <comment ref="B32" authorId="0" shapeId="0" xr:uid="{3D33BA87-0D58-4D61-B465-E30AF8FDC42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32A接地滤波器</t>
        </r>
      </text>
    </comment>
    <comment ref="B33" authorId="0" shapeId="0" xr:uid="{B2574913-4A89-4804-BF4C-90AD40120DE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32A接地滤波器</t>
        </r>
      </text>
    </comment>
    <comment ref="B34" authorId="0" shapeId="0" xr:uid="{7512C121-3553-4804-A77D-AFCF888AFBA9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63A接地滤波器，接地电阻小于4欧姆，绝缘大于2M欧</t>
        </r>
      </text>
    </comment>
    <comment ref="B36" authorId="0" shapeId="0" xr:uid="{A34CB703-97F2-419D-9D4B-44D83EBEF9C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1对</t>
        </r>
      </text>
    </comment>
    <comment ref="B37" authorId="0" shapeId="0" xr:uid="{F714CCDC-1192-4FBE-BE47-4970014DE58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单个成本。成对使用</t>
        </r>
      </text>
    </comment>
    <comment ref="B40" authorId="0" shapeId="0" xr:uid="{699617BF-8C0C-400E-829F-72A1907C19B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充电桩用</t>
        </r>
      </text>
    </comment>
    <comment ref="B43" authorId="0" shapeId="0" xr:uid="{9B24CF51-F1E4-4C9C-A36A-6256650B8F2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充电桩用</t>
        </r>
      </text>
    </comment>
    <comment ref="C70" authorId="0" shapeId="0" xr:uid="{11E5AC89-4FE1-4F0B-B12F-0DFE572E260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（一个直流供电需要2只这样的滤波器，需要调试后生产）</t>
        </r>
      </text>
    </comment>
    <comment ref="C71" authorId="0" shapeId="0" xr:uid="{443D0BAC-993C-4016-B4F0-39AC850FC571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（一个三相供电需要4只这样的滤波器）</t>
        </r>
      </text>
    </comment>
    <comment ref="B101" authorId="0" shapeId="0" xr:uid="{47F25DFA-3ED7-4C2E-9306-24D5064A501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储能设备特殊需求</t>
        </r>
      </text>
    </comment>
    <comment ref="H107" authorId="0" shapeId="0" xr:uid="{7D5C890B-7F8C-417C-AB04-DE7C363E5B6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14 k-40GHz的插入损耗100 dB
</t>
        </r>
      </text>
    </comment>
    <comment ref="B114" authorId="0" shapeId="0" xr:uid="{FA7A0640-DA51-48EE-A912-B45E51FD8371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满足光伏设备测试需求</t>
        </r>
      </text>
    </comment>
    <comment ref="C115" authorId="0" shapeId="0" xr:uid="{486A3C61-2245-4480-B80B-B56188949400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23.5.31</t>
        </r>
      </text>
    </comment>
    <comment ref="C116" authorId="0" shapeId="0" xr:uid="{D573A75E-0B6D-4FD5-84AA-0FE6BAB9603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低漏</t>
        </r>
      </text>
    </comment>
    <comment ref="B117" authorId="0" shapeId="0" xr:uid="{E6D3DE93-A30A-473A-AEBC-9507901F62DA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满足光伏测试的低漏电流产品,插损的话：150k 60db</t>
        </r>
      </text>
    </comment>
    <comment ref="C119" authorId="0" shapeId="0" xr:uid="{732A69FD-0594-4DBE-AFF3-B7DCE420284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2023.3</t>
        </r>
      </text>
    </comment>
    <comment ref="C122" authorId="0" shapeId="0" xr:uid="{57D5092A-6EA2-48CF-8B60-562594935BE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2023.10.19
</t>
        </r>
      </text>
    </comment>
    <comment ref="C123" authorId="0" shapeId="0" xr:uid="{AC007878-C4D7-4E94-946E-C602AAAA0CD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2022.6.16</t>
        </r>
      </text>
    </comment>
    <comment ref="C125" authorId="0" shapeId="0" xr:uid="{30CAF401-C82F-4401-8625-381683D79DF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低漏</t>
        </r>
      </text>
    </comment>
    <comment ref="C126" authorId="0" shapeId="0" xr:uid="{5AC57718-8A5F-4F3D-BFC0-F0F7B779062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（低漏需求，需要现场调试）</t>
        </r>
      </text>
    </comment>
    <comment ref="C127" authorId="0" shapeId="0" xr:uid="{31AEAA09-19AA-41ED-9D0B-46A9C512CFE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2021.4.22</t>
        </r>
      </text>
    </comment>
    <comment ref="C131" authorId="0" shapeId="0" xr:uid="{658E01A9-E715-4E77-B323-0AE4E0371BA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建议现场调试，具体需要技术对接。调试费江浙沪￥1000/次，其他地区：￥15000/次</t>
        </r>
      </text>
    </comment>
    <comment ref="B132" authorId="0" shapeId="0" xr:uid="{FE6D4B84-8B00-4B6C-BB44-68C6258C892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对地电容有要求,做储能，新能源用的</t>
        </r>
      </text>
    </comment>
    <comment ref="H132" authorId="0" shapeId="0" xr:uid="{B199D927-176C-461F-88DD-B7BC9ADED752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对地电容有要求,做储能，新能源用的</t>
        </r>
      </text>
    </comment>
    <comment ref="C134" authorId="0" shapeId="0" xr:uid="{BDD439A6-A35A-463F-B06B-214602F16138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2023.12.7 </t>
        </r>
      </text>
    </comment>
    <comment ref="H134" authorId="0" shapeId="0" xr:uid="{3AC5D4A2-4A59-422D-A3A3-20C57338683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14 k-40GHz的插入损耗100 dB</t>
        </r>
      </text>
    </comment>
    <comment ref="I134" authorId="0" shapeId="0" xr:uid="{8CA0A952-223C-442E-BF6D-3BF746396BA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2023.12.11</t>
        </r>
      </text>
    </comment>
    <comment ref="C135" authorId="0" shapeId="0" xr:uid="{F1495013-570B-4A9B-ABF4-11A03DC3698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2021.11.29 </t>
        </r>
      </text>
    </comment>
    <comment ref="C136" authorId="0" shapeId="0" xr:uid="{2BEE73B9-911C-4077-A146-EFBF62E80B9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2023.5.31</t>
        </r>
      </text>
    </comment>
    <comment ref="B141" authorId="0" shapeId="0" xr:uid="{1B856BA4-0702-4B48-B3EB-955BF6AAFBD0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不含低漏</t>
        </r>
      </text>
    </comment>
    <comment ref="B150" authorId="0" shapeId="0" xr:uid="{71D2B8EC-5A1F-4EDA-9D27-9A8F7D2A93F8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储能设备特殊需求</t>
        </r>
      </text>
    </comment>
    <comment ref="B152" authorId="0" shapeId="0" xr:uid="{69209664-8BF0-4107-B756-392F53F2E55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Cy电容特殊阈值，低漏电流.若低漏电流的滤波器需要调试的话，调试费另算</t>
        </r>
      </text>
    </comment>
    <comment ref="B162" authorId="0" shapeId="0" xr:uid="{3F53D659-CCB5-4F31-B220-24DCE6B6F4BB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Cy电容特殊阈值，低漏电流.若低漏电流的滤波器需要调试的话，调试费另算</t>
        </r>
      </text>
    </comment>
    <comment ref="B163" authorId="0" shapeId="0" xr:uid="{8B0990B4-73B2-4205-9D80-A8F28ABFA2E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满足光伏设备测试需求</t>
        </r>
      </text>
    </comment>
    <comment ref="B168" authorId="0" shapeId="0" xr:uid="{09CF1ABF-489E-4F9D-B309-8E865E0C637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储能设备特殊需求</t>
        </r>
      </text>
    </comment>
    <comment ref="B172" authorId="0" shapeId="0" xr:uid="{FFCADCCC-8E97-43AA-AAA1-A94A66BE922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滤波器DC1000V、400A一台 360KW直流充电</t>
        </r>
      </text>
    </comment>
    <comment ref="B173" authorId="0" shapeId="0" xr:uid="{F8A8C1B8-4F52-4579-896A-9A9E09C492D1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三相AC1500V 50Hz 400A，此滤波器为单线滤波器，一个交流供电，需要4个这样的滤波器</t>
        </r>
      </text>
    </comment>
    <comment ref="C173" authorId="0" shapeId="0" xr:uid="{2B97E406-0E1B-490F-85FB-ACA30E432439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（低漏电流的： 这款是交流的，不需要调试）</t>
        </r>
      </text>
    </comment>
    <comment ref="B174" authorId="0" shapeId="0" xr:uid="{99E2D9E1-1EAC-4500-A875-71ECEBCFB85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(一个直流供电需要2台这样的滤波器)</t>
        </r>
      </text>
    </comment>
    <comment ref="B177" authorId="0" shapeId="0" xr:uid="{13436B5D-2202-4930-B980-2169A8F4297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没有地漏</t>
        </r>
      </text>
    </comment>
    <comment ref="B180" authorId="0" shapeId="0" xr:uid="{518AD756-00E1-44CA-AB37-9534EFC5E61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储能设备特殊需求</t>
        </r>
      </text>
    </comment>
    <comment ref="B182" authorId="0" shapeId="0" xr:uid="{25654A3D-06D4-43DF-8802-BEE96652BD36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(一个直流供电需要2台这样的滤波器）</t>
        </r>
      </text>
    </comment>
    <comment ref="B184" authorId="0" shapeId="0" xr:uid="{F5FDE678-35A8-4F52-B84B-905DCCE67D50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单线滤波器，直流需要2只,不含低漏</t>
        </r>
      </text>
    </comment>
    <comment ref="B186" authorId="0" shapeId="0" xr:uid="{E9A1748A-4B2F-4AF5-8232-872F398F238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(此滤波器为单线滤波器，一个交流供电需要4台这样的滤波器）</t>
        </r>
      </text>
    </comment>
    <comment ref="B187" authorId="0" shapeId="0" xr:uid="{BF31FFDD-59CF-4201-957F-664A3F927EF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交流2000A,380V,(单线1000A，两台并联成2000A，一个交流供电需要8台这样的滤波器）</t>
        </r>
      </text>
    </comment>
    <comment ref="B188" authorId="0" shapeId="0" xr:uid="{2269DB4F-D84D-4234-95B6-4E60E7A4B4F2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交流2000A,380V,(单线1000A，两台并联成2000A，一个交流供电需要8台这样的滤波器）</t>
        </r>
      </text>
    </comment>
    <comment ref="B189" authorId="0" shapeId="0" xr:uid="{DE91ED17-E3E6-4CCE-BD0A-13C1AC0AA42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（三相四线需要4只这样的滤波器）</t>
        </r>
      </text>
    </comment>
    <comment ref="B190" authorId="0" shapeId="0" xr:uid="{923014D0-E95D-449B-B62E-52B5F9BB771A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直流用2个</t>
        </r>
      </text>
    </comment>
    <comment ref="B191" authorId="0" shapeId="0" xr:uid="{FFB4465A-5E1F-4547-892D-40B2D512684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1个用于EUT三相1000VAC/2000A用电（可带逆变器） ,用8个</t>
        </r>
      </text>
    </comment>
    <comment ref="B192" authorId="0" shapeId="0" xr:uid="{B2D53045-FBAA-405A-B260-08B2CADEFE49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储能设备特殊需求</t>
        </r>
      </text>
    </comment>
    <comment ref="B193" authorId="0" shapeId="0" xr:uid="{1B6E489B-FB2B-4381-97B7-DF4C01348E51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滤波器DC2000V、1000A 一组（充电桩做被测物输出DC1000V、1000A和光储产品测试双输入2000V、500A共用一组）</t>
        </r>
      </text>
    </comment>
    <comment ref="C193" authorId="0" shapeId="0" xr:uid="{3CECAB7A-A08A-4479-A96B-7B50DFDCF440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此滤波器为单线滤波器，一个直流供电，需要2个这样的滤波器</t>
        </r>
      </text>
    </comment>
    <comment ref="B194" authorId="0" shapeId="0" xr:uid="{B4CD848F-877C-4FE9-9EF6-37BE604D26A0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1个用于EUT单相2500VDC/2000A用电（可带逆变器）,用4个
大概5MHz 100dB左右</t>
        </r>
      </text>
    </comment>
    <comment ref="B197" authorId="0" shapeId="0" xr:uid="{3CD90CBF-DAA7-4BDD-A7F2-F174CA0F0847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滤波器AC1500V、1200A  一组（充电桩做被测物输入380V、1200A和光储产品测试双输出1500V、1200A共用一组）</t>
        </r>
      </text>
    </comment>
    <comment ref="C197" authorId="0" shapeId="0" xr:uid="{C5FB4AC6-6349-4EF7-95C0-06D74EDB069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此滤波器为单线滤波器，一个交流供电，需要4个这样的滤波器</t>
        </r>
      </text>
    </comment>
    <comment ref="B198" authorId="0" shapeId="0" xr:uid="{D01CB144-EB44-4AFF-A4B7-19BCAFFB24B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单相 2000VDC/1200A 用2个。不含低漏</t>
        </r>
      </text>
    </comment>
    <comment ref="B199" authorId="0" shapeId="0" xr:uid="{B055BBCC-D979-4EB4-9D26-E7FF8E85E5A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三相 690V/1500A 用4个。不含低漏</t>
        </r>
      </text>
    </comment>
    <comment ref="B200" authorId="0" shapeId="0" xr:uid="{A0430B14-AE0B-4060-8409-7AA8C2EBA909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单线滤波器，交流需要4只,不含低漏</t>
        </r>
      </text>
    </comment>
    <comment ref="C208" authorId="0" shapeId="0" xr:uid="{5D6772CC-7892-447E-9745-CCD3C7CFD24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(电源需要寄到沃姆克调配后生产）</t>
        </r>
      </text>
    </comment>
    <comment ref="C211" authorId="0" shapeId="0" xr:uid="{E5F6B1EC-C07B-4ADF-A1D2-0343FE83C44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需要提前将电源寄到我司进行匹配调试，滤波器交期为电源到厂后4周交货</t>
        </r>
      </text>
    </comment>
    <comment ref="C213" authorId="0" shapeId="0" xr:uid="{1B19432E-1806-40BC-897A-57D36B619D15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需要提前将电源寄到我司进行匹配调试，滤波器交期为电源到厂后4周交货</t>
        </r>
      </text>
    </comment>
    <comment ref="C214" authorId="0" shapeId="0" xr:uid="{042A2D5A-B59C-42A8-9395-2C483734C301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需要提前把电源寄到沃姆克进行适配后， 再生产</t>
        </r>
      </text>
    </comment>
    <comment ref="C217" authorId="0" shapeId="0" xr:uid="{27E8925C-F732-4AB6-8EFC-E3650769E8E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用于EUT单相交流1500V/2000A用电（可带逆变器）,需4个</t>
        </r>
      </text>
    </comment>
    <comment ref="E217" authorId="0" shapeId="0" xr:uid="{44BF78C0-3A94-4E27-BC63-1E8A29502967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 </t>
        </r>
      </text>
    </comment>
    <comment ref="C218" authorId="0" shapeId="0" xr:uid="{12A4E773-822E-43EA-B778-2485A8AD7489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用于EUT三相1500VAC/6000A用电（可带逆变器）,用16个</t>
        </r>
      </text>
    </comment>
    <comment ref="E218" authorId="0" shapeId="0" xr:uid="{5486E91F-B629-4C1D-B1AC-353FB357E34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 </t>
        </r>
      </text>
    </comment>
    <comment ref="C219" authorId="0" shapeId="0" xr:uid="{AD44208E-6C7A-4A92-A7AA-62CAC882CB53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用于EUT单相3000VDC/6000A用电（可带逆变器）,用8个</t>
        </r>
      </text>
    </comment>
    <comment ref="E219" authorId="0" shapeId="0" xr:uid="{4A7224F3-99C0-40C0-B246-8C801B589EEE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 </t>
        </r>
      </text>
    </comment>
    <comment ref="C220" authorId="0" shapeId="0" xr:uid="{802FC1C0-584C-4D9A-A15B-3C16955DB5F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三相1500VAC/1200A，EUT用电（带逆变）,用4个</t>
        </r>
      </text>
    </comment>
    <comment ref="E220" authorId="0" shapeId="0" xr:uid="{87629837-FEE1-4C24-8694-BF47C75DBE80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 </t>
        </r>
      </text>
    </comment>
    <comment ref="C221" authorId="0" shapeId="0" xr:uid="{C79F871F-8BF2-4C18-8CD3-0AED0B4E23BB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单相3000VDC/1200A，EUT用电（带逆变）,用2个</t>
        </r>
      </text>
    </comment>
    <comment ref="E221" authorId="0" shapeId="0" xr:uid="{F802DE4A-0A45-4B03-A8AB-98CCD2F2D6FC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 </t>
        </r>
      </text>
    </comment>
    <comment ref="C222" authorId="0" shapeId="0" xr:uid="{F0A08CDB-83A6-4917-BBF8-B89797A2238A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用于EUT三相10000VAC/500A用电（可带逆变器）用4个</t>
        </r>
      </text>
    </comment>
    <comment ref="E222" authorId="0" shapeId="0" xr:uid="{D5667BB7-0004-4E46-BA04-09E5DC1FC01D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</t>
        </r>
      </text>
    </comment>
    <comment ref="C223" authorId="0" shapeId="0" xr:uid="{06AC3350-E08C-4BCE-9573-14525A9F0CF9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用于EUT三相35000VAC/500A用电（可带逆变器）用2个</t>
        </r>
      </text>
    </comment>
    <comment ref="E223" authorId="0" shapeId="0" xr:uid="{AC84F601-B2CF-44A4-870D-79BB04251787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保证系统正常启动，插损：100dB @3MHz</t>
        </r>
      </text>
    </comment>
    <comment ref="B230" authorId="0" shapeId="0" xr:uid="{712FDC96-DB66-4DA6-A388-C996CB379C9A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此滤波器为常规滤波器。如果滤波器应用于充电桩/储能/逆变器/变频器等对Cy电容有特殊需求的场景，需要定制特殊滤波器</t>
        </r>
      </text>
    </comment>
    <comment ref="C232" authorId="0" shapeId="0" xr:uid="{89E81A98-0F05-4888-AFB4-BF1718B6CFD4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（低漏需求，需要现场调试）</t>
        </r>
      </text>
    </comment>
    <comment ref="B240" authorId="0" shapeId="0" xr:uid="{E4957819-BAE4-4E39-B0FE-1B3DA326CD78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三相AC1500V 50Hz 400A，此滤波器为单线滤波器，一个交流供电，需要4个这样的滤波器</t>
        </r>
      </text>
    </comment>
    <comment ref="C240" authorId="0" shapeId="0" xr:uid="{A05D518A-0FDF-430D-AE34-E8690B9E6077}">
      <text>
        <r>
          <rPr>
            <b/>
            <sz val="9"/>
            <color indexed="81"/>
            <rFont val="宋体"/>
            <family val="3"/>
            <charset val="134"/>
          </rPr>
          <t>Zou Wenxia:</t>
        </r>
        <r>
          <rPr>
            <sz val="9"/>
            <color indexed="81"/>
            <rFont val="宋体"/>
            <family val="3"/>
            <charset val="134"/>
          </rPr>
          <t xml:space="preserve">
（低漏电流的： 这款是交流的，不需要调试）</t>
        </r>
      </text>
    </comment>
  </commentList>
</comments>
</file>

<file path=xl/sharedStrings.xml><?xml version="1.0" encoding="utf-8"?>
<sst xmlns="http://schemas.openxmlformats.org/spreadsheetml/2006/main" count="557" uniqueCount="437">
  <si>
    <t>Item</t>
  </si>
  <si>
    <t>Description</t>
  </si>
  <si>
    <t>Unit Cost</t>
    <phoneticPr fontId="4" type="noConversion"/>
  </si>
  <si>
    <t>Qty</t>
    <phoneticPr fontId="4" type="noConversion"/>
  </si>
  <si>
    <t>Cost</t>
    <phoneticPr fontId="4" type="noConversion"/>
  </si>
  <si>
    <t>Total</t>
    <phoneticPr fontId="5" type="noConversion"/>
  </si>
  <si>
    <t>chamber1</t>
    <phoneticPr fontId="5" type="noConversion"/>
  </si>
  <si>
    <t>CR1</t>
    <phoneticPr fontId="5" type="noConversion"/>
  </si>
  <si>
    <t>AR1</t>
    <phoneticPr fontId="5" type="noConversion"/>
  </si>
  <si>
    <t>SR1</t>
    <phoneticPr fontId="5" type="noConversion"/>
  </si>
  <si>
    <t>SR2</t>
    <phoneticPr fontId="5" type="noConversion"/>
  </si>
  <si>
    <t>SR3</t>
    <phoneticPr fontId="5" type="noConversion"/>
  </si>
  <si>
    <t>BJ700420</t>
    <phoneticPr fontId="7" type="noConversion"/>
  </si>
  <si>
    <r>
      <rPr>
        <sz val="10"/>
        <rFont val="宋体"/>
        <family val="3"/>
        <charset val="134"/>
      </rPr>
      <t>沃姆克电话滤波器</t>
    </r>
    <r>
      <rPr>
        <sz val="10"/>
        <rFont val="Arial"/>
        <family val="2"/>
      </rPr>
      <t xml:space="preserve">SF-T2 100dB,100KHz-40GHz </t>
    </r>
    <r>
      <rPr>
        <sz val="10"/>
        <rFont val="宋体"/>
        <family val="3"/>
        <charset val="134"/>
      </rPr>
      <t>（常用）</t>
    </r>
    <phoneticPr fontId="4" type="noConversion"/>
  </si>
  <si>
    <r>
      <rPr>
        <sz val="10"/>
        <rFont val="等线"/>
        <family val="2"/>
        <charset val="134"/>
      </rPr>
      <t>坚力电话滤波器</t>
    </r>
    <r>
      <rPr>
        <sz val="10"/>
        <rFont val="Arial"/>
        <family val="2"/>
      </rPr>
      <t>XL-20K-C55, 100dB,100KHz-18GHz</t>
    </r>
  </si>
  <si>
    <t>2026.1.9</t>
    <phoneticPr fontId="4" type="noConversion"/>
  </si>
  <si>
    <t>SF210-5</t>
  </si>
  <si>
    <t>2026.1.9</t>
    <phoneticPr fontId="7" type="noConversion"/>
  </si>
  <si>
    <r>
      <t>XL-K2-C55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5A</t>
    </r>
    <r>
      <rPr>
        <sz val="10"/>
        <rFont val="宋体"/>
        <family val="3"/>
        <charset val="134"/>
      </rPr>
      <t>）</t>
    </r>
  </si>
  <si>
    <t>BJ700421</t>
    <phoneticPr fontId="7" type="noConversion"/>
  </si>
  <si>
    <r>
      <rPr>
        <sz val="10"/>
        <rFont val="宋体"/>
        <family val="3"/>
        <charset val="134"/>
      </rPr>
      <t>沃姆克空调控制滤波器</t>
    </r>
    <r>
      <rPr>
        <sz val="10"/>
        <rFont val="Arial"/>
        <family val="2"/>
      </rPr>
      <t>SF202-10, 100KHz</t>
    </r>
    <phoneticPr fontId="4" type="noConversion"/>
  </si>
  <si>
    <r>
      <rPr>
        <sz val="10"/>
        <rFont val="等线"/>
        <family val="2"/>
        <charset val="134"/>
      </rPr>
      <t>坚力空调控制滤波器</t>
    </r>
    <r>
      <rPr>
        <sz val="10"/>
        <rFont val="Arial"/>
        <family val="2"/>
      </rPr>
      <t>XL-K2-C55, 100KHz-18GHz</t>
    </r>
  </si>
  <si>
    <t>2024.8.26</t>
    <phoneticPr fontId="4" type="noConversion"/>
  </si>
  <si>
    <r>
      <t>SF202-16 (2x16A, 250VAC/500VDC</t>
    </r>
    <r>
      <rPr>
        <sz val="12"/>
        <rFont val="Times New Roman"/>
        <family val="1"/>
      </rPr>
      <t>)</t>
    </r>
    <phoneticPr fontId="4" type="noConversion"/>
  </si>
  <si>
    <t>BJ700422</t>
    <phoneticPr fontId="7" type="noConversion"/>
  </si>
  <si>
    <r>
      <rPr>
        <sz val="10"/>
        <rFont val="宋体"/>
        <family val="3"/>
        <charset val="134"/>
      </rPr>
      <t>沃姆克网络滤波器</t>
    </r>
    <r>
      <rPr>
        <sz val="10"/>
        <rFont val="Arial"/>
        <family val="2"/>
      </rPr>
      <t>SF803 10M/S</t>
    </r>
    <phoneticPr fontId="4" type="noConversion"/>
  </si>
  <si>
    <t>BJ700425</t>
    <phoneticPr fontId="7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</si>
  <si>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SF210-1, 250VDC, 2x1A, 0-20kHz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</si>
  <si>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XL-20K-M-C55, 250VDC, 14kHz-40kHz</t>
    </r>
  </si>
  <si>
    <r>
      <t>WEMC Filter,SF210-1/A2,250VAC,</t>
    </r>
    <r>
      <rPr>
        <sz val="10"/>
        <rFont val="微软雅黑"/>
        <family val="2"/>
        <charset val="134"/>
      </rPr>
      <t>出口印度用</t>
    </r>
    <phoneticPr fontId="4" type="noConversion"/>
  </si>
  <si>
    <t>2022.7.11</t>
    <phoneticPr fontId="4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</si>
  <si>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SF210-2</t>
    </r>
    <phoneticPr fontId="4" type="noConversion"/>
  </si>
  <si>
    <t>2024.8.5</t>
    <phoneticPr fontId="4" type="noConversion"/>
  </si>
  <si>
    <r>
      <rPr>
        <sz val="10"/>
        <rFont val="宋体"/>
        <family val="2"/>
        <charset val="134"/>
      </rPr>
      <t>沃姆克信号滤波器</t>
    </r>
    <r>
      <rPr>
        <sz val="10"/>
        <rFont val="Arial"/>
        <family val="2"/>
      </rPr>
      <t>SF210-1/8(16x1A, 250VAC/VDC)</t>
    </r>
    <phoneticPr fontId="4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</si>
  <si>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SF210-1/10</t>
    </r>
    <phoneticPr fontId="4" type="noConversion"/>
  </si>
  <si>
    <t>BJ700441</t>
    <phoneticPr fontId="7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</si>
  <si>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SF203-1, 100VDC, 2x1A, 0-6MHz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</si>
  <si>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XL-V2-C55, 100VDC, 2x1A, 0-6MHz</t>
    </r>
  </si>
  <si>
    <t>2025.6.3</t>
    <phoneticPr fontId="4" type="noConversion"/>
  </si>
  <si>
    <t>SF203-2/10</t>
    <phoneticPr fontId="4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</si>
  <si>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SF303-1</t>
    </r>
    <phoneticPr fontId="3" type="noConversion"/>
  </si>
  <si>
    <r>
      <rPr>
        <sz val="10"/>
        <rFont val="微软雅黑"/>
        <family val="2"/>
        <charset val="134"/>
      </rPr>
      <t>沃姆克网络滤波器</t>
    </r>
    <r>
      <rPr>
        <sz val="10"/>
        <rFont val="Arial"/>
        <family val="2"/>
      </rPr>
      <t>SF403-1, 4x1A, 250VDC</t>
    </r>
    <r>
      <rPr>
        <sz val="10"/>
        <rFont val="Arial"/>
        <family val="2"/>
        <charset val="134"/>
      </rPr>
      <t>(0-6MHz)</t>
    </r>
    <phoneticPr fontId="3" type="noConversion"/>
  </si>
  <si>
    <t>XL-K4-M</t>
    <phoneticPr fontId="4" type="noConversion"/>
  </si>
  <si>
    <t>2025.9.26</t>
    <phoneticPr fontId="4" type="noConversion"/>
  </si>
  <si>
    <t>WEMC Filter,SF403-1/C1,4x1A,250VAC/250VDC(0-4MHz)</t>
    <phoneticPr fontId="4" type="noConversion"/>
  </si>
  <si>
    <r>
      <t>沃姆克网络滤波器</t>
    </r>
    <r>
      <rPr>
        <sz val="10"/>
        <rFont val="Arial"/>
        <family val="2"/>
      </rPr>
      <t>SF403-10/C1, 4x10A,250VDC/250VAC</t>
    </r>
    <phoneticPr fontId="4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</si>
  <si>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SF803-1</t>
    </r>
    <phoneticPr fontId="3" type="noConversion"/>
  </si>
  <si>
    <t>BJ700438</t>
    <phoneticPr fontId="7" type="noConversion"/>
  </si>
  <si>
    <r>
      <rPr>
        <sz val="10"/>
        <rFont val="宋体"/>
        <family val="3"/>
        <charset val="134"/>
      </rPr>
      <t>沃姆克网络滤波器</t>
    </r>
    <r>
      <rPr>
        <sz val="10"/>
        <rFont val="Arial"/>
        <family val="2"/>
      </rPr>
      <t>SF-LAN100/02, 10K-40G-100dB</t>
    </r>
    <phoneticPr fontId="4" type="noConversion"/>
  </si>
  <si>
    <r>
      <rPr>
        <sz val="10"/>
        <rFont val="等线"/>
        <family val="2"/>
        <charset val="134"/>
      </rPr>
      <t>坚力网络滤波器百兆网</t>
    </r>
    <r>
      <rPr>
        <sz val="10"/>
        <rFont val="Arial"/>
        <family val="2"/>
      </rPr>
      <t>,XL-V8-C55,</t>
    </r>
  </si>
  <si>
    <t>BJ700443</t>
    <phoneticPr fontId="7" type="noConversion"/>
  </si>
  <si>
    <r>
      <rPr>
        <sz val="10"/>
        <rFont val="宋体"/>
        <family val="3"/>
        <charset val="134"/>
      </rPr>
      <t>沃姆克网络滤波器</t>
    </r>
    <r>
      <rPr>
        <sz val="10"/>
        <rFont val="Arial"/>
        <family val="2"/>
      </rPr>
      <t>SF-LAN1000/02, 10K-40G-100dB</t>
    </r>
    <phoneticPr fontId="4" type="noConversion"/>
  </si>
  <si>
    <r>
      <rPr>
        <sz val="10"/>
        <rFont val="等线"/>
        <family val="2"/>
        <charset val="134"/>
      </rPr>
      <t>坚力网络滤波器千兆网</t>
    </r>
    <r>
      <rPr>
        <sz val="10"/>
        <rFont val="Arial"/>
        <family val="2"/>
      </rPr>
      <t>,XL-V8-GOF-C55,</t>
    </r>
  </si>
  <si>
    <r>
      <rPr>
        <sz val="10"/>
        <rFont val="宋体"/>
        <family val="3"/>
        <charset val="134"/>
      </rPr>
      <t>沃姆克网络滤波器</t>
    </r>
    <r>
      <rPr>
        <sz val="10"/>
        <rFont val="Arial"/>
        <family val="2"/>
      </rPr>
      <t>SF-LAN100/04</t>
    </r>
    <r>
      <rPr>
        <sz val="10"/>
        <rFont val="宋体"/>
        <family val="3"/>
        <charset val="134"/>
      </rPr>
      <t>暗室用</t>
    </r>
    <r>
      <rPr>
        <sz val="10"/>
        <rFont val="Arial"/>
        <family val="2"/>
      </rPr>
      <t>, 10K-40G-100dB</t>
    </r>
    <phoneticPr fontId="4" type="noConversion"/>
  </si>
  <si>
    <r>
      <rPr>
        <sz val="10"/>
        <rFont val="宋体"/>
        <family val="3"/>
        <charset val="134"/>
      </rPr>
      <t>沃姆克网络滤波器</t>
    </r>
    <r>
      <rPr>
        <sz val="10"/>
        <rFont val="Arial"/>
        <family val="2"/>
      </rPr>
      <t>SF-LAN1000/04</t>
    </r>
    <r>
      <rPr>
        <sz val="10"/>
        <rFont val="宋体"/>
        <family val="3"/>
        <charset val="134"/>
      </rPr>
      <t>暗室用</t>
    </r>
    <r>
      <rPr>
        <sz val="10"/>
        <rFont val="Arial"/>
        <family val="2"/>
      </rPr>
      <t>, 10K-40G-100dB</t>
    </r>
    <phoneticPr fontId="4" type="noConversion"/>
  </si>
  <si>
    <t>2023.12.4</t>
    <phoneticPr fontId="4" type="noConversion"/>
  </si>
  <si>
    <t>SF-LAN100/POE</t>
    <phoneticPr fontId="4" type="noConversion"/>
  </si>
  <si>
    <t>SF-LAN1000/POE</t>
    <phoneticPr fontId="4" type="noConversion"/>
  </si>
  <si>
    <t>2024.6.14</t>
    <phoneticPr fontId="4" type="noConversion"/>
  </si>
  <si>
    <t>SF-LAN10G</t>
    <phoneticPr fontId="4" type="noConversion"/>
  </si>
  <si>
    <t>BJ700444</t>
    <phoneticPr fontId="7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</si>
  <si>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SF-RS232, 14KHz-40GHz-100dB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</si>
  <si>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XL-RS232-C55, 14kHz-40kHz</t>
    </r>
  </si>
  <si>
    <t>BJ700445</t>
    <phoneticPr fontId="7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</si>
  <si>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SF-VGA, 14KHz-18GHz-100dB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</si>
  <si>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XL-VGA-C55, 14KHz-40GHz-100dB</t>
    </r>
  </si>
  <si>
    <t>BJ700446</t>
    <phoneticPr fontId="7" type="noConversion"/>
  </si>
  <si>
    <r>
      <rPr>
        <sz val="10"/>
        <rFont val="宋体"/>
        <family val="3"/>
        <charset val="134"/>
      </rPr>
      <t>沃姆克网络滤波器</t>
    </r>
    <r>
      <rPr>
        <sz val="10"/>
        <rFont val="Arial"/>
        <family val="2"/>
      </rPr>
      <t>SF-USB, 14KHz-40GHz</t>
    </r>
    <phoneticPr fontId="4" type="noConversion"/>
  </si>
  <si>
    <r>
      <rPr>
        <sz val="10"/>
        <rFont val="等线"/>
        <family val="2"/>
        <charset val="134"/>
      </rPr>
      <t>坚力网络滤波器</t>
    </r>
    <r>
      <rPr>
        <sz val="10"/>
        <rFont val="Arial"/>
        <family val="2"/>
      </rPr>
      <t>XL-V5-USB2.0, 100KHz-10GHz</t>
    </r>
    <phoneticPr fontId="4" type="noConversion"/>
  </si>
  <si>
    <t>FC-USB3L</t>
    <phoneticPr fontId="4" type="noConversion"/>
  </si>
  <si>
    <t>FC-USB3G</t>
    <phoneticPr fontId="4" type="noConversion"/>
  </si>
  <si>
    <t>SF-GPIB</t>
    <phoneticPr fontId="4" type="noConversion"/>
  </si>
  <si>
    <t>2025.9.19</t>
    <phoneticPr fontId="4" type="noConversion"/>
  </si>
  <si>
    <t>PF161c-32</t>
    <phoneticPr fontId="4" type="noConversion"/>
  </si>
  <si>
    <t>PF161c-32/1000VDC</t>
    <phoneticPr fontId="4" type="noConversion"/>
  </si>
  <si>
    <t>2024.5.29</t>
    <phoneticPr fontId="4" type="noConversion"/>
  </si>
  <si>
    <t>PF161c-63</t>
    <phoneticPr fontId="4" type="noConversion"/>
  </si>
  <si>
    <t>2024.9.10</t>
    <phoneticPr fontId="4" type="noConversion"/>
  </si>
  <si>
    <r>
      <t xml:space="preserve">SJ-POE1000-1GM-1GT </t>
    </r>
    <r>
      <rPr>
        <sz val="10"/>
        <rFont val="微软雅黑"/>
        <family val="2"/>
        <charset val="134"/>
      </rPr>
      <t>光电转换器</t>
    </r>
    <phoneticPr fontId="5" type="noConversion"/>
  </si>
  <si>
    <r>
      <t>10Gbit/s</t>
    </r>
    <r>
      <rPr>
        <sz val="10"/>
        <rFont val="宋体"/>
        <family val="2"/>
        <charset val="134"/>
      </rPr>
      <t>网络光电转换器</t>
    </r>
    <phoneticPr fontId="4" type="noConversion"/>
  </si>
  <si>
    <t>BJ256184</t>
  </si>
  <si>
    <r>
      <t>光电转换器</t>
    </r>
    <r>
      <rPr>
        <sz val="10"/>
        <rFont val="Arial"/>
        <family val="2"/>
      </rPr>
      <t>, NI GPIB-140B(PART NO:787723-01,</t>
    </r>
    <r>
      <rPr>
        <sz val="10"/>
        <rFont val="宋体"/>
        <family val="3"/>
        <charset val="134"/>
      </rPr>
      <t>电压</t>
    </r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</si>
  <si>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SF-GPIB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</si>
  <si>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XL-GPIB-C55, 100MHz-40GHz</t>
    </r>
    <phoneticPr fontId="4" type="noConversion"/>
  </si>
  <si>
    <r>
      <rPr>
        <sz val="10"/>
        <rFont val="Arial"/>
        <family val="3"/>
      </rPr>
      <t xml:space="preserve">WEMC Filter </t>
    </r>
    <r>
      <rPr>
        <sz val="10"/>
        <rFont val="Arial"/>
        <family val="2"/>
      </rPr>
      <t>SF-HDMI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</si>
  <si>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XL-HDMI-C55, 10kHz-100MHz</t>
    </r>
    <phoneticPr fontId="4" type="noConversion"/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</si>
  <si>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SF-CANBUS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</si>
  <si>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XL-CANBUS-C55, 10kHz-40GHz</t>
    </r>
    <phoneticPr fontId="4" type="noConversion"/>
  </si>
  <si>
    <r>
      <t>SF-CAN/C2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线</t>
    </r>
    <r>
      <rPr>
        <sz val="10"/>
        <rFont val="Arial"/>
        <family val="2"/>
      </rPr>
      <t>CAN</t>
    </r>
    <r>
      <rPr>
        <sz val="10"/>
        <rFont val="宋体"/>
        <family val="3"/>
        <charset val="134"/>
      </rPr>
      <t>）</t>
    </r>
    <phoneticPr fontId="4" type="noConversion"/>
  </si>
  <si>
    <r>
      <t>SF-CAN/C2/2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线</t>
    </r>
    <r>
      <rPr>
        <sz val="10"/>
        <rFont val="Arial"/>
        <family val="2"/>
      </rPr>
      <t>CAN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</si>
  <si>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沃姆克信号滤波器</t>
    </r>
    <r>
      <rPr>
        <sz val="10"/>
        <rFont val="Arial"/>
        <family val="2"/>
      </rPr>
      <t>SF-PWM/CP</t>
    </r>
    <phoneticPr fontId="4" type="noConversion"/>
  </si>
  <si>
    <r>
      <rPr>
        <sz val="10"/>
        <rFont val="等线"/>
        <family val="2"/>
        <charset val="134"/>
      </rPr>
      <t>坚力信号滤波器</t>
    </r>
    <r>
      <rPr>
        <sz val="10"/>
        <rFont val="Arial"/>
        <family val="2"/>
      </rPr>
      <t>XL-PWM-CP-C55, 10kHz-40GHz</t>
    </r>
  </si>
  <si>
    <t>BJ700442</t>
    <phoneticPr fontId="7" type="noConversion"/>
  </si>
  <si>
    <t>沃姆克滤波器SF206-1，24V，两路</t>
    <phoneticPr fontId="4" type="noConversion"/>
  </si>
  <si>
    <t>电源滤波器，沃姆克PF206-15/A1</t>
    <phoneticPr fontId="4" type="noConversion"/>
  </si>
  <si>
    <t>150kHz~40GHz</t>
    <phoneticPr fontId="4" type="noConversion"/>
  </si>
  <si>
    <t>BJ700439</t>
    <phoneticPr fontId="7" type="noConversion"/>
  </si>
  <si>
    <t>沃姆克PF202A-16(220V/16A),150K-40G-100dB</t>
    <phoneticPr fontId="4" type="noConversion"/>
  </si>
  <si>
    <t>沃姆克网络滤波器SF202-16 (2x16A, 250VAC/500VDC)</t>
  </si>
  <si>
    <t>BJ700426</t>
    <phoneticPr fontId="7" type="noConversion"/>
  </si>
  <si>
    <t>沃姆克电源滤波器PF202A-25</t>
    <phoneticPr fontId="4" type="noConversion"/>
  </si>
  <si>
    <t>BJ700440</t>
    <phoneticPr fontId="7" type="noConversion"/>
  </si>
  <si>
    <t>沃姆克电源滤波器PF202A-32(220V/32A)150K-40G-100dB</t>
    <phoneticPr fontId="4" type="noConversion"/>
  </si>
  <si>
    <t>2024.8.22</t>
    <phoneticPr fontId="4" type="noConversion"/>
  </si>
  <si>
    <t>PF402A-6/C1</t>
    <phoneticPr fontId="5" type="noConversion"/>
  </si>
  <si>
    <t>BJ700447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</si>
  <si>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PF402A-32, 150KHz-10GHz-100dB</t>
    </r>
    <phoneticPr fontId="4" type="noConversion"/>
  </si>
  <si>
    <t>BJ700448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</si>
  <si>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PF402A-63, 150KHz-40GHz-100dB</t>
    </r>
    <phoneticPr fontId="4" type="noConversion"/>
  </si>
  <si>
    <t>BJ700449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</si>
  <si>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PF402A-100, 150KHz-18GHz-100dB</t>
    </r>
    <phoneticPr fontId="4" type="noConversion"/>
  </si>
  <si>
    <t>BJ700451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</si>
  <si>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PF203A-16(250V/16A)14K-40G-100dB</t>
    </r>
    <phoneticPr fontId="4" type="noConversion"/>
  </si>
  <si>
    <t>BJ700450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</si>
  <si>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PF203A-32(250V/32A)14K-40G-100dB</t>
    </r>
    <phoneticPr fontId="4" type="noConversion"/>
  </si>
  <si>
    <t>沃姆克网络滤波器PF262A-32/C1/UL, 150K-40G-100dB</t>
  </si>
  <si>
    <t>2025.6.24</t>
    <phoneticPr fontId="4" type="noConversion"/>
  </si>
  <si>
    <t>PF262A-16</t>
    <phoneticPr fontId="4" type="noConversion"/>
  </si>
  <si>
    <t>单相 220V 16A 50/60Hz电源滤波器</t>
    <phoneticPr fontId="4" type="noConversion"/>
  </si>
  <si>
    <t>PF262A-32</t>
    <phoneticPr fontId="4" type="noConversion"/>
  </si>
  <si>
    <t>单相32A 50/60Hz 250V 电源滤波器</t>
    <phoneticPr fontId="4" type="noConversion"/>
  </si>
  <si>
    <t>PF262A-63</t>
    <phoneticPr fontId="4" type="noConversion"/>
  </si>
  <si>
    <t>单相63A 400VDC 电源滤波器</t>
    <phoneticPr fontId="4" type="noConversion"/>
  </si>
  <si>
    <t>2025.8.25</t>
    <phoneticPr fontId="4" type="noConversion"/>
  </si>
  <si>
    <t>PF262A-100</t>
    <phoneticPr fontId="4" type="noConversion"/>
  </si>
  <si>
    <t>DC1000V 100A 电源滤波器</t>
    <phoneticPr fontId="4" type="noConversion"/>
  </si>
  <si>
    <t>PF262A-100/1000VDC</t>
    <phoneticPr fontId="4" type="noConversion"/>
  </si>
  <si>
    <t>2025.3.6</t>
    <phoneticPr fontId="4" type="noConversion"/>
  </si>
  <si>
    <t>PF262A-200/1200VDC</t>
    <phoneticPr fontId="4" type="noConversion"/>
  </si>
  <si>
    <t>PF462A-32</t>
    <phoneticPr fontId="4" type="noConversion"/>
  </si>
  <si>
    <t>AC380V 32A 50/60Hz 电源滤波器</t>
    <phoneticPr fontId="4" type="noConversion"/>
  </si>
  <si>
    <t>PF462A-63</t>
    <phoneticPr fontId="4" type="noConversion"/>
  </si>
  <si>
    <t>AC380V 63A 50/60Hz 电源滤波器</t>
    <phoneticPr fontId="4" type="noConversion"/>
  </si>
  <si>
    <t>PF462A-100</t>
    <phoneticPr fontId="4" type="noConversion"/>
  </si>
  <si>
    <t>PF162A-1000A/1200VDC</t>
    <phoneticPr fontId="4" type="noConversion"/>
  </si>
  <si>
    <t>PF162-1000/1500VDC/N1</t>
    <phoneticPr fontId="4" type="noConversion"/>
  </si>
  <si>
    <t>PF162A-1500/1000VAC</t>
    <phoneticPr fontId="4" type="noConversion"/>
  </si>
  <si>
    <t>2024.4.3</t>
    <phoneticPr fontId="4" type="noConversion"/>
  </si>
  <si>
    <t>PF262A-600/1500VDC</t>
    <phoneticPr fontId="4" type="noConversion"/>
  </si>
  <si>
    <t>BJ700419</t>
    <phoneticPr fontId="7" type="noConversion"/>
  </si>
  <si>
    <t>沃姆克电源滤波器PF202C-16(220V/16A)14K-40G-100dB</t>
    <phoneticPr fontId="4" type="noConversion"/>
  </si>
  <si>
    <t>BJ700418</t>
    <phoneticPr fontId="7" type="noConversion"/>
  </si>
  <si>
    <t>沃姆克电源滤波器PF202C-32(220V/30A)14K-40G-100dB</t>
    <phoneticPr fontId="4" type="noConversion"/>
  </si>
  <si>
    <t>BJ700436</t>
    <phoneticPr fontId="7" type="noConversion"/>
  </si>
  <si>
    <t>沃姆克滤波器PF202C50(220V/50A)14K-40G-100dB</t>
    <phoneticPr fontId="4" type="noConversion"/>
  </si>
  <si>
    <t>BJ700430</t>
    <phoneticPr fontId="7" type="noConversion"/>
  </si>
  <si>
    <t>沃姆克滤波器PF202C63(220V/63A)14K-40G-100dB</t>
    <phoneticPr fontId="4" type="noConversion"/>
  </si>
  <si>
    <t>BJ700424</t>
    <phoneticPr fontId="7" type="noConversion"/>
  </si>
  <si>
    <t>沃姆克电源滤波器PF202C-70(220V/70A)14K-40G-100dB</t>
    <phoneticPr fontId="4" type="noConversion"/>
  </si>
  <si>
    <t>BJ700431</t>
    <phoneticPr fontId="7" type="noConversion"/>
  </si>
  <si>
    <t>沃姆克滤波器PF202C100(220V/100A)14K-40G-100dB</t>
    <phoneticPr fontId="4" type="noConversion"/>
  </si>
  <si>
    <t>BJ700432</t>
    <phoneticPr fontId="7" type="noConversion"/>
  </si>
  <si>
    <t>沃姆克滤波器PF402C16(380V/16A)14K-40G-100dB</t>
    <phoneticPr fontId="4" type="noConversion"/>
  </si>
  <si>
    <t>BJ700433</t>
    <phoneticPr fontId="7" type="noConversion"/>
  </si>
  <si>
    <t>沃姆克滤波器PF402C32(380V/32A)14K-40G-100dB</t>
    <phoneticPr fontId="4" type="noConversion"/>
  </si>
  <si>
    <t>BJ700423</t>
    <phoneticPr fontId="7" type="noConversion"/>
  </si>
  <si>
    <t>沃姆克电源滤波器PF402C-50(380V/50A)14K-40G-100dB</t>
    <phoneticPr fontId="4" type="noConversion"/>
  </si>
  <si>
    <t>BJ700437</t>
    <phoneticPr fontId="7" type="noConversion"/>
  </si>
  <si>
    <t>沃姆克滤波器PF402C50(380V/50A)14K-40G-100dB</t>
    <phoneticPr fontId="4" type="noConversion"/>
  </si>
  <si>
    <t>BJ700434</t>
    <phoneticPr fontId="7" type="noConversion"/>
  </si>
  <si>
    <t>沃姆克滤波器PF402C63(380V/63A)14K-40G-100dB</t>
    <phoneticPr fontId="4" type="noConversion"/>
  </si>
  <si>
    <t>BJ700435</t>
    <phoneticPr fontId="7" type="noConversion"/>
  </si>
  <si>
    <t>沃姆克滤波器PF402C100(380V/100A)14K-40G-100dB</t>
    <phoneticPr fontId="4" type="noConversion"/>
  </si>
  <si>
    <r>
      <rPr>
        <sz val="10"/>
        <color rgb="FFFF0000"/>
        <rFont val="宋体"/>
        <family val="2"/>
        <charset val="134"/>
      </rPr>
      <t>插入损耗</t>
    </r>
    <r>
      <rPr>
        <sz val="10"/>
        <color rgb="FFFF0000"/>
        <rFont val="Arial"/>
        <family val="2"/>
      </rPr>
      <t>14kHz</t>
    </r>
    <r>
      <rPr>
        <sz val="10"/>
        <color rgb="FFFF0000"/>
        <rFont val="宋体"/>
        <family val="2"/>
        <charset val="134"/>
      </rPr>
      <t>～</t>
    </r>
    <r>
      <rPr>
        <sz val="10"/>
        <color rgb="FFFF0000"/>
        <rFont val="Arial"/>
        <family val="2"/>
      </rPr>
      <t>40GHz 100dB</t>
    </r>
    <phoneticPr fontId="4" type="noConversion"/>
  </si>
  <si>
    <t>PF262C-6/1200VDC</t>
    <phoneticPr fontId="7" type="noConversion"/>
  </si>
  <si>
    <t>BJ700452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</si>
  <si>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PF262C-16 (250VAC/500VDC/16A)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</si>
  <si>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,DL-2X16C55-JCL-H,250VAC</t>
    </r>
  </si>
  <si>
    <t>2025.1.7</t>
    <phoneticPr fontId="4" type="noConversion"/>
  </si>
  <si>
    <t>PF262C-16/1200VDC/A1</t>
    <phoneticPr fontId="7" type="noConversion"/>
  </si>
  <si>
    <t>BJ700453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</si>
  <si>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PF262C-32(250VAC/500VDC/32A)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</si>
  <si>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,DL-2X32C55-JCL-H,250VAC</t>
    </r>
  </si>
  <si>
    <t>2025.3.20</t>
    <phoneticPr fontId="4" type="noConversion"/>
  </si>
  <si>
    <r>
      <rPr>
        <sz val="10"/>
        <rFont val="宋体"/>
        <family val="2"/>
        <charset val="134"/>
      </rPr>
      <t>沃姆克电源滤波器</t>
    </r>
    <r>
      <rPr>
        <sz val="10"/>
        <rFont val="Arial"/>
        <family val="2"/>
      </rPr>
      <t>PF262C-32/1000VDC</t>
    </r>
    <phoneticPr fontId="4" type="noConversion"/>
  </si>
  <si>
    <r>
      <rPr>
        <sz val="10"/>
        <rFont val="宋体"/>
        <family val="2"/>
        <charset val="134"/>
      </rPr>
      <t>沃姆克电源滤波器</t>
    </r>
    <r>
      <rPr>
        <sz val="10"/>
        <rFont val="Arial"/>
        <family val="2"/>
      </rPr>
      <t>PF262C-32/1500VDC</t>
    </r>
    <phoneticPr fontId="4" type="noConversion"/>
  </si>
  <si>
    <t>2024.2.23</t>
    <phoneticPr fontId="4" type="noConversion"/>
  </si>
  <si>
    <r>
      <rPr>
        <sz val="10"/>
        <rFont val="宋体"/>
        <family val="2"/>
        <charset val="134"/>
      </rPr>
      <t>沃姆克电源滤波器</t>
    </r>
    <r>
      <rPr>
        <sz val="10"/>
        <rFont val="Arial"/>
        <family val="2"/>
      </rPr>
      <t>PF262C-32/2000VDC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</si>
  <si>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,DL-2X50C55-JCL-H,250VAC</t>
    </r>
  </si>
  <si>
    <t>2025.1.6</t>
    <phoneticPr fontId="4" type="noConversion"/>
  </si>
  <si>
    <r>
      <rPr>
        <sz val="10"/>
        <rFont val="微软雅黑"/>
        <family val="2"/>
        <charset val="134"/>
      </rPr>
      <t>直流</t>
    </r>
    <r>
      <rPr>
        <sz val="10"/>
        <rFont val="Arial"/>
        <family val="2"/>
      </rPr>
      <t xml:space="preserve">DC800V 50A  </t>
    </r>
    <phoneticPr fontId="4" type="noConversion"/>
  </si>
  <si>
    <t>BJ700454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</si>
  <si>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PF262C-63(250VAC/500VDC/63A)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</si>
  <si>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,DL-2X63C55-JCL-H,250VAC</t>
    </r>
  </si>
  <si>
    <t>2024.3.13</t>
    <phoneticPr fontId="4" type="noConversion"/>
  </si>
  <si>
    <t>PF262C-63/300V</t>
    <phoneticPr fontId="4" type="noConversion"/>
  </si>
  <si>
    <t>BJ700455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</si>
  <si>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PF262C-63/1000VDC(1000VDC/63A)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</si>
  <si>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,DL-2X63C55-JCL-H-CHV,DC1000V</t>
    </r>
  </si>
  <si>
    <t>2023.2.10</t>
    <phoneticPr fontId="4" type="noConversion"/>
  </si>
  <si>
    <t>PF262C-63/1500VDC</t>
    <phoneticPr fontId="4" type="noConversion"/>
  </si>
  <si>
    <t>2025.9.12</t>
    <phoneticPr fontId="4" type="noConversion"/>
  </si>
  <si>
    <t>PF262-63/1500VDC/EN</t>
    <phoneticPr fontId="7" type="noConversion"/>
  </si>
  <si>
    <t>BJ700456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</si>
  <si>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PF262C-100(250VAC/500VDC/100A)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</si>
  <si>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,DL-2X100C55-JCL-H,250VAC</t>
    </r>
  </si>
  <si>
    <t>2024.11.7</t>
    <phoneticPr fontId="4" type="noConversion"/>
  </si>
  <si>
    <t>PF262C-100/600VDC</t>
  </si>
  <si>
    <t xml:space="preserve">直流DC600V 100A  </t>
  </si>
  <si>
    <r>
      <rPr>
        <sz val="10"/>
        <rFont val="微软雅黑"/>
        <family val="2"/>
        <charset val="134"/>
      </rPr>
      <t>直流</t>
    </r>
    <r>
      <rPr>
        <sz val="10"/>
        <rFont val="Arial"/>
        <family val="2"/>
      </rPr>
      <t xml:space="preserve">DC800V 100A  </t>
    </r>
    <phoneticPr fontId="4" type="noConversion"/>
  </si>
  <si>
    <t>BJ700457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</si>
  <si>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PF262C-100/1000VDC(1000VDC/100A)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</si>
  <si>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,DL-2X100C55-JCL-H-CHV,DC1000V</t>
    </r>
  </si>
  <si>
    <t>2025.5.26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</si>
  <si>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PF262C-100/1000VAC</t>
    </r>
    <phoneticPr fontId="4" type="noConversion"/>
  </si>
  <si>
    <r>
      <rPr>
        <sz val="10"/>
        <rFont val="宋体"/>
        <family val="2"/>
        <charset val="134"/>
      </rPr>
      <t>沃姆克电源滤波器</t>
    </r>
    <r>
      <rPr>
        <sz val="10"/>
        <rFont val="Arial"/>
        <family val="2"/>
      </rPr>
      <t>PF262C-100/1500VDC</t>
    </r>
    <phoneticPr fontId="4" type="noConversion"/>
  </si>
  <si>
    <t>2023.12.11</t>
    <phoneticPr fontId="4" type="noConversion"/>
  </si>
  <si>
    <t>DC1500V 50-60Hz 100A</t>
    <phoneticPr fontId="4" type="noConversion"/>
  </si>
  <si>
    <t>BJ700458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</si>
  <si>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PF262C-150(250VAC/500VDC/150A)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</si>
  <si>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,DL-2X150C55-JCL-H,250VAC</t>
    </r>
  </si>
  <si>
    <t>BJ700459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</si>
  <si>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PF262C-200(250VAC/500VDC/200A)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</si>
  <si>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,DL-2X200C55-JCL-H,250VAC</t>
    </r>
  </si>
  <si>
    <t>BJ700460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</si>
  <si>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PF262C-200/690VAC(690VAC/200A)</t>
    </r>
    <phoneticPr fontId="4" type="noConversion"/>
  </si>
  <si>
    <t>BJ700461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</si>
  <si>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PF262C-200/1000VDC(1000VDC/200A)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</si>
  <si>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,DL-2X200C55-JCL-H-CHV,DC1000V</t>
    </r>
  </si>
  <si>
    <t>BJ700462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</si>
  <si>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PF262C-200/1200VDC(1200VDC/200A)</t>
    </r>
    <phoneticPr fontId="4" type="noConversion"/>
  </si>
  <si>
    <t>BJ700463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</si>
  <si>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PF262C-200/1500VDC(1500VDC/200A)</t>
    </r>
    <phoneticPr fontId="4" type="noConversion"/>
  </si>
  <si>
    <t>2026.4.21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</si>
  <si>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PF262-200/1500VDC/PV</t>
    </r>
    <phoneticPr fontId="4" type="noConversion"/>
  </si>
  <si>
    <t>2024.7.3</t>
    <phoneticPr fontId="4" type="noConversion"/>
  </si>
  <si>
    <r>
      <rPr>
        <sz val="10"/>
        <color rgb="FF000000"/>
        <rFont val="微软雅黑"/>
        <family val="2"/>
        <charset val="134"/>
      </rPr>
      <t>直流</t>
    </r>
    <r>
      <rPr>
        <sz val="10"/>
        <color rgb="FF000000"/>
        <rFont val="Arial"/>
        <family val="2"/>
      </rPr>
      <t>DC1500V 200A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</si>
  <si>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PF262C-200/1600VDC</t>
    </r>
    <phoneticPr fontId="4" type="noConversion"/>
  </si>
  <si>
    <t>PF262-300/2000VDC/NAP1</t>
    <phoneticPr fontId="7" type="noConversion"/>
  </si>
  <si>
    <t>2025.4.2</t>
    <phoneticPr fontId="4" type="noConversion"/>
  </si>
  <si>
    <t>PF262-200/2000VDC/XC</t>
    <phoneticPr fontId="4" type="noConversion"/>
  </si>
  <si>
    <t>BJ700464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</si>
  <si>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PF262C-250(250VAC/500VDC/250A)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</si>
  <si>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PF262C-250/1000VDC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</si>
  <si>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,DL-2X250C55-JCL-H-CHV,DC1000V</t>
    </r>
    <phoneticPr fontId="4" type="noConversion"/>
  </si>
  <si>
    <t>BJ700465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</si>
  <si>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PF262C-250/1500VDC(1500VDC/250A)</t>
    </r>
    <phoneticPr fontId="4" type="noConversion"/>
  </si>
  <si>
    <t>2023.3.15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</si>
  <si>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PF262C-300/360VDC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</si>
  <si>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PF262C-300/1000VDC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</si>
  <si>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 xml:space="preserve">PF262C-300/1200VDC 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</si>
  <si>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PF262C-300/1500VDC</t>
    </r>
    <phoneticPr fontId="4" type="noConversion"/>
  </si>
  <si>
    <r>
      <rPr>
        <sz val="10"/>
        <rFont val="微软雅黑"/>
        <family val="2"/>
        <charset val="134"/>
      </rPr>
      <t>直流</t>
    </r>
    <r>
      <rPr>
        <sz val="10"/>
        <color rgb="FF000000"/>
        <rFont val="Arial"/>
        <family val="2"/>
      </rPr>
      <t>DC1500V 300A</t>
    </r>
    <phoneticPr fontId="4" type="noConversion"/>
  </si>
  <si>
    <t>2026.3.16</t>
  </si>
  <si>
    <t>PF262-300/2000VDC/NAP1</t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</si>
  <si>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PF262C-300/2000VDC</t>
    </r>
    <r>
      <rPr>
        <sz val="10"/>
        <rFont val="Arial"/>
        <family val="3"/>
        <charset val="134"/>
      </rPr>
      <t>/NS</t>
    </r>
    <phoneticPr fontId="4" type="noConversion"/>
  </si>
  <si>
    <r>
      <rPr>
        <sz val="10"/>
        <rFont val="微软雅黑"/>
        <family val="2"/>
        <charset val="134"/>
      </rPr>
      <t>直流</t>
    </r>
    <r>
      <rPr>
        <sz val="10"/>
        <color rgb="FF000000"/>
        <rFont val="Arial"/>
        <family val="2"/>
      </rPr>
      <t>DC2000V 300A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</si>
  <si>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PF262C-400/60VAC</t>
    </r>
    <phoneticPr fontId="4" type="noConversion"/>
  </si>
  <si>
    <t>2024.7.8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</si>
  <si>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PF262C-400/800VAC</t>
    </r>
    <phoneticPr fontId="4" type="noConversion"/>
  </si>
  <si>
    <t>直流DC800V/400A</t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</si>
  <si>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PF262C-400/1000VAC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</si>
  <si>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PF262C-400/1200VAC</t>
    </r>
    <phoneticPr fontId="4" type="noConversion"/>
  </si>
  <si>
    <t>2024.6.18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</si>
  <si>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PF262C-400/1500VDC</t>
    </r>
    <phoneticPr fontId="4" type="noConversion"/>
  </si>
  <si>
    <t>PF262-400/2000VDC/CN</t>
    <phoneticPr fontId="4" type="noConversion"/>
  </si>
  <si>
    <t xml:space="preserve">直流DC2000V 400A  </t>
  </si>
  <si>
    <t>适配储能滤波器现场调试费用</t>
    <phoneticPr fontId="7" type="noConversion"/>
  </si>
  <si>
    <t>PF262C-500/100VDC</t>
    <phoneticPr fontId="4" type="noConversion"/>
  </si>
  <si>
    <t>DC100V 50-60Hz 500A</t>
    <phoneticPr fontId="4" type="noConversion"/>
  </si>
  <si>
    <t>PF262C-500/500VDC</t>
    <phoneticPr fontId="4" type="noConversion"/>
  </si>
  <si>
    <t>PF262C-500/1600VDC</t>
    <phoneticPr fontId="4" type="noConversion"/>
  </si>
  <si>
    <t>PF262C-600/300VDC</t>
    <phoneticPr fontId="4" type="noConversion"/>
  </si>
  <si>
    <r>
      <rPr>
        <sz val="10"/>
        <rFont val="微软雅黑"/>
        <family val="2"/>
        <charset val="134"/>
      </rPr>
      <t>直流</t>
    </r>
    <r>
      <rPr>
        <sz val="10"/>
        <rFont val="Arial"/>
        <family val="2"/>
      </rPr>
      <t>DC300V 550A</t>
    </r>
    <phoneticPr fontId="4" type="noConversion"/>
  </si>
  <si>
    <t>2021.11.29</t>
    <phoneticPr fontId="4" type="noConversion"/>
  </si>
  <si>
    <t>PF262C-600/600VDC</t>
    <phoneticPr fontId="4" type="noConversion"/>
  </si>
  <si>
    <t>2022.4.7</t>
    <phoneticPr fontId="4" type="noConversion"/>
  </si>
  <si>
    <t>PF262C-600/1200VDC</t>
    <phoneticPr fontId="4" type="noConversion"/>
  </si>
  <si>
    <t>2025.11.14</t>
    <phoneticPr fontId="4" type="noConversion"/>
  </si>
  <si>
    <t>PF262C-600/1500VDC</t>
    <phoneticPr fontId="4" type="noConversion"/>
  </si>
  <si>
    <t>2025.3.25</t>
    <phoneticPr fontId="4" type="noConversion"/>
  </si>
  <si>
    <t>PF262C-600/2000VDC</t>
  </si>
  <si>
    <t>2024.10.22</t>
    <phoneticPr fontId="4" type="noConversion"/>
  </si>
  <si>
    <t>PF262C-800/1500VDC（350kgs）</t>
  </si>
  <si>
    <t>BJ700466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</si>
  <si>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PF462C-16(440VAC/250VAC/16A)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</si>
  <si>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,DL-4X16C55-JCL-H,440VAC</t>
    </r>
  </si>
  <si>
    <t>BJ700467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</si>
  <si>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PF462C-32(440VAC/250VAC/32A)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</si>
  <si>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,DL-4X32C55-JCL-H,440VAC</t>
    </r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</si>
  <si>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,DL-4X50C55-JCL-H,440VAC</t>
    </r>
  </si>
  <si>
    <t>BJ700468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</si>
  <si>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PF462C-63(440VAC/250VAC/63A)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</si>
  <si>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,DL-4X63C55-JCL-H,440VAC</t>
    </r>
  </si>
  <si>
    <t>PF462C-63/690VAC</t>
    <phoneticPr fontId="4" type="noConversion"/>
  </si>
  <si>
    <t>2021.11.15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</si>
  <si>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PF462C-75(440VAC/250VAC/75A)</t>
    </r>
    <phoneticPr fontId="4" type="noConversion"/>
  </si>
  <si>
    <t>BJ700469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</si>
  <si>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PF462C-100(440VAC/250VAC/100A)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</si>
  <si>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,DL-4X100C55-JCL-H,440VAC</t>
    </r>
  </si>
  <si>
    <t>PF462-100/EN</t>
    <phoneticPr fontId="7" type="noConversion"/>
  </si>
  <si>
    <t>PF462C-100/690V</t>
    <phoneticPr fontId="4" type="noConversion"/>
  </si>
  <si>
    <t>PF462-100/690VAC/EC</t>
    <phoneticPr fontId="4" type="noConversion"/>
  </si>
  <si>
    <t>BJ700470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</si>
  <si>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PF462C-150(440VAC/250VAC/150A)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</si>
  <si>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,DL-4X150C55-JCL-H,440VAC</t>
    </r>
  </si>
  <si>
    <t>2023.5.31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</si>
  <si>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PF462C-150/690VAC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</si>
  <si>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PF462C-150/800VAC</t>
    </r>
    <phoneticPr fontId="4" type="noConversion"/>
  </si>
  <si>
    <t>BJ700471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</si>
  <si>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PF462C-200(440VAC/250VAC/200A)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</si>
  <si>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,DL-4X200C55-JCL-H,440VAC</t>
    </r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</si>
  <si>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PF462C-200/690VAC</t>
    </r>
    <phoneticPr fontId="4" type="noConversion"/>
  </si>
  <si>
    <t>BJ700472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</si>
  <si>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PF462C-250(440VAC/250VAC/250A)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</si>
  <si>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,DL-4X250C55-JCL-H,440VAC</t>
    </r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</si>
  <si>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PF462C-250/690VAC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</si>
  <si>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PF462C-300(440VAC/250VAC/300A)</t>
    </r>
    <phoneticPr fontId="4" type="noConversion"/>
  </si>
  <si>
    <r>
      <rPr>
        <sz val="10"/>
        <rFont val="微软雅黑"/>
        <family val="2"/>
        <charset val="134"/>
      </rPr>
      <t>三相</t>
    </r>
    <r>
      <rPr>
        <sz val="10"/>
        <color rgb="FF000000"/>
        <rFont val="Arial"/>
        <family val="2"/>
      </rPr>
      <t>AC380V 300A 50/60Hz</t>
    </r>
    <phoneticPr fontId="4" type="noConversion"/>
  </si>
  <si>
    <t>PF462C-300/690VAC</t>
    <phoneticPr fontId="4" type="noConversion"/>
  </si>
  <si>
    <t>PF462-300/690VAC/EC</t>
    <phoneticPr fontId="4" type="noConversion"/>
  </si>
  <si>
    <t>2025.4.21</t>
    <phoneticPr fontId="7" type="noConversion"/>
  </si>
  <si>
    <t>PF462C-300/800VAC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</si>
  <si>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PF462C-400(440VAC/250VAC/200A)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</si>
  <si>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PF462C-400/690V</t>
    </r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</si>
  <si>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PF462C-400/800V</t>
    </r>
    <phoneticPr fontId="4" type="noConversion"/>
  </si>
  <si>
    <t>2023.3.</t>
    <phoneticPr fontId="4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</si>
  <si>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PF462C-500/690VAC</t>
    </r>
    <phoneticPr fontId="4" type="noConversion"/>
  </si>
  <si>
    <t>PF462-500/690VAC/EN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</si>
  <si>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PF462C-500/800VAC</t>
    </r>
    <phoneticPr fontId="4" type="noConversion"/>
  </si>
  <si>
    <t>BJ700473</t>
    <phoneticPr fontId="7" type="noConversion"/>
  </si>
  <si>
    <r>
      <rPr>
        <sz val="10"/>
        <rFont val="宋体"/>
        <family val="3"/>
        <charset val="134"/>
      </rPr>
      <t>沃姆克电源滤波器</t>
    </r>
    <r>
      <rPr>
        <sz val="10"/>
        <rFont val="Arial"/>
        <family val="2"/>
      </rPr>
      <t>PF462C-600(440VAC/250VAC/600A)</t>
    </r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</si>
  <si>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,DL-4X600C55-JCL-H,440VAC</t>
    </r>
    <phoneticPr fontId="7" type="noConversion"/>
  </si>
  <si>
    <t>PF161C-32/1000VDC</t>
    <phoneticPr fontId="4" type="noConversion"/>
  </si>
  <si>
    <t>2024.11.1</t>
    <phoneticPr fontId="4" type="noConversion"/>
  </si>
  <si>
    <t>PF162-400/1000VDC/ECB</t>
    <phoneticPr fontId="4" type="noConversion"/>
  </si>
  <si>
    <t>PF162C-400/1500VAC</t>
    <phoneticPr fontId="4" type="noConversion"/>
  </si>
  <si>
    <r>
      <rPr>
        <sz val="10"/>
        <rFont val="微软雅黑"/>
        <family val="2"/>
        <charset val="134"/>
      </rPr>
      <t>三相</t>
    </r>
    <r>
      <rPr>
        <sz val="10"/>
        <color rgb="FF000000"/>
        <rFont val="Arial"/>
        <family val="2"/>
      </rPr>
      <t>AC1500V 50Hz 400A</t>
    </r>
    <phoneticPr fontId="4" type="noConversion"/>
  </si>
  <si>
    <t>2024.10.17</t>
    <phoneticPr fontId="4" type="noConversion"/>
  </si>
  <si>
    <t>PF162-400/1500VDC/N2</t>
    <phoneticPr fontId="5" type="noConversion"/>
  </si>
  <si>
    <t>BJ700474</t>
    <phoneticPr fontId="7" type="noConversion"/>
  </si>
  <si>
    <t>PF162C-500(250VAC/500VDC/500A)</t>
    <phoneticPr fontId="4" type="noConversion"/>
  </si>
  <si>
    <t>BJ700475</t>
    <phoneticPr fontId="7" type="noConversion"/>
  </si>
  <si>
    <t>PF162C-500/1000VDC(1000VDC/500A)</t>
    <phoneticPr fontId="4" type="noConversion"/>
  </si>
  <si>
    <t>2026.2.9</t>
    <phoneticPr fontId="7" type="noConversion"/>
  </si>
  <si>
    <t>PF162C-600/1200VDC</t>
  </si>
  <si>
    <t>PF162C-700/690VAC</t>
    <phoneticPr fontId="4" type="noConversion"/>
  </si>
  <si>
    <t>PF162C-700/1600VDC</t>
    <phoneticPr fontId="4" type="noConversion"/>
  </si>
  <si>
    <t>PF162-700/2000VDC/EN</t>
    <phoneticPr fontId="7" type="noConversion"/>
  </si>
  <si>
    <t>2022.11.28</t>
    <phoneticPr fontId="4" type="noConversion"/>
  </si>
  <si>
    <t>PF162C-800</t>
    <phoneticPr fontId="4" type="noConversion"/>
  </si>
  <si>
    <t>2024.11.11</t>
    <phoneticPr fontId="4" type="noConversion"/>
  </si>
  <si>
    <t>PF162C-800/1200VDC</t>
    <phoneticPr fontId="4" type="noConversion"/>
  </si>
  <si>
    <r>
      <t>PF162-800/1500VDC,14K-40G-100dB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175kgs</t>
    </r>
    <r>
      <rPr>
        <sz val="12"/>
        <rFont val="宋体"/>
        <family val="3"/>
        <charset val="134"/>
      </rPr>
      <t>）</t>
    </r>
    <phoneticPr fontId="4" type="noConversion"/>
  </si>
  <si>
    <t>2025.3.28</t>
    <phoneticPr fontId="4" type="noConversion"/>
  </si>
  <si>
    <t>PF162C-800/2000VDC</t>
    <phoneticPr fontId="4" type="noConversion"/>
  </si>
  <si>
    <t>PF162C-900/1500VDC</t>
    <phoneticPr fontId="4" type="noConversion"/>
  </si>
  <si>
    <t>PF162C-1200/690V</t>
    <phoneticPr fontId="4" type="noConversion"/>
  </si>
  <si>
    <t>PF162C-1000</t>
    <phoneticPr fontId="4" type="noConversion"/>
  </si>
  <si>
    <t>2024.11.19</t>
    <phoneticPr fontId="4" type="noConversion"/>
  </si>
  <si>
    <t>PF162C-1200</t>
    <phoneticPr fontId="4" type="noConversion"/>
  </si>
  <si>
    <t>PF162C-1000/1000VDC</t>
    <phoneticPr fontId="4" type="noConversion"/>
  </si>
  <si>
    <t>2025.11.12</t>
    <phoneticPr fontId="4" type="noConversion"/>
  </si>
  <si>
    <t>PF162C-1000/1000VAC</t>
    <phoneticPr fontId="7" type="noConversion"/>
  </si>
  <si>
    <t>PF162-1000/1200VAC/EN</t>
    <phoneticPr fontId="7" type="noConversion"/>
  </si>
  <si>
    <t>PF162-1000/2000VDC/ECN</t>
    <phoneticPr fontId="4" type="noConversion"/>
  </si>
  <si>
    <t>PF162-1000/2500VDC/NEL</t>
    <phoneticPr fontId="7" type="noConversion"/>
  </si>
  <si>
    <t>调试费：江浙沪10000元, 其他地区15000元</t>
  </si>
  <si>
    <t>PF162C-1200/1200VDC/A1/P</t>
    <phoneticPr fontId="4" type="noConversion"/>
  </si>
  <si>
    <t>PF162C-1200/1500VAC</t>
  </si>
  <si>
    <t>PF162C-1200/2000VDC</t>
  </si>
  <si>
    <t>PF162C-1500/690VAC</t>
  </si>
  <si>
    <t>PF162C-1500/1000VAC</t>
    <phoneticPr fontId="4" type="noConversion"/>
  </si>
  <si>
    <r>
      <rPr>
        <sz val="10"/>
        <rFont val="宋体"/>
        <family val="2"/>
        <charset val="134"/>
      </rPr>
      <t>满足底噪</t>
    </r>
    <r>
      <rPr>
        <sz val="10"/>
        <rFont val="Arial"/>
        <family val="2"/>
      </rPr>
      <t>CE101</t>
    </r>
    <r>
      <rPr>
        <sz val="10"/>
        <rFont val="Arial"/>
        <family val="2"/>
        <charset val="134"/>
      </rPr>
      <t>CE101/CE102</t>
    </r>
    <phoneticPr fontId="4" type="noConversion"/>
  </si>
  <si>
    <t>2025.10.10</t>
    <phoneticPr fontId="4" type="noConversion"/>
  </si>
  <si>
    <t>PF261A-16</t>
  </si>
  <si>
    <t>PF261A-32</t>
  </si>
  <si>
    <t>2025.6.12</t>
    <phoneticPr fontId="4" type="noConversion"/>
  </si>
  <si>
    <t>DL-2X32C55-JCL-CM/400,115VAC</t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</si>
  <si>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,DL-2X63C55-JCL-CM/400,115VAC</t>
    </r>
  </si>
  <si>
    <t>PF461C-32/400HZ/C1</t>
    <phoneticPr fontId="4" type="noConversion"/>
  </si>
  <si>
    <t>DL-4X32C55-JCL-CM/400,115VAC</t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</si>
  <si>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,DL-4X63C55-JCL-CM/400,200VAC</t>
    </r>
  </si>
  <si>
    <r>
      <t>沃姆克电源滤波器</t>
    </r>
    <r>
      <rPr>
        <sz val="10"/>
        <rFont val="Arial"/>
        <family val="2"/>
      </rPr>
      <t>PF461C-100/400HZ/C3</t>
    </r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</si>
  <si>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,DL-4X100C55-JCL-CM/400,200VAC</t>
    </r>
  </si>
  <si>
    <t>2025.1.3</t>
    <phoneticPr fontId="4" type="noConversion"/>
  </si>
  <si>
    <t>PF461C-100/200-800HZ/C3</t>
    <phoneticPr fontId="4" type="noConversion"/>
  </si>
  <si>
    <t>DL-4X100C55-JCL-CM/800,115VAC</t>
    <phoneticPr fontId="4" type="noConversion"/>
  </si>
  <si>
    <r>
      <rPr>
        <sz val="10"/>
        <rFont val="等线"/>
        <family val="2"/>
        <charset val="134"/>
      </rPr>
      <t>坚力电源滤波器</t>
    </r>
    <r>
      <rPr>
        <sz val="10"/>
        <rFont val="Arial"/>
        <family val="2"/>
      </rPr>
      <t>,DL-4X150C55-JCL-CM/400,200VAC</t>
    </r>
  </si>
  <si>
    <t>PF461C-200/200-800HZ/C3</t>
    <phoneticPr fontId="4" type="noConversion"/>
  </si>
  <si>
    <t>DL-4X200C55-JCL-CM/800,115VAC</t>
    <phoneticPr fontId="4" type="noConversion"/>
  </si>
  <si>
    <t>2024.7.18</t>
    <phoneticPr fontId="4" type="noConversion"/>
  </si>
  <si>
    <t>PF461C-250/400HZ/C1</t>
    <phoneticPr fontId="4" type="noConversion"/>
  </si>
  <si>
    <r>
      <rPr>
        <sz val="10"/>
        <color rgb="FFFF0000"/>
        <rFont val="宋体"/>
        <family val="2"/>
        <charset val="134"/>
      </rPr>
      <t>满足军标要求,插入损耗</t>
    </r>
    <r>
      <rPr>
        <sz val="10"/>
        <color rgb="FFFF0000"/>
        <rFont val="Arial"/>
        <family val="2"/>
      </rPr>
      <t>9kHz,</t>
    </r>
    <r>
      <rPr>
        <sz val="10"/>
        <color rgb="FFFF0000"/>
        <rFont val="微软雅黑"/>
        <family val="2"/>
        <charset val="134"/>
      </rPr>
      <t>＞</t>
    </r>
    <r>
      <rPr>
        <sz val="10"/>
        <color rgb="FFFF0000"/>
        <rFont val="Arial"/>
        <family val="2"/>
      </rPr>
      <t>95dB</t>
    </r>
    <r>
      <rPr>
        <sz val="10"/>
        <color rgb="FFFF0000"/>
        <rFont val="微软雅黑"/>
        <family val="2"/>
        <charset val="134"/>
      </rPr>
      <t>；</t>
    </r>
    <r>
      <rPr>
        <sz val="10"/>
        <color rgb="FFFF0000"/>
        <rFont val="Arial"/>
        <family val="2"/>
      </rPr>
      <t>10kHz-40GHz</t>
    </r>
    <r>
      <rPr>
        <sz val="10"/>
        <color rgb="FFFF0000"/>
        <rFont val="微软雅黑"/>
        <family val="2"/>
        <charset val="134"/>
      </rPr>
      <t>，＞</t>
    </r>
    <r>
      <rPr>
        <sz val="10"/>
        <color rgb="FFFF0000"/>
        <rFont val="Arial"/>
        <family val="2"/>
      </rPr>
      <t>100dB</t>
    </r>
    <phoneticPr fontId="4" type="noConversion"/>
  </si>
  <si>
    <t>2025.4.1</t>
    <phoneticPr fontId="4" type="noConversion"/>
  </si>
  <si>
    <t>PF162-1000/1500VAC/ENXM</t>
  </si>
  <si>
    <t>PF162-1500/1500VAC/ENXM</t>
  </si>
  <si>
    <t>PF162-1500/3000VDC/ENXM</t>
  </si>
  <si>
    <t>PF162-1200/1500VAC/ENXM</t>
  </si>
  <si>
    <t>PF162-1200/3000VDC/ENXM</t>
  </si>
  <si>
    <t>PF162-500/10KVAC/ENXM</t>
  </si>
  <si>
    <t>PF162-500/35KVAC/ENXM</t>
  </si>
  <si>
    <t>2025.11.11</t>
    <phoneticPr fontId="4" type="noConversion"/>
  </si>
  <si>
    <t>PF262D-16</t>
    <phoneticPr fontId="4" type="noConversion"/>
  </si>
  <si>
    <t>两线2X16A 50/60Hz电源滤波器</t>
    <phoneticPr fontId="4" type="noConversion"/>
  </si>
  <si>
    <t>PF262D-32</t>
  </si>
  <si>
    <t>2*32A 50/60Hz电源滤波器</t>
    <phoneticPr fontId="4" type="noConversion"/>
  </si>
  <si>
    <t>PF262D-100,500VDC/100A</t>
    <phoneticPr fontId="4" type="noConversion"/>
  </si>
  <si>
    <t>PF262D-200</t>
    <phoneticPr fontId="27" type="noConversion"/>
  </si>
  <si>
    <t>两线2X200A 50/60Hz电源滤波器</t>
    <phoneticPr fontId="4" type="noConversion"/>
  </si>
  <si>
    <t>2026.1.8</t>
    <phoneticPr fontId="4" type="noConversion"/>
  </si>
  <si>
    <t>DL-2x200C55-JCL-H-AC1000</t>
    <phoneticPr fontId="5" type="noConversion"/>
  </si>
  <si>
    <t>PF262D-200/1500VDC(1500VDC/200A)</t>
    <phoneticPr fontId="4" type="noConversion"/>
  </si>
  <si>
    <t>PF262D-200/2000VDC</t>
    <phoneticPr fontId="27" type="noConversion"/>
  </si>
  <si>
    <t>单相直流2X200A 2000V电源滤波器</t>
    <phoneticPr fontId="4" type="noConversion"/>
  </si>
  <si>
    <t>PF262D-300/1500VDC</t>
    <phoneticPr fontId="4" type="noConversion"/>
  </si>
  <si>
    <r>
      <rPr>
        <sz val="10"/>
        <rFont val="Arial"/>
        <family val="2"/>
      </rPr>
      <t>PF262D-300/2000VDC</t>
    </r>
    <r>
      <rPr>
        <sz val="10"/>
        <rFont val="等线"/>
        <family val="3"/>
        <charset val="134"/>
      </rPr>
      <t>/NS</t>
    </r>
    <phoneticPr fontId="4" type="noConversion"/>
  </si>
  <si>
    <t>PF262D-500/1200VDC</t>
    <phoneticPr fontId="27" type="noConversion"/>
  </si>
  <si>
    <t>PF462D-32</t>
    <phoneticPr fontId="27" type="noConversion"/>
  </si>
  <si>
    <t>PF462D-63</t>
    <phoneticPr fontId="27" type="noConversion"/>
  </si>
  <si>
    <t>4*63A 50/60Hz电源滤波器</t>
    <phoneticPr fontId="4" type="noConversion"/>
  </si>
  <si>
    <t>PF462D-100</t>
    <phoneticPr fontId="27" type="noConversion"/>
  </si>
  <si>
    <t>PF462D-200</t>
    <phoneticPr fontId="27" type="noConversion"/>
  </si>
  <si>
    <t>四线4X200A 50/60Hz电源滤波器</t>
    <phoneticPr fontId="4" type="noConversion"/>
  </si>
  <si>
    <t>DL-4x200C55-JCL-H-AC1000</t>
    <phoneticPr fontId="5" type="noConversion"/>
  </si>
  <si>
    <t>PF462D-300(440VAC/250VAC/300A)</t>
    <phoneticPr fontId="4" type="noConversion"/>
  </si>
  <si>
    <t>PF162D-400/1500VAC</t>
    <phoneticPr fontId="4" type="noConversion"/>
  </si>
  <si>
    <t>TOTAL Cost</t>
    <phoneticPr fontId="5" type="noConversion"/>
  </si>
  <si>
    <t>测充电桩用滤波器</t>
  </si>
  <si>
    <t>充电桩信号滤波器，满足欧、美、日、中标</t>
    <phoneticPr fontId="3" type="noConversion"/>
  </si>
  <si>
    <t>SF-CAN/C2</t>
    <phoneticPr fontId="3" type="noConversion"/>
  </si>
  <si>
    <t>XL-CANBUS</t>
    <phoneticPr fontId="4" type="noConversion"/>
  </si>
  <si>
    <t>SF203-1/A2</t>
    <phoneticPr fontId="3" type="noConversion"/>
  </si>
  <si>
    <t>XL-K2-55</t>
    <phoneticPr fontId="4" type="noConversion"/>
  </si>
  <si>
    <t>SF210-1/A2</t>
    <phoneticPr fontId="3" type="noConversion"/>
  </si>
  <si>
    <t>SF403-1</t>
    <phoneticPr fontId="3" type="noConversion"/>
  </si>
  <si>
    <t>PF262A-16</t>
    <phoneticPr fontId="3" type="noConversion"/>
  </si>
  <si>
    <t>DL-2X16C55-JCL-H</t>
    <phoneticPr fontId="4" type="noConversion"/>
  </si>
  <si>
    <t>SF203-3</t>
    <phoneticPr fontId="3" type="noConversion"/>
  </si>
  <si>
    <t>SF801-1</t>
    <phoneticPr fontId="4" type="noConversion"/>
  </si>
  <si>
    <t>AVL测功机的信号滤波器可以先参考之前小米的项目的配置</t>
    <phoneticPr fontId="4" type="noConversion"/>
  </si>
  <si>
    <t>WEMC Filter,PF462C-16(440VAC/250VAC/16A)</t>
    <phoneticPr fontId="4" type="noConversion"/>
  </si>
  <si>
    <t>WEMC Filter,PF262C-16 (250VAC/500VDC/16A)</t>
    <phoneticPr fontId="4" type="noConversion"/>
  </si>
  <si>
    <t>PF262C-16/1200VDC</t>
    <phoneticPr fontId="4" type="noConversion"/>
  </si>
  <si>
    <t>BJ550462</t>
    <phoneticPr fontId="7" type="noConversion"/>
  </si>
  <si>
    <t>wave guide pipe penetration, 1"</t>
    <phoneticPr fontId="4" type="noConversion"/>
  </si>
  <si>
    <t>测功机配的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</si>
</sst>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CNY]\ #,##0.00_);[Red]\([$CNY]\ #,##0.00\)"/>
    <numFmt numFmtId="177" formatCode="[$CNY]\ #,##0_);[Red]\([$CNY]\ #,##0\)"/>
  </numFmts>
  <fonts count="3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宋体"/>
      <family val="3"/>
      <charset val="134"/>
    </font>
    <font>
      <sz val="10"/>
      <name val="等线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  <font>
      <sz val="10"/>
      <name val="Arial"/>
      <family val="3"/>
      <charset val="134"/>
    </font>
    <font>
      <sz val="10"/>
      <color rgb="FF000000"/>
      <name val="Arial"/>
      <family val="2"/>
    </font>
    <font>
      <sz val="10"/>
      <name val="Arial"/>
      <family val="3"/>
    </font>
    <font>
      <sz val="10"/>
      <color rgb="FFFF0000"/>
      <name val="Arial"/>
      <family val="2"/>
      <charset val="134"/>
    </font>
    <font>
      <sz val="10"/>
      <color rgb="FFFF0000"/>
      <name val="宋体"/>
      <family val="2"/>
      <charset val="134"/>
    </font>
    <font>
      <sz val="10"/>
      <color rgb="FFFF0000"/>
      <name val="Arial"/>
      <family val="2"/>
    </font>
    <font>
      <sz val="10"/>
      <color rgb="FF000000"/>
      <name val="微软雅黑"/>
      <family val="2"/>
      <charset val="134"/>
    </font>
    <font>
      <sz val="10"/>
      <color rgb="FF00B050"/>
      <name val="Arial"/>
      <family val="2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11"/>
      <color rgb="FFFF0000"/>
      <name val="等线"/>
      <family val="3"/>
      <charset val="134"/>
    </font>
    <font>
      <sz val="10"/>
      <color rgb="FFFF0000"/>
      <name val="微软雅黑"/>
      <family val="2"/>
      <charset val="134"/>
    </font>
    <font>
      <sz val="12"/>
      <name val="Times New Roman"/>
      <family val="3"/>
      <charset val="134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等线"/>
      <family val="3"/>
      <charset val="134"/>
    </font>
    <font>
      <b/>
      <sz val="10"/>
      <name val="Arial"/>
      <family val="2"/>
    </font>
    <font>
      <b/>
      <sz val="12"/>
      <name val="Times New Roman"/>
      <family val="1"/>
    </font>
    <font>
      <sz val="8"/>
      <name val="宋体"/>
      <family val="2"/>
      <charset val="134"/>
    </font>
    <font>
      <sz val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177" fontId="6" fillId="0" borderId="0"/>
    <xf numFmtId="0" fontId="1" fillId="0" borderId="0">
      <alignment vertical="center"/>
    </xf>
    <xf numFmtId="0" fontId="1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1" xfId="1" applyFont="1" applyBorder="1" applyAlignment="1"/>
    <xf numFmtId="0" fontId="2" fillId="0" borderId="2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0" xfId="1" applyFont="1" applyAlignment="1"/>
    <xf numFmtId="0" fontId="2" fillId="0" borderId="3" xfId="1" applyFont="1" applyBorder="1" applyAlignment="1"/>
    <xf numFmtId="1" fontId="2" fillId="2" borderId="1" xfId="2" applyNumberFormat="1" applyFont="1" applyFill="1" applyBorder="1" applyAlignment="1" applyProtection="1">
      <alignment horizontal="left"/>
      <protection locked="0"/>
    </xf>
    <xf numFmtId="0" fontId="2" fillId="2" borderId="1" xfId="3" applyFont="1" applyFill="1" applyBorder="1" applyAlignment="1" applyProtection="1">
      <alignment horizontal="left"/>
      <protection locked="0"/>
    </xf>
    <xf numFmtId="176" fontId="2" fillId="2" borderId="2" xfId="2" applyNumberFormat="1" applyFont="1" applyFill="1" applyBorder="1" applyProtection="1">
      <protection locked="0"/>
    </xf>
    <xf numFmtId="0" fontId="2" fillId="2" borderId="2" xfId="2" applyFont="1" applyFill="1" applyBorder="1" applyProtection="1">
      <protection locked="0"/>
    </xf>
    <xf numFmtId="176" fontId="2" fillId="2" borderId="1" xfId="2" applyNumberFormat="1" applyFont="1" applyFill="1" applyBorder="1" applyProtection="1">
      <protection locked="0"/>
    </xf>
    <xf numFmtId="176" fontId="2" fillId="2" borderId="0" xfId="2" applyNumberFormat="1" applyFont="1" applyFill="1" applyProtection="1">
      <protection locked="0"/>
    </xf>
    <xf numFmtId="0" fontId="2" fillId="0" borderId="1" xfId="1" applyFont="1" applyBorder="1" applyAlignment="1">
      <alignment horizontal="left" vertical="center"/>
    </xf>
    <xf numFmtId="0" fontId="2" fillId="0" borderId="3" xfId="1" applyFont="1" applyBorder="1">
      <alignment vertical="center"/>
    </xf>
    <xf numFmtId="1" fontId="2" fillId="3" borderId="1" xfId="2" applyNumberFormat="1" applyFont="1" applyFill="1" applyBorder="1" applyAlignment="1" applyProtection="1">
      <alignment horizontal="left"/>
      <protection locked="0"/>
    </xf>
    <xf numFmtId="0" fontId="2" fillId="2" borderId="4" xfId="2" applyFont="1" applyFill="1" applyBorder="1" applyProtection="1">
      <protection locked="0"/>
    </xf>
    <xf numFmtId="176" fontId="2" fillId="0" borderId="5" xfId="4" applyNumberFormat="1" applyFont="1" applyBorder="1" applyAlignment="1" applyProtection="1">
      <alignment horizontal="right"/>
      <protection locked="0"/>
    </xf>
    <xf numFmtId="0" fontId="11" fillId="2" borderId="1" xfId="3" applyFont="1" applyFill="1" applyBorder="1" applyAlignment="1" applyProtection="1">
      <alignment horizontal="left"/>
      <protection locked="0"/>
    </xf>
    <xf numFmtId="0" fontId="13" fillId="2" borderId="1" xfId="3" applyFont="1" applyFill="1" applyBorder="1" applyAlignment="1" applyProtection="1">
      <alignment horizontal="left"/>
      <protection locked="0"/>
    </xf>
    <xf numFmtId="0" fontId="2" fillId="0" borderId="1" xfId="5" applyFont="1" applyBorder="1">
      <alignment vertical="center"/>
    </xf>
    <xf numFmtId="0" fontId="11" fillId="0" borderId="1" xfId="5" applyFont="1" applyBorder="1">
      <alignment vertical="center"/>
    </xf>
    <xf numFmtId="0" fontId="14" fillId="0" borderId="0" xfId="2" applyFont="1"/>
    <xf numFmtId="0" fontId="8" fillId="0" borderId="1" xfId="5" applyFont="1" applyBorder="1">
      <alignment vertical="center"/>
    </xf>
    <xf numFmtId="4" fontId="2" fillId="0" borderId="1" xfId="1" applyNumberFormat="1" applyFont="1" applyBorder="1" applyAlignment="1"/>
    <xf numFmtId="0" fontId="11" fillId="0" borderId="3" xfId="1" applyFont="1" applyBorder="1">
      <alignment vertical="center"/>
    </xf>
    <xf numFmtId="0" fontId="8" fillId="2" borderId="1" xfId="3" applyFont="1" applyFill="1" applyBorder="1" applyAlignment="1" applyProtection="1">
      <alignment horizontal="left"/>
      <protection locked="0"/>
    </xf>
    <xf numFmtId="0" fontId="15" fillId="2" borderId="1" xfId="3" applyFont="1" applyFill="1" applyBorder="1" applyAlignment="1" applyProtection="1">
      <alignment horizontal="left"/>
      <protection locked="0"/>
    </xf>
    <xf numFmtId="0" fontId="2" fillId="4" borderId="0" xfId="1" applyFont="1" applyFill="1">
      <alignment vertical="center"/>
    </xf>
    <xf numFmtId="0" fontId="2" fillId="4" borderId="1" xfId="1" applyFont="1" applyFill="1" applyBorder="1">
      <alignment vertical="center"/>
    </xf>
    <xf numFmtId="0" fontId="16" fillId="2" borderId="1" xfId="3" applyFont="1" applyFill="1" applyBorder="1" applyAlignment="1" applyProtection="1">
      <alignment horizontal="left"/>
      <protection locked="0"/>
    </xf>
    <xf numFmtId="0" fontId="2" fillId="0" borderId="6" xfId="3" applyFont="1" applyBorder="1" applyAlignment="1" applyProtection="1">
      <alignment horizontal="left"/>
      <protection locked="0"/>
    </xf>
    <xf numFmtId="176" fontId="2" fillId="0" borderId="1" xfId="4" applyNumberFormat="1" applyFont="1" applyBorder="1" applyProtection="1">
      <protection locked="0"/>
    </xf>
    <xf numFmtId="1" fontId="2" fillId="5" borderId="1" xfId="2" applyNumberFormat="1" applyFont="1" applyFill="1" applyBorder="1" applyAlignment="1" applyProtection="1">
      <alignment horizontal="left"/>
      <protection locked="0"/>
    </xf>
    <xf numFmtId="0" fontId="2" fillId="5" borderId="1" xfId="3" applyFont="1" applyFill="1" applyBorder="1" applyAlignment="1" applyProtection="1">
      <alignment horizontal="left"/>
      <protection locked="0"/>
    </xf>
    <xf numFmtId="176" fontId="2" fillId="5" borderId="2" xfId="2" applyNumberFormat="1" applyFont="1" applyFill="1" applyBorder="1" applyProtection="1">
      <protection locked="0"/>
    </xf>
    <xf numFmtId="0" fontId="2" fillId="5" borderId="2" xfId="2" applyFont="1" applyFill="1" applyBorder="1" applyProtection="1">
      <protection locked="0"/>
    </xf>
    <xf numFmtId="176" fontId="2" fillId="5" borderId="0" xfId="2" applyNumberFormat="1" applyFont="1" applyFill="1" applyProtection="1">
      <protection locked="0"/>
    </xf>
    <xf numFmtId="0" fontId="11" fillId="5" borderId="1" xfId="3" applyFont="1" applyFill="1" applyBorder="1" applyAlignment="1" applyProtection="1">
      <alignment horizontal="left"/>
      <protection locked="0"/>
    </xf>
    <xf numFmtId="176" fontId="2" fillId="5" borderId="1" xfId="2" applyNumberFormat="1" applyFont="1" applyFill="1" applyBorder="1" applyProtection="1">
      <protection locked="0"/>
    </xf>
    <xf numFmtId="1" fontId="2" fillId="6" borderId="1" xfId="2" applyNumberFormat="1" applyFont="1" applyFill="1" applyBorder="1" applyAlignment="1" applyProtection="1">
      <alignment horizontal="left"/>
      <protection locked="0"/>
    </xf>
    <xf numFmtId="0" fontId="19" fillId="0" borderId="0" xfId="2" applyFont="1"/>
    <xf numFmtId="0" fontId="2" fillId="0" borderId="1" xfId="1" applyFont="1" applyBorder="1">
      <alignment vertical="center"/>
    </xf>
    <xf numFmtId="0" fontId="2" fillId="0" borderId="0" xfId="1" applyFont="1">
      <alignment vertical="center"/>
    </xf>
    <xf numFmtId="176" fontId="2" fillId="6" borderId="2" xfId="2" applyNumberFormat="1" applyFont="1" applyFill="1" applyBorder="1" applyProtection="1">
      <protection locked="0"/>
    </xf>
    <xf numFmtId="176" fontId="20" fillId="2" borderId="2" xfId="2" applyNumberFormat="1" applyFont="1" applyFill="1" applyBorder="1" applyProtection="1">
      <protection locked="0"/>
    </xf>
    <xf numFmtId="0" fontId="18" fillId="0" borderId="7" xfId="1" applyFont="1" applyBorder="1">
      <alignment vertical="center"/>
    </xf>
    <xf numFmtId="0" fontId="21" fillId="2" borderId="1" xfId="3" applyFont="1" applyFill="1" applyBorder="1" applyAlignment="1" applyProtection="1">
      <alignment horizontal="left"/>
      <protection locked="0"/>
    </xf>
    <xf numFmtId="176" fontId="18" fillId="2" borderId="2" xfId="2" applyNumberFormat="1" applyFont="1" applyFill="1" applyBorder="1" applyProtection="1">
      <protection locked="0"/>
    </xf>
    <xf numFmtId="0" fontId="8" fillId="0" borderId="3" xfId="1" applyFont="1" applyBorder="1" applyAlignment="1"/>
    <xf numFmtId="0" fontId="2" fillId="0" borderId="7" xfId="1" applyFont="1" applyBorder="1" applyAlignment="1">
      <alignment horizontal="left" vertical="center"/>
    </xf>
    <xf numFmtId="1" fontId="2" fillId="2" borderId="7" xfId="2" applyNumberFormat="1" applyFont="1" applyFill="1" applyBorder="1" applyAlignment="1" applyProtection="1">
      <alignment horizontal="left"/>
      <protection locked="0"/>
    </xf>
    <xf numFmtId="0" fontId="23" fillId="0" borderId="0" xfId="2" applyFont="1"/>
    <xf numFmtId="176" fontId="2" fillId="2" borderId="8" xfId="2" applyNumberFormat="1" applyFont="1" applyFill="1" applyBorder="1" applyProtection="1">
      <protection locked="0"/>
    </xf>
    <xf numFmtId="0" fontId="2" fillId="2" borderId="8" xfId="2" applyFont="1" applyFill="1" applyBorder="1" applyProtection="1">
      <protection locked="0"/>
    </xf>
    <xf numFmtId="176" fontId="2" fillId="2" borderId="7" xfId="2" applyNumberFormat="1" applyFont="1" applyFill="1" applyBorder="1" applyProtection="1">
      <protection locked="0"/>
    </xf>
    <xf numFmtId="0" fontId="2" fillId="2" borderId="7" xfId="3" applyFont="1" applyFill="1" applyBorder="1" applyAlignment="1" applyProtection="1">
      <alignment horizontal="left"/>
      <protection locked="0"/>
    </xf>
    <xf numFmtId="0" fontId="2" fillId="0" borderId="7" xfId="1" applyFont="1" applyBorder="1">
      <alignment vertical="center"/>
    </xf>
    <xf numFmtId="0" fontId="2" fillId="0" borderId="9" xfId="1" applyFont="1" applyBorder="1">
      <alignment vertical="center"/>
    </xf>
    <xf numFmtId="0" fontId="2" fillId="0" borderId="10" xfId="1" applyFont="1" applyBorder="1">
      <alignment vertical="center"/>
    </xf>
    <xf numFmtId="0" fontId="2" fillId="2" borderId="10" xfId="3" applyFont="1" applyFill="1" applyBorder="1" applyAlignment="1" applyProtection="1">
      <alignment horizontal="left"/>
      <protection locked="0"/>
    </xf>
    <xf numFmtId="176" fontId="2" fillId="2" borderId="11" xfId="2" applyNumberFormat="1" applyFont="1" applyFill="1" applyBorder="1" applyProtection="1">
      <protection locked="0"/>
    </xf>
    <xf numFmtId="0" fontId="2" fillId="2" borderId="11" xfId="2" applyFont="1" applyFill="1" applyBorder="1" applyProtection="1">
      <protection locked="0"/>
    </xf>
    <xf numFmtId="176" fontId="2" fillId="2" borderId="10" xfId="2" applyNumberFormat="1" applyFont="1" applyFill="1" applyBorder="1" applyProtection="1">
      <protection locked="0"/>
    </xf>
    <xf numFmtId="176" fontId="2" fillId="2" borderId="12" xfId="2" applyNumberFormat="1" applyFont="1" applyFill="1" applyBorder="1" applyProtection="1">
      <protection locked="0"/>
    </xf>
    <xf numFmtId="0" fontId="2" fillId="0" borderId="13" xfId="1" applyFont="1" applyBorder="1">
      <alignment vertical="center"/>
    </xf>
    <xf numFmtId="0" fontId="16" fillId="0" borderId="0" xfId="1" applyFont="1">
      <alignment vertical="center"/>
    </xf>
    <xf numFmtId="0" fontId="25" fillId="0" borderId="0" xfId="2" applyFont="1" applyAlignment="1">
      <alignment horizontal="left" vertical="center"/>
    </xf>
    <xf numFmtId="0" fontId="6" fillId="0" borderId="0" xfId="2" applyAlignment="1">
      <alignment horizontal="left" vertical="center"/>
    </xf>
    <xf numFmtId="0" fontId="26" fillId="0" borderId="0" xfId="2" applyFont="1" applyAlignment="1">
      <alignment horizontal="left" vertical="center"/>
    </xf>
    <xf numFmtId="2" fontId="2" fillId="0" borderId="1" xfId="6" applyNumberFormat="1" applyFont="1" applyBorder="1">
      <alignment vertical="center"/>
    </xf>
    <xf numFmtId="0" fontId="2" fillId="0" borderId="1" xfId="6" applyFont="1" applyBorder="1">
      <alignment vertical="center"/>
    </xf>
    <xf numFmtId="0" fontId="2" fillId="0" borderId="14" xfId="1" applyFont="1" applyBorder="1">
      <alignment vertical="center"/>
    </xf>
    <xf numFmtId="0" fontId="2" fillId="0" borderId="4" xfId="1" applyFont="1" applyBorder="1">
      <alignment vertical="center"/>
    </xf>
    <xf numFmtId="176" fontId="29" fillId="0" borderId="5" xfId="1" applyNumberFormat="1" applyFont="1" applyBorder="1">
      <alignment vertical="center"/>
    </xf>
    <xf numFmtId="176" fontId="29" fillId="0" borderId="0" xfId="1" applyNumberFormat="1" applyFont="1">
      <alignment vertical="center"/>
    </xf>
    <xf numFmtId="0" fontId="8" fillId="0" borderId="0" xfId="1" applyFont="1">
      <alignment vertical="center"/>
    </xf>
    <xf numFmtId="0" fontId="30" fillId="4" borderId="1" xfId="2" applyFont="1" applyFill="1" applyBorder="1" applyAlignment="1">
      <alignment horizontal="center" vertical="center"/>
    </xf>
    <xf numFmtId="0" fontId="6" fillId="4" borderId="1" xfId="2" applyFill="1" applyBorder="1" applyAlignment="1">
      <alignment vertical="center"/>
    </xf>
    <xf numFmtId="176" fontId="2" fillId="4" borderId="2" xfId="2" applyNumberFormat="1" applyFont="1" applyFill="1" applyBorder="1" applyProtection="1">
      <protection locked="0"/>
    </xf>
    <xf numFmtId="0" fontId="6" fillId="4" borderId="1" xfId="2" applyFill="1" applyBorder="1" applyAlignment="1">
      <alignment horizontal="center" vertical="center"/>
    </xf>
    <xf numFmtId="176" fontId="2" fillId="4" borderId="1" xfId="2" applyNumberFormat="1" applyFont="1" applyFill="1" applyBorder="1" applyProtection="1">
      <protection locked="0"/>
    </xf>
    <xf numFmtId="0" fontId="2" fillId="4" borderId="3" xfId="1" applyFont="1" applyFill="1" applyBorder="1">
      <alignment vertical="center"/>
    </xf>
    <xf numFmtId="2" fontId="31" fillId="0" borderId="15" xfId="2" applyNumberFormat="1" applyFont="1" applyBorder="1" applyAlignment="1" applyProtection="1">
      <alignment horizontal="center" wrapText="1"/>
      <protection locked="0"/>
    </xf>
    <xf numFmtId="2" fontId="31" fillId="0" borderId="16" xfId="2" applyNumberFormat="1" applyFont="1" applyBorder="1" applyAlignment="1" applyProtection="1">
      <alignment horizontal="center" wrapText="1"/>
      <protection locked="0"/>
    </xf>
    <xf numFmtId="2" fontId="31" fillId="0" borderId="17" xfId="2" applyNumberFormat="1" applyFont="1" applyBorder="1" applyAlignment="1" applyProtection="1">
      <alignment horizontal="center" wrapText="1"/>
      <protection locked="0"/>
    </xf>
    <xf numFmtId="2" fontId="32" fillId="0" borderId="18" xfId="2" applyNumberFormat="1" applyFont="1" applyBorder="1" applyProtection="1">
      <protection locked="0"/>
    </xf>
  </cellXfs>
  <cellStyles count="7">
    <cellStyle name="Normal 10" xfId="3" xr:uid="{14768EE5-774F-4589-8E97-770A4B98EACC}"/>
    <cellStyle name="常规" xfId="0" builtinId="0"/>
    <cellStyle name="常规 2" xfId="2" xr:uid="{FCC8BF6E-A6F2-4CDC-8C65-1EFB165528B8}"/>
    <cellStyle name="常规 2 3" xfId="4" xr:uid="{5439A8C2-0E11-475F-A432-9895F159D48F}"/>
    <cellStyle name="常规 5 3 2" xfId="5" xr:uid="{8AE7EA9A-D6B4-4730-8E6C-387819887024}"/>
    <cellStyle name="常规 7 3" xfId="1" xr:uid="{CAC79AB9-D00B-4543-8587-860567793464}"/>
    <cellStyle name="常规 7 3 2" xfId="6" xr:uid="{CDB0A724-0B15-49EF-863C-2FE415899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59764</xdr:colOff>
      <xdr:row>257</xdr:row>
      <xdr:rowOff>44824</xdr:rowOff>
    </xdr:from>
    <xdr:to>
      <xdr:col>22</xdr:col>
      <xdr:colOff>285378</xdr:colOff>
      <xdr:row>265</xdr:row>
      <xdr:rowOff>190460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686FCD-A27F-4D0D-ADF9-DC80BCEF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7014" y="50838474"/>
          <a:ext cx="7420164" cy="18220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huzhengbing\AppData\Local\Microsoft\Windows\INetCache\Content.Outlook\7PSOT5GB\2026.4.29-Liu-&#22825;&#27941;CATARC&#25972;&#36710;OTA&#26263;&#23460;.xlsx" TargetMode="External"/><Relationship Id="rId1" Type="http://schemas.openxmlformats.org/officeDocument/2006/relationships/externalLinkPath" Target="file:///C:\Users\zhuzhengbing\AppData\Local\Microsoft\Windows\INetCache\Content.Outlook\7PSOT5GB\2026.4.29-Liu-&#22825;&#27941;CATARC&#25972;&#36710;OTA&#26263;&#2346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me/CP%20Administration/Private/Estimating/Jeb's%20BOX/VERY%20Useful%20Stuff/2005%20Costing%20information/2005%20Item%20Master%20Estimator%20Report%20&amp;%20GH%20inf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me/Users/mdadams/AppData/Local/Microsoft/Windows/Temporary%20Internet%20Files/Content.Outlook/SREVF3H6/Standards%20-%20FY%202015/2015%20Global%20Estimating%20Template/Europe/EST13Q4A%20EMC%20SS%20M26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tslindgren-my.sharepoint.com/Users/mdadams/AppData/Local/Microsoft/Windows/INetCache/Content.Outlook/ODWS7DRH/Copy%20of%20Estimate%20with%20sales%20tax%20table%20summary%20tab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me/Users/mcwisniewski/AppData/Local/Microsoft/Windows/Temporary%20Internet%20Files/Content.Outlook/0JFX29U3/Master%20-%20medical%20SSGP%208-2-201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ouwenxia\Desktop\2016.10-2017.09\Standards%20-%20FY%202015\2015%20Global%20Estimating%20Template\Europe\EST13Q4A%20EMC%20SS%20M26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E Filters"/>
      <sheetName val="EMQuest Software"/>
      <sheetName val="磁环电缆"/>
      <sheetName val="wireless TEST PACKAGES"/>
      <sheetName val="wireless SYSTEM"/>
      <sheetName val="USA-Invoice Milestones"/>
      <sheetName val="USA-Revenue Milestones"/>
      <sheetName val="Revenue Milestone Structure"/>
      <sheetName val="USA-Budget"/>
      <sheetName val="USA-Resources"/>
      <sheetName val="Apple Pricing Breakout-A"/>
      <sheetName val="Apple Pricing Breakout-B"/>
      <sheetName val="PRICING BREAKOUT"/>
      <sheetName val="COST-PRICE COMPARISON"/>
      <sheetName val="ECP"/>
      <sheetName val="USA-Commission Worksheet"/>
      <sheetName val="USA-SubcontractsFreight"/>
      <sheetName val="USA-Fire Suppression"/>
      <sheetName val="USA-Electrical Distribution"/>
      <sheetName val="USA-Interior Finishes"/>
      <sheetName val="USA-Concrete Slab"/>
      <sheetName val="USA-HVAC"/>
      <sheetName val="USA-Field Services"/>
      <sheetName val="USA-OTC Items"/>
      <sheetName val="USA-ETSL Installer Rates"/>
      <sheetName val="USA-Installation"/>
      <sheetName val="USA-ETSL Site Supervision"/>
      <sheetName val="USA-S81 Chamber"/>
      <sheetName val="USA-S81 Shield Enclosure (A)"/>
      <sheetName val="USA-S101 Control Room"/>
      <sheetName val="USA-S81 Shield Enclosure (B)"/>
      <sheetName val="USA-RF Doors"/>
      <sheetName val="USA-RF Filters"/>
      <sheetName val="USA-DEI Enclosure New"/>
      <sheetName val="USA-ELF Shielding"/>
      <sheetName val="Door absorber "/>
      <sheetName val="USA-EMC Absorber"/>
      <sheetName val="USA-Microwave Absorber"/>
      <sheetName val="Absorber Freight"/>
      <sheetName val="USA-Acoustic Enclosure"/>
      <sheetName val="CHINA-Billing Milestones"/>
      <sheetName val="CHINA-Budget-USD"/>
      <sheetName val="USA-Summary in USD"/>
      <sheetName val="CHINA-Revenue Milestones"/>
      <sheetName val="诚臻 CCTV"/>
      <sheetName val="CATR测试系统"/>
      <sheetName val="Top CCTV "/>
      <sheetName val="CHINA-Budget"/>
      <sheetName val="START"/>
      <sheetName val="CHINA-Summary in CNY"/>
      <sheetName val="ETS pricing 2026"/>
      <sheetName val="CHINA-TestSubcontractFreight"/>
      <sheetName val="ETS-L暗室报价单"/>
      <sheetName val="ETSTJ-定位"/>
      <sheetName val="CHINA-Installation"/>
      <sheetName val="China Filters"/>
      <sheetName val="CHINA-S81 Chamber"/>
      <sheetName val="CHINA-S81 CR"/>
      <sheetName val="CHINA-S81 AR"/>
      <sheetName val="CHINA-S81 SR"/>
      <sheetName val="CONN"/>
      <sheetName val="CHINA-S101 Chamber"/>
      <sheetName val="CHINA-Absorber Items"/>
      <sheetName val="door 上吸波材料"/>
      <sheetName val="CHINA-S101 CR"/>
      <sheetName val="CHINA-S101 AR"/>
      <sheetName val="CHINA-S101 SR"/>
      <sheetName val="CHINA-Purchased Absorbers"/>
      <sheetName val="EMEA-Do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 Item Master Estimator Repo"/>
      <sheetName val="#REF"/>
      <sheetName val="2005 Item Master Estimator Repo"/>
      <sheetName val="Item Master Estimator Report"/>
      <sheetName val="Shielding-Main Chamber"/>
      <sheetName val="2003 Item Master Estimator Repo"/>
      <sheetName val="Item Master"/>
      <sheetName val="tbl_FI"/>
      <sheetName val="Lookup 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Item_Number</v>
          </cell>
          <cell r="B1" t="str">
            <v>Item_Description</v>
          </cell>
          <cell r="C1" t="str">
            <v>Units_Stocked</v>
          </cell>
          <cell r="D1" t="str">
            <v>Weight_Per_Unit</v>
          </cell>
          <cell r="E1" t="str">
            <v>Product_Code</v>
          </cell>
          <cell r="F1" t="str">
            <v>Unit_Cost</v>
          </cell>
          <cell r="G1" t="str">
            <v>Unit_Price_1</v>
          </cell>
        </row>
        <row r="2">
          <cell r="A2">
            <v>100420</v>
          </cell>
          <cell r="B2" t="str">
            <v>TILE,ARMSTNG IMP.TEXTR STD #51858*</v>
          </cell>
          <cell r="C2" t="str">
            <v>EA</v>
          </cell>
          <cell r="D2">
            <v>0</v>
          </cell>
          <cell r="E2" t="str">
            <v>FG25</v>
          </cell>
          <cell r="F2">
            <v>0.67</v>
          </cell>
          <cell r="G2">
            <v>0</v>
          </cell>
        </row>
        <row r="3">
          <cell r="A3">
            <v>104048</v>
          </cell>
          <cell r="B3" t="str">
            <v>TILE,VINYL COND, CON#9 ESD1/8X12X12*</v>
          </cell>
          <cell r="C3" t="str">
            <v>EA</v>
          </cell>
          <cell r="D3">
            <v>0</v>
          </cell>
          <cell r="E3" t="str">
            <v>FG25</v>
          </cell>
          <cell r="F3">
            <v>3.2</v>
          </cell>
          <cell r="G3">
            <v>0</v>
          </cell>
        </row>
        <row r="4">
          <cell r="A4">
            <v>104150</v>
          </cell>
          <cell r="B4" t="str">
            <v>ADH,TILE 150 CONDUCT, NON-HAZARD 75SF/GL</v>
          </cell>
          <cell r="C4" t="str">
            <v>EA</v>
          </cell>
          <cell r="D4">
            <v>0</v>
          </cell>
          <cell r="E4" t="str">
            <v>FG25</v>
          </cell>
          <cell r="F4">
            <v>56.28</v>
          </cell>
          <cell r="G4">
            <v>0</v>
          </cell>
        </row>
        <row r="5">
          <cell r="A5">
            <v>104367</v>
          </cell>
          <cell r="B5" t="str">
            <v>ADH,HENRYS-TILE (1 GAL)#430, 300 SQ.FT.*</v>
          </cell>
          <cell r="C5" t="str">
            <v>EA</v>
          </cell>
          <cell r="D5">
            <v>0</v>
          </cell>
          <cell r="E5" t="str">
            <v>FG25</v>
          </cell>
          <cell r="F5">
            <v>19.95</v>
          </cell>
          <cell r="G5">
            <v>0</v>
          </cell>
        </row>
        <row r="6">
          <cell r="A6">
            <v>104372</v>
          </cell>
          <cell r="B6" t="str">
            <v>ADH,HENRYS TILE (1)QT #430 (75 SF COVER)</v>
          </cell>
          <cell r="C6" t="str">
            <v>EA</v>
          </cell>
          <cell r="D6">
            <v>0</v>
          </cell>
          <cell r="E6" t="str">
            <v>FG25</v>
          </cell>
          <cell r="F6">
            <v>0</v>
          </cell>
          <cell r="G6">
            <v>0</v>
          </cell>
        </row>
        <row r="7">
          <cell r="A7">
            <v>104823</v>
          </cell>
          <cell r="B7" t="str">
            <v>SHT, 24.375x46.75 w/21x21 ETS WAVE LOGO*</v>
          </cell>
          <cell r="C7" t="str">
            <v>EA</v>
          </cell>
          <cell r="D7">
            <v>0</v>
          </cell>
          <cell r="E7" t="str">
            <v>FG25</v>
          </cell>
          <cell r="F7">
            <v>3.1</v>
          </cell>
          <cell r="G7">
            <v>0</v>
          </cell>
        </row>
        <row r="8">
          <cell r="A8">
            <v>104824</v>
          </cell>
          <cell r="B8" t="str">
            <v>SHT, 24.375x50' GLOSS WHITE VINYL</v>
          </cell>
          <cell r="C8" t="str">
            <v>EA</v>
          </cell>
          <cell r="D8">
            <v>0</v>
          </cell>
          <cell r="E8" t="str">
            <v>FG25</v>
          </cell>
          <cell r="F8">
            <v>3</v>
          </cell>
          <cell r="G8">
            <v>0</v>
          </cell>
        </row>
        <row r="9">
          <cell r="A9">
            <v>151004</v>
          </cell>
          <cell r="B9" t="str">
            <v>ASSY,HAT&amp;FLAT STD 46-3/4"</v>
          </cell>
          <cell r="C9" t="str">
            <v>EA</v>
          </cell>
          <cell r="D9">
            <v>0</v>
          </cell>
          <cell r="E9" t="str">
            <v>FG25</v>
          </cell>
          <cell r="F9">
            <v>0</v>
          </cell>
          <cell r="G9">
            <v>0</v>
          </cell>
        </row>
        <row r="10">
          <cell r="A10">
            <v>151005</v>
          </cell>
          <cell r="B10" t="str">
            <v>ASSY,HAT&amp;FLAT STD 94-3/4"</v>
          </cell>
          <cell r="C10" t="str">
            <v>EA</v>
          </cell>
          <cell r="D10">
            <v>0</v>
          </cell>
          <cell r="E10" t="str">
            <v>FG25</v>
          </cell>
          <cell r="F10">
            <v>0</v>
          </cell>
          <cell r="G10">
            <v>0</v>
          </cell>
        </row>
        <row r="11">
          <cell r="A11">
            <v>151006</v>
          </cell>
          <cell r="B11" t="str">
            <v>ASSY,HAT&amp;FLAT STD 118-3/4"</v>
          </cell>
          <cell r="C11" t="str">
            <v>EA</v>
          </cell>
          <cell r="D11">
            <v>0</v>
          </cell>
          <cell r="E11" t="str">
            <v>FG25</v>
          </cell>
          <cell r="F11">
            <v>0</v>
          </cell>
          <cell r="G11">
            <v>0</v>
          </cell>
        </row>
        <row r="12">
          <cell r="A12">
            <v>151007</v>
          </cell>
          <cell r="B12" t="str">
            <v>ASSY,HAT&amp;FLAT STD 142-3/4"*</v>
          </cell>
          <cell r="C12" t="str">
            <v>EA</v>
          </cell>
          <cell r="D12">
            <v>0</v>
          </cell>
          <cell r="E12" t="str">
            <v>FG25</v>
          </cell>
          <cell r="F12">
            <v>0</v>
          </cell>
          <cell r="G12">
            <v>0</v>
          </cell>
        </row>
        <row r="13">
          <cell r="A13">
            <v>151014</v>
          </cell>
          <cell r="B13" t="str">
            <v>ASSY,HAT&amp;FLAT CSK 46-3/4"</v>
          </cell>
          <cell r="C13" t="str">
            <v>EA</v>
          </cell>
          <cell r="D13">
            <v>0</v>
          </cell>
          <cell r="E13" t="str">
            <v>FG25</v>
          </cell>
          <cell r="F13">
            <v>0</v>
          </cell>
          <cell r="G13">
            <v>0</v>
          </cell>
        </row>
        <row r="14">
          <cell r="A14">
            <v>151015</v>
          </cell>
          <cell r="B14" t="str">
            <v>ASSY,HAT&amp;FLAT CSK 94-3/4</v>
          </cell>
          <cell r="C14" t="str">
            <v>EA</v>
          </cell>
          <cell r="D14">
            <v>0</v>
          </cell>
          <cell r="E14" t="str">
            <v>FG25</v>
          </cell>
          <cell r="F14">
            <v>0</v>
          </cell>
          <cell r="G14">
            <v>0</v>
          </cell>
        </row>
        <row r="15">
          <cell r="A15">
            <v>151016</v>
          </cell>
          <cell r="B15" t="str">
            <v>ASSY,HAT&amp;FLAT CSK 118-3/4"</v>
          </cell>
          <cell r="C15" t="str">
            <v>EA</v>
          </cell>
          <cell r="D15">
            <v>0</v>
          </cell>
          <cell r="E15" t="str">
            <v>FG25</v>
          </cell>
          <cell r="F15">
            <v>0</v>
          </cell>
          <cell r="G15">
            <v>0</v>
          </cell>
        </row>
        <row r="16">
          <cell r="A16">
            <v>151017</v>
          </cell>
          <cell r="B16" t="str">
            <v>ASSY,HAT&amp;FLAT CSK 142-3/4"***</v>
          </cell>
          <cell r="C16" t="str">
            <v>EA</v>
          </cell>
          <cell r="D16">
            <v>0</v>
          </cell>
          <cell r="E16" t="str">
            <v>FG25</v>
          </cell>
          <cell r="F16">
            <v>0</v>
          </cell>
          <cell r="G16">
            <v>0</v>
          </cell>
        </row>
        <row r="17">
          <cell r="A17">
            <v>151025</v>
          </cell>
          <cell r="B17" t="str">
            <v>ASSY,U&amp;W 94-3/4"</v>
          </cell>
          <cell r="C17" t="str">
            <v>EA</v>
          </cell>
          <cell r="D17">
            <v>0</v>
          </cell>
          <cell r="E17" t="str">
            <v>FG25</v>
          </cell>
          <cell r="F17">
            <v>2.16</v>
          </cell>
          <cell r="G17">
            <v>0</v>
          </cell>
        </row>
        <row r="18">
          <cell r="A18">
            <v>151026</v>
          </cell>
          <cell r="B18" t="str">
            <v>ASSY,U&amp;W 118-3/4"</v>
          </cell>
          <cell r="C18" t="str">
            <v>EA</v>
          </cell>
          <cell r="D18">
            <v>0</v>
          </cell>
          <cell r="E18" t="str">
            <v>FG25</v>
          </cell>
          <cell r="F18">
            <v>0</v>
          </cell>
          <cell r="G18">
            <v>0</v>
          </cell>
        </row>
        <row r="19">
          <cell r="A19">
            <v>151027</v>
          </cell>
          <cell r="B19" t="str">
            <v>ASSY,U&amp;W 142-3/4"*</v>
          </cell>
          <cell r="C19" t="str">
            <v>EA</v>
          </cell>
          <cell r="D19">
            <v>0</v>
          </cell>
          <cell r="E19" t="str">
            <v>FG25</v>
          </cell>
          <cell r="F19">
            <v>0</v>
          </cell>
          <cell r="G19">
            <v>0</v>
          </cell>
        </row>
        <row r="20">
          <cell r="A20">
            <v>151034</v>
          </cell>
          <cell r="B20" t="str">
            <v>KIT,BR CNR CAP FOR CELL TYPE 2CAPS,1SCR</v>
          </cell>
          <cell r="C20" t="str">
            <v>EA</v>
          </cell>
          <cell r="D20">
            <v>0</v>
          </cell>
          <cell r="E20" t="str">
            <v>FG25</v>
          </cell>
          <cell r="F20">
            <v>9.59</v>
          </cell>
          <cell r="G20">
            <v>0</v>
          </cell>
        </row>
        <row r="21">
          <cell r="A21">
            <v>151040</v>
          </cell>
          <cell r="B21" t="str">
            <v>PNL,CONN 12x12 J-FRAME &amp; 11GA BLANK CVR</v>
          </cell>
          <cell r="C21" t="str">
            <v>EA</v>
          </cell>
          <cell r="D21">
            <v>0</v>
          </cell>
          <cell r="E21" t="str">
            <v>FG25</v>
          </cell>
          <cell r="F21">
            <v>160</v>
          </cell>
          <cell r="G21">
            <v>0</v>
          </cell>
        </row>
        <row r="22">
          <cell r="A22">
            <v>151042</v>
          </cell>
          <cell r="B22" t="str">
            <v>PNL,CONN 18x18 J-FRAME &amp; 11GA BLANK CVR</v>
          </cell>
          <cell r="C22" t="str">
            <v>EA</v>
          </cell>
          <cell r="D22">
            <v>0</v>
          </cell>
          <cell r="E22" t="str">
            <v>FG25</v>
          </cell>
          <cell r="F22">
            <v>184</v>
          </cell>
          <cell r="G22">
            <v>0</v>
          </cell>
        </row>
        <row r="23">
          <cell r="A23">
            <v>151044</v>
          </cell>
          <cell r="B23" t="str">
            <v>PNL,CONN 24x24 J-FRAME &amp; 11GA BLANK CVR</v>
          </cell>
          <cell r="C23" t="str">
            <v>EA</v>
          </cell>
          <cell r="D23">
            <v>0</v>
          </cell>
          <cell r="E23" t="str">
            <v>FG25</v>
          </cell>
          <cell r="F23">
            <v>208</v>
          </cell>
          <cell r="G23">
            <v>0</v>
          </cell>
        </row>
        <row r="24">
          <cell r="A24">
            <v>151046</v>
          </cell>
          <cell r="B24" t="str">
            <v>PNL,CONN 6x18 J-FRAME &amp; 11GA BLANK CVR</v>
          </cell>
          <cell r="C24" t="str">
            <v>EA</v>
          </cell>
          <cell r="D24">
            <v>0</v>
          </cell>
          <cell r="E24" t="str">
            <v>FG25</v>
          </cell>
          <cell r="F24">
            <v>208</v>
          </cell>
          <cell r="G24">
            <v>0</v>
          </cell>
        </row>
        <row r="25">
          <cell r="A25">
            <v>151076</v>
          </cell>
          <cell r="B25" t="str">
            <v>VENT, ASMBLY 12"x12" w/ HAT&amp;FLAT FRAME</v>
          </cell>
          <cell r="F25">
            <v>274.04000000000002</v>
          </cell>
        </row>
        <row r="26">
          <cell r="A26">
            <v>151495</v>
          </cell>
          <cell r="B26" t="str">
            <v>VENT, ASMBLY 12"x24" w/ HAT&amp;FLAT FRAME</v>
          </cell>
          <cell r="C26" t="str">
            <v>EA</v>
          </cell>
          <cell r="D26">
            <v>0</v>
          </cell>
          <cell r="E26" t="str">
            <v>FG25</v>
          </cell>
          <cell r="F26">
            <v>563</v>
          </cell>
          <cell r="G26">
            <v>0</v>
          </cell>
        </row>
        <row r="27">
          <cell r="A27">
            <v>151502</v>
          </cell>
          <cell r="B27" t="str">
            <v>PNL,CONN 6x24 J-FRAME &amp; 11GA BLANK CVR</v>
          </cell>
          <cell r="C27" t="str">
            <v>EA</v>
          </cell>
          <cell r="D27">
            <v>0</v>
          </cell>
          <cell r="E27" t="str">
            <v>FG25</v>
          </cell>
          <cell r="F27">
            <v>208</v>
          </cell>
          <cell r="G27">
            <v>0</v>
          </cell>
        </row>
        <row r="28">
          <cell r="A28">
            <v>151618</v>
          </cell>
          <cell r="B28" t="str">
            <v>PNL,CONN 6x10 W/12"x12" SLANT BOX</v>
          </cell>
          <cell r="C28" t="str">
            <v>EA</v>
          </cell>
          <cell r="D28">
            <v>0</v>
          </cell>
          <cell r="E28" t="str">
            <v>FG25</v>
          </cell>
          <cell r="F28">
            <v>268</v>
          </cell>
          <cell r="G28">
            <v>0</v>
          </cell>
        </row>
        <row r="29">
          <cell r="A29">
            <v>155332</v>
          </cell>
          <cell r="B29" t="str">
            <v>VENT,ASMBLY 24"X24"X1" STL CRW/ 22 GA.</v>
          </cell>
          <cell r="C29" t="str">
            <v>EA</v>
          </cell>
          <cell r="D29">
            <v>0</v>
          </cell>
          <cell r="E29" t="str">
            <v>FG25</v>
          </cell>
          <cell r="F29">
            <v>488.39</v>
          </cell>
          <cell r="G29">
            <v>0</v>
          </cell>
        </row>
        <row r="30">
          <cell r="A30">
            <v>155399</v>
          </cell>
          <cell r="B30" t="str">
            <v>STRUT,HS-2716-12/PG 20' VIP 311504*</v>
          </cell>
          <cell r="C30" t="str">
            <v>EA</v>
          </cell>
          <cell r="D30">
            <v>0</v>
          </cell>
          <cell r="E30" t="str">
            <v>FG25</v>
          </cell>
          <cell r="F30">
            <v>0</v>
          </cell>
          <cell r="G30">
            <v>0</v>
          </cell>
        </row>
        <row r="31">
          <cell r="A31">
            <v>155424</v>
          </cell>
          <cell r="B31" t="str">
            <v>VENT,ASSY 12x12x1" STL CRW/ 22 GA. FLNG*</v>
          </cell>
          <cell r="C31" t="str">
            <v>EA</v>
          </cell>
          <cell r="D31">
            <v>0</v>
          </cell>
          <cell r="E31" t="str">
            <v>FG25</v>
          </cell>
          <cell r="F31">
            <v>278.89999999999998</v>
          </cell>
          <cell r="G31">
            <v>0</v>
          </cell>
        </row>
        <row r="32">
          <cell r="A32">
            <v>155465</v>
          </cell>
          <cell r="B32" t="str">
            <v>VENT,ASMBLY 18"X18"X1" STL CRW/ 22 GA.</v>
          </cell>
          <cell r="C32" t="str">
            <v>EA</v>
          </cell>
          <cell r="D32">
            <v>0</v>
          </cell>
          <cell r="E32" t="str">
            <v>FG25</v>
          </cell>
          <cell r="F32">
            <v>344.22</v>
          </cell>
          <cell r="G32">
            <v>0</v>
          </cell>
        </row>
        <row r="33">
          <cell r="A33">
            <v>155623</v>
          </cell>
          <cell r="B33" t="str">
            <v>CU,0.001x2XFT 129.42 LF/LB</v>
          </cell>
          <cell r="C33" t="str">
            <v>EA</v>
          </cell>
          <cell r="D33">
            <v>0</v>
          </cell>
          <cell r="E33" t="str">
            <v>FG25</v>
          </cell>
          <cell r="F33">
            <v>14.87</v>
          </cell>
          <cell r="G33">
            <v>0</v>
          </cell>
        </row>
        <row r="34">
          <cell r="A34">
            <v>155756</v>
          </cell>
          <cell r="B34" t="str">
            <v>CU,0.001x4x LB 64.71 LF/LB</v>
          </cell>
          <cell r="C34" t="str">
            <v>EA</v>
          </cell>
          <cell r="D34">
            <v>0</v>
          </cell>
          <cell r="E34" t="str">
            <v>FG25</v>
          </cell>
          <cell r="F34">
            <v>14.65</v>
          </cell>
          <cell r="G34">
            <v>0</v>
          </cell>
        </row>
        <row r="35">
          <cell r="A35">
            <v>155933</v>
          </cell>
          <cell r="B35" t="str">
            <v>STRUT,HS-314-12/PG 20' VIP 97263629*</v>
          </cell>
          <cell r="C35" t="str">
            <v>EA</v>
          </cell>
          <cell r="D35">
            <v>0</v>
          </cell>
          <cell r="E35" t="str">
            <v>FG25</v>
          </cell>
          <cell r="F35">
            <v>0</v>
          </cell>
          <cell r="G35">
            <v>0</v>
          </cell>
        </row>
        <row r="36">
          <cell r="A36">
            <v>156951</v>
          </cell>
          <cell r="B36" t="str">
            <v>PNL,SS 12x12 ACCESS W\3/16 COVER</v>
          </cell>
          <cell r="C36" t="str">
            <v>EA</v>
          </cell>
          <cell r="D36">
            <v>0</v>
          </cell>
          <cell r="E36" t="str">
            <v>FG25</v>
          </cell>
          <cell r="F36">
            <v>175</v>
          </cell>
          <cell r="G36">
            <v>0</v>
          </cell>
        </row>
        <row r="37">
          <cell r="A37">
            <v>156952</v>
          </cell>
          <cell r="B37" t="str">
            <v>PNL,SS 18x18 ACCESS W\3/16 COVER *</v>
          </cell>
          <cell r="C37" t="str">
            <v>EA</v>
          </cell>
          <cell r="D37">
            <v>0</v>
          </cell>
          <cell r="E37" t="str">
            <v>FG25</v>
          </cell>
          <cell r="F37">
            <v>175</v>
          </cell>
          <cell r="G37">
            <v>0</v>
          </cell>
        </row>
        <row r="38">
          <cell r="A38">
            <v>200321</v>
          </cell>
          <cell r="B38" t="str">
            <v>HDL ASSY,SKE 201 PHENOLIC 7"</v>
          </cell>
          <cell r="C38" t="str">
            <v>EA</v>
          </cell>
          <cell r="D38">
            <v>0</v>
          </cell>
          <cell r="E38" t="str">
            <v>FG25</v>
          </cell>
          <cell r="F38">
            <v>0</v>
          </cell>
          <cell r="G38">
            <v>0</v>
          </cell>
        </row>
        <row r="39">
          <cell r="A39">
            <v>200322</v>
          </cell>
          <cell r="B39" t="str">
            <v>HDL ASSY,SKE 201 PHENOLIC 10"</v>
          </cell>
          <cell r="C39" t="str">
            <v>EA</v>
          </cell>
          <cell r="D39">
            <v>0</v>
          </cell>
          <cell r="E39" t="str">
            <v>FG25</v>
          </cell>
          <cell r="F39">
            <v>303</v>
          </cell>
          <cell r="G39">
            <v>0</v>
          </cell>
        </row>
        <row r="40">
          <cell r="A40">
            <v>201819</v>
          </cell>
          <cell r="B40" t="str">
            <v>DR,S201,4x7,RH,MANUAL,RP82012R*</v>
          </cell>
          <cell r="C40" t="str">
            <v>EA</v>
          </cell>
          <cell r="D40">
            <v>0</v>
          </cell>
          <cell r="E40" t="str">
            <v>FG25</v>
          </cell>
          <cell r="F40">
            <v>3155.6</v>
          </cell>
          <cell r="G40">
            <v>0</v>
          </cell>
        </row>
        <row r="41">
          <cell r="A41">
            <v>201825</v>
          </cell>
          <cell r="B41" t="str">
            <v>DR,S201,4x7,RH,MANUAL,PHEN HDL*</v>
          </cell>
          <cell r="C41" t="str">
            <v>EA</v>
          </cell>
          <cell r="D41">
            <v>0</v>
          </cell>
          <cell r="E41" t="str">
            <v>FG25</v>
          </cell>
          <cell r="F41">
            <v>0</v>
          </cell>
          <cell r="G41">
            <v>0</v>
          </cell>
        </row>
        <row r="42">
          <cell r="A42">
            <v>201827</v>
          </cell>
          <cell r="B42" t="str">
            <v>DR,S201,3x7,LH,MANUAL,PHEN HDL*</v>
          </cell>
          <cell r="C42" t="str">
            <v>EA</v>
          </cell>
          <cell r="D42">
            <v>0</v>
          </cell>
          <cell r="E42" t="str">
            <v>FG25</v>
          </cell>
          <cell r="F42">
            <v>0</v>
          </cell>
          <cell r="G42">
            <v>0</v>
          </cell>
        </row>
        <row r="43">
          <cell r="A43">
            <v>201881</v>
          </cell>
          <cell r="B43" t="str">
            <v>DR,S201,3x7,RH,MANUAL,PHEN HDL*</v>
          </cell>
          <cell r="C43" t="str">
            <v>EA</v>
          </cell>
          <cell r="D43">
            <v>0</v>
          </cell>
          <cell r="E43" t="str">
            <v>FG25</v>
          </cell>
          <cell r="F43">
            <v>0</v>
          </cell>
          <cell r="G43">
            <v>0</v>
          </cell>
        </row>
        <row r="44">
          <cell r="A44">
            <v>201900</v>
          </cell>
          <cell r="B44" t="str">
            <v>DR,S201,3x7,RH,MANUAL,RP82011R*</v>
          </cell>
          <cell r="C44" t="str">
            <v>EA</v>
          </cell>
          <cell r="D44">
            <v>0</v>
          </cell>
          <cell r="E44" t="str">
            <v>FG25</v>
          </cell>
          <cell r="F44">
            <v>3000.76</v>
          </cell>
          <cell r="G44">
            <v>0</v>
          </cell>
        </row>
        <row r="45">
          <cell r="A45">
            <v>206538</v>
          </cell>
          <cell r="B45" t="str">
            <v>KIT,SKE DR MAINT,MK 101</v>
          </cell>
          <cell r="C45" t="str">
            <v>EA</v>
          </cell>
          <cell r="D45">
            <v>0</v>
          </cell>
          <cell r="E45" t="str">
            <v>FG25</v>
          </cell>
          <cell r="F45">
            <v>144</v>
          </cell>
          <cell r="G45">
            <v>0</v>
          </cell>
        </row>
        <row r="46">
          <cell r="A46">
            <v>210901</v>
          </cell>
          <cell r="B46" t="str">
            <v>DR,S201,3x7,LH,MANUAL,RP82011L*</v>
          </cell>
          <cell r="C46" t="str">
            <v>EA</v>
          </cell>
          <cell r="D46">
            <v>0</v>
          </cell>
          <cell r="E46" t="str">
            <v>FG25</v>
          </cell>
          <cell r="F46">
            <v>0</v>
          </cell>
          <cell r="G46">
            <v>0</v>
          </cell>
        </row>
        <row r="47">
          <cell r="A47">
            <v>211003</v>
          </cell>
          <cell r="B47" t="str">
            <v>DR,DKE,3x7,RH,MOD JMB</v>
          </cell>
          <cell r="C47" t="str">
            <v>EA</v>
          </cell>
          <cell r="D47">
            <v>0</v>
          </cell>
          <cell r="E47" t="str">
            <v>FG25</v>
          </cell>
          <cell r="F47">
            <v>3701</v>
          </cell>
          <cell r="G47">
            <v>0</v>
          </cell>
        </row>
        <row r="48">
          <cell r="A48">
            <v>211004</v>
          </cell>
          <cell r="B48" t="str">
            <v>DR,DKE,4x7,RH,MOD JMB</v>
          </cell>
          <cell r="C48" t="str">
            <v>EA</v>
          </cell>
          <cell r="D48">
            <v>0</v>
          </cell>
          <cell r="E48" t="str">
            <v>FG25</v>
          </cell>
          <cell r="F48">
            <v>4094</v>
          </cell>
          <cell r="G48">
            <v>0</v>
          </cell>
        </row>
        <row r="49">
          <cell r="A49">
            <v>211013</v>
          </cell>
          <cell r="B49" t="str">
            <v>DR,DKE,3X7,LH,MOD JMB</v>
          </cell>
          <cell r="C49" t="str">
            <v>EA</v>
          </cell>
          <cell r="D49">
            <v>0</v>
          </cell>
          <cell r="E49" t="str">
            <v>FG25</v>
          </cell>
          <cell r="F49">
            <v>0</v>
          </cell>
          <cell r="G49">
            <v>0</v>
          </cell>
        </row>
        <row r="50">
          <cell r="A50">
            <v>211014</v>
          </cell>
          <cell r="B50" t="str">
            <v>DR,DKE,4X7,LH,MOD JMB</v>
          </cell>
          <cell r="C50" t="str">
            <v>EA</v>
          </cell>
          <cell r="D50">
            <v>0</v>
          </cell>
          <cell r="E50" t="str">
            <v>FG25</v>
          </cell>
          <cell r="F50">
            <v>0</v>
          </cell>
          <cell r="G50">
            <v>0</v>
          </cell>
        </row>
        <row r="51">
          <cell r="A51">
            <v>211051</v>
          </cell>
          <cell r="B51" t="str">
            <v>PAN,KT 22GA 1.875X47.5X83.25"FER TILE *</v>
          </cell>
          <cell r="C51" t="str">
            <v>EA</v>
          </cell>
          <cell r="D51">
            <v>0</v>
          </cell>
          <cell r="E51" t="str">
            <v>FG25</v>
          </cell>
          <cell r="F51">
            <v>0</v>
          </cell>
          <cell r="G51">
            <v>0</v>
          </cell>
        </row>
        <row r="52">
          <cell r="A52">
            <v>211063</v>
          </cell>
          <cell r="B52" t="str">
            <v>DR,S201,4x7,LH,MANUAL,RP82012L*</v>
          </cell>
          <cell r="C52" t="str">
            <v>EA</v>
          </cell>
          <cell r="D52">
            <v>0</v>
          </cell>
          <cell r="E52" t="str">
            <v>FG25</v>
          </cell>
          <cell r="F52">
            <v>0</v>
          </cell>
          <cell r="G52">
            <v>0</v>
          </cell>
        </row>
        <row r="53">
          <cell r="A53">
            <v>211068</v>
          </cell>
          <cell r="B53" t="str">
            <v>HDL, KIT 1X1-1/2X24 DELRIN WITH DELRIN</v>
          </cell>
          <cell r="C53" t="str">
            <v>EA</v>
          </cell>
          <cell r="D53">
            <v>0</v>
          </cell>
          <cell r="E53" t="str">
            <v>FG25</v>
          </cell>
          <cell r="F53">
            <v>0</v>
          </cell>
          <cell r="G53">
            <v>0</v>
          </cell>
        </row>
        <row r="54">
          <cell r="A54">
            <v>211121</v>
          </cell>
          <cell r="B54" t="str">
            <v>DR,S201,4x7,RH,OS,MANUAL,LOW PROF</v>
          </cell>
          <cell r="C54" t="str">
            <v>EA</v>
          </cell>
          <cell r="D54">
            <v>0</v>
          </cell>
          <cell r="E54" t="str">
            <v>FG25</v>
          </cell>
          <cell r="F54">
            <v>3490.6</v>
          </cell>
          <cell r="G54">
            <v>0</v>
          </cell>
        </row>
        <row r="55">
          <cell r="A55">
            <v>211125</v>
          </cell>
          <cell r="B55" t="str">
            <v>DR,S201,8x8,DBL DR,LOW PROF,PHEN HDL</v>
          </cell>
          <cell r="C55" t="str">
            <v>EA</v>
          </cell>
          <cell r="D55">
            <v>0</v>
          </cell>
          <cell r="E55" t="str">
            <v>FG25</v>
          </cell>
          <cell r="F55">
            <v>6900</v>
          </cell>
          <cell r="G55">
            <v>0</v>
          </cell>
        </row>
        <row r="56">
          <cell r="A56">
            <v>211153</v>
          </cell>
          <cell r="B56" t="str">
            <v>DR,S201,6X7,DBL DR,OS,PHEN HDL,RH ACTIVE</v>
          </cell>
          <cell r="C56" t="str">
            <v>EA</v>
          </cell>
          <cell r="D56">
            <v>0</v>
          </cell>
          <cell r="E56" t="str">
            <v>FG25</v>
          </cell>
          <cell r="F56">
            <v>0</v>
          </cell>
          <cell r="G56">
            <v>0</v>
          </cell>
        </row>
        <row r="57">
          <cell r="A57">
            <v>211154</v>
          </cell>
          <cell r="B57" t="str">
            <v>DR,S201,4X7,LH,MANUAL,PHEN HDL</v>
          </cell>
          <cell r="C57" t="str">
            <v>EA</v>
          </cell>
          <cell r="D57">
            <v>0</v>
          </cell>
          <cell r="E57" t="str">
            <v>FG25</v>
          </cell>
          <cell r="F57">
            <v>0</v>
          </cell>
          <cell r="G57">
            <v>0</v>
          </cell>
        </row>
        <row r="58">
          <cell r="A58">
            <v>211159</v>
          </cell>
          <cell r="B58" t="str">
            <v>DR,S201,4x7,LH,OS,MANUAL,LOW PROF</v>
          </cell>
          <cell r="C58" t="str">
            <v>EA</v>
          </cell>
          <cell r="D58">
            <v>0</v>
          </cell>
          <cell r="E58" t="str">
            <v>FG25</v>
          </cell>
          <cell r="F58">
            <v>0</v>
          </cell>
          <cell r="G58">
            <v>0</v>
          </cell>
        </row>
        <row r="59">
          <cell r="A59">
            <v>211161</v>
          </cell>
          <cell r="B59" t="str">
            <v>DR,S201,4X7,RH,E-LATCH,PHEN HDL</v>
          </cell>
          <cell r="C59" t="str">
            <v>EA</v>
          </cell>
          <cell r="D59">
            <v>0</v>
          </cell>
          <cell r="E59" t="str">
            <v>FG25</v>
          </cell>
          <cell r="F59">
            <v>0</v>
          </cell>
          <cell r="G59">
            <v>0</v>
          </cell>
        </row>
        <row r="60">
          <cell r="A60">
            <v>211162</v>
          </cell>
          <cell r="B60" t="str">
            <v>DR,S201,4X7,LH,E-LATCH,PHEN HDL</v>
          </cell>
          <cell r="C60" t="str">
            <v>EA</v>
          </cell>
          <cell r="D60">
            <v>0</v>
          </cell>
          <cell r="E60" t="str">
            <v>FG25</v>
          </cell>
          <cell r="F60">
            <v>0</v>
          </cell>
          <cell r="G60">
            <v>0</v>
          </cell>
        </row>
        <row r="61">
          <cell r="A61">
            <v>211165</v>
          </cell>
          <cell r="B61" t="str">
            <v>DR,S201,3x7,RH,MANUAL,LOW PRO</v>
          </cell>
          <cell r="C61" t="str">
            <v>EA</v>
          </cell>
          <cell r="D61">
            <v>0</v>
          </cell>
          <cell r="E61" t="str">
            <v>FG25</v>
          </cell>
          <cell r="F61">
            <v>3335.76</v>
          </cell>
          <cell r="G61">
            <v>0</v>
          </cell>
        </row>
        <row r="62">
          <cell r="A62">
            <v>211166</v>
          </cell>
          <cell r="B62" t="str">
            <v>DR,S201,3x7,LH,MANUAL,LOW PRO</v>
          </cell>
          <cell r="C62" t="str">
            <v>EA</v>
          </cell>
          <cell r="D62">
            <v>0</v>
          </cell>
          <cell r="E62" t="str">
            <v>FG25</v>
          </cell>
          <cell r="F62">
            <v>0</v>
          </cell>
          <cell r="G62">
            <v>0</v>
          </cell>
        </row>
        <row r="63">
          <cell r="A63">
            <v>211182</v>
          </cell>
          <cell r="B63" t="str">
            <v>DR,S201,6X7,DBL DR,OS,PHEN HDL,LH ACTIVE</v>
          </cell>
          <cell r="C63" t="str">
            <v>EA</v>
          </cell>
          <cell r="D63">
            <v>0</v>
          </cell>
          <cell r="E63" t="str">
            <v>FG25</v>
          </cell>
          <cell r="F63">
            <v>0</v>
          </cell>
          <cell r="G63">
            <v>0</v>
          </cell>
        </row>
        <row r="64">
          <cell r="A64">
            <v>211188</v>
          </cell>
          <cell r="B64" t="str">
            <v>DR,S201,6x7,DBL DR,LOW PROF</v>
          </cell>
          <cell r="C64" t="str">
            <v>EA</v>
          </cell>
          <cell r="D64">
            <v>0</v>
          </cell>
          <cell r="E64" t="str">
            <v>FG25</v>
          </cell>
          <cell r="F64">
            <v>5958</v>
          </cell>
          <cell r="G64">
            <v>0</v>
          </cell>
        </row>
        <row r="65">
          <cell r="A65">
            <v>250102</v>
          </cell>
          <cell r="B65" t="str">
            <v>CONN,N BULKHEAD UG-30/U (39F022)*</v>
          </cell>
          <cell r="C65" t="str">
            <v>EA</v>
          </cell>
          <cell r="D65">
            <v>0</v>
          </cell>
          <cell r="E65" t="str">
            <v>FG25</v>
          </cell>
          <cell r="F65">
            <v>32</v>
          </cell>
          <cell r="G65">
            <v>0</v>
          </cell>
        </row>
        <row r="66">
          <cell r="A66">
            <v>250103</v>
          </cell>
          <cell r="B66" t="str">
            <v>CONN,BNC BLKHD J/J NWK#87N814UG-492A/U*</v>
          </cell>
          <cell r="C66" t="str">
            <v>EA</v>
          </cell>
          <cell r="D66">
            <v>0</v>
          </cell>
          <cell r="E66" t="str">
            <v>FG25</v>
          </cell>
          <cell r="F66">
            <v>21.1</v>
          </cell>
          <cell r="G66">
            <v>0</v>
          </cell>
        </row>
        <row r="67">
          <cell r="A67">
            <v>250261</v>
          </cell>
          <cell r="B67" t="str">
            <v>CONN, FSMA ADAPTER,NEWARK (50F3050)</v>
          </cell>
          <cell r="C67" t="str">
            <v>EA</v>
          </cell>
          <cell r="D67">
            <v>0</v>
          </cell>
          <cell r="E67" t="str">
            <v>FG25</v>
          </cell>
          <cell r="F67">
            <v>39.19</v>
          </cell>
          <cell r="G67">
            <v>0</v>
          </cell>
        </row>
        <row r="68">
          <cell r="A68">
            <v>250276</v>
          </cell>
          <cell r="B68" t="str">
            <v>CONN,SMA BULKHEAD,JACK/JACK (51F3842)*</v>
          </cell>
          <cell r="C68" t="str">
            <v>EA</v>
          </cell>
          <cell r="D68">
            <v>0</v>
          </cell>
          <cell r="E68" t="str">
            <v>FG25</v>
          </cell>
          <cell r="F68">
            <v>27.62</v>
          </cell>
          <cell r="G68">
            <v>0</v>
          </cell>
        </row>
        <row r="69">
          <cell r="A69">
            <v>251049</v>
          </cell>
          <cell r="B69" t="str">
            <v>KIT, LIMIT SWITCH FOR MANUAL S201 DOORS</v>
          </cell>
          <cell r="C69" t="str">
            <v>EA</v>
          </cell>
          <cell r="D69">
            <v>0</v>
          </cell>
          <cell r="E69" t="str">
            <v>FG25</v>
          </cell>
          <cell r="F69">
            <v>0</v>
          </cell>
          <cell r="G69">
            <v>0</v>
          </cell>
        </row>
        <row r="70">
          <cell r="A70">
            <v>251424</v>
          </cell>
          <cell r="B70" t="str">
            <v>KIT,FXTR 1x150W PAR LIGHTS LAMP HOLDER*</v>
          </cell>
          <cell r="C70" t="str">
            <v>EA</v>
          </cell>
          <cell r="D70">
            <v>0</v>
          </cell>
          <cell r="E70" t="str">
            <v>FG25</v>
          </cell>
          <cell r="F70">
            <v>38.71</v>
          </cell>
          <cell r="G70">
            <v>0</v>
          </cell>
        </row>
        <row r="71">
          <cell r="A71">
            <v>260464</v>
          </cell>
          <cell r="B71" t="str">
            <v>CAP,MALE BNC W/CHAIN MIL 39F1AMP3 31-17</v>
          </cell>
          <cell r="C71" t="str">
            <v>EA</v>
          </cell>
          <cell r="D71">
            <v>0</v>
          </cell>
          <cell r="E71" t="str">
            <v>FG25</v>
          </cell>
          <cell r="F71">
            <v>4.0199999999999996</v>
          </cell>
          <cell r="G71">
            <v>0</v>
          </cell>
        </row>
        <row r="72">
          <cell r="A72">
            <v>260465</v>
          </cell>
          <cell r="B72" t="str">
            <v>CAP,MALE TYPE N W/CHAIN M39012/25-0011*</v>
          </cell>
          <cell r="C72" t="str">
            <v>EA</v>
          </cell>
          <cell r="D72">
            <v>0</v>
          </cell>
          <cell r="E72" t="str">
            <v>FG25</v>
          </cell>
          <cell r="F72">
            <v>9.7100000000000009</v>
          </cell>
          <cell r="G72">
            <v>0</v>
          </cell>
        </row>
      </sheetData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a RSM Simple"/>
      <sheetName val="#1b Dashboard"/>
      <sheetName val="#1c Notes"/>
      <sheetName val="1d  PS"/>
      <sheetName val="#2 BOM"/>
      <sheetName val="#3 Summary Long"/>
      <sheetName val="#4 Ferrite"/>
      <sheetName val="#5 Microwave"/>
      <sheetName val="#6  VITAL STATS"/>
      <sheetName val="#7 Database Freight"/>
      <sheetName val="#8 Database Ferrite  Finland"/>
    </sheetNames>
    <sheetDataSet>
      <sheetData sheetId="0">
        <row r="6">
          <cell r="M6">
            <v>1.2849999999999999</v>
          </cell>
        </row>
      </sheetData>
      <sheetData sheetId="1">
        <row r="4">
          <cell r="C4" t="str">
            <v xml:space="preserve">Germany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B5">
            <v>2.25</v>
          </cell>
        </row>
        <row r="39">
          <cell r="C39">
            <v>0.08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GET Summary"/>
      <sheetName val="Estimate"/>
      <sheetName val="Maintenance"/>
      <sheetName val="Quote"/>
      <sheetName val="Service Type List"/>
      <sheetName val="Combine All - Price Table"/>
      <sheetName val="Production Cover"/>
      <sheetName val="Order Entry Summary"/>
      <sheetName val="BOM"/>
      <sheetName val="Mfg Check list"/>
      <sheetName val="USA-Budget"/>
      <sheetName val="PE Selections"/>
      <sheetName val="Flash"/>
      <sheetName val="State Tax Tables"/>
      <sheetName val="Project Drafting Information"/>
      <sheetName val="Tech Support"/>
      <sheetName val="Service&amp;Survey worksht"/>
      <sheetName val="Lost Business Report"/>
      <sheetName val="CO Cover Sheet"/>
      <sheetName val="CO #"/>
      <sheetName val="Instrument panel"/>
      <sheetName val="Europe Cost &amp; Sale Sum"/>
      <sheetName val="Field Labor Rate 2019"/>
      <sheetName val="Philips 1T Mfg"/>
      <sheetName val="Window Wall 1"/>
      <sheetName val="WWcalc 1"/>
      <sheetName val="Window Wall 2"/>
      <sheetName val="WWcalc 2"/>
      <sheetName val="Window Wall 3"/>
      <sheetName val="WWcalc 3"/>
      <sheetName val="Cell Mfg list"/>
      <sheetName val="Cell room"/>
      <sheetName val="Magnets"/>
      <sheetName val="calcs"/>
      <sheetName val="PASTE_ME"/>
      <sheetName val="Window 1 Sheet"/>
      <sheetName val="Window 2 Sheet"/>
      <sheetName val="Window 3 Sheet"/>
      <sheetName val="Window 4 Sheet"/>
      <sheetName val="Overhead Mat Labor"/>
      <sheetName val="Lookup tables"/>
      <sheetName val="parts"/>
      <sheetName val="Lookup name"/>
      <sheetName val="Doors"/>
      <sheetName val="PMS - AE - tiers 1-2-3"/>
      <sheetName val="ETS-TESS"/>
      <sheetName val="Lookup number"/>
      <sheetName val="Shield"/>
      <sheetName val="Lookup text"/>
      <sheetName val="Silicon Sheet"/>
      <sheetName val="Service"/>
      <sheetName val="Inplace"/>
      <sheetName val="Module1"/>
      <sheetName val="Module2"/>
      <sheetName val="Module3"/>
      <sheetName val="Module4"/>
      <sheetName val="partssql"/>
    </sheetNames>
    <sheetDataSet>
      <sheetData sheetId="0" refreshError="1"/>
      <sheetData sheetId="1" refreshError="1"/>
      <sheetData sheetId="2" refreshError="1">
        <row r="79">
          <cell r="H79">
            <v>0</v>
          </cell>
        </row>
        <row r="81">
          <cell r="H81">
            <v>1.07</v>
          </cell>
        </row>
        <row r="170">
          <cell r="E170">
            <v>0</v>
          </cell>
        </row>
        <row r="181">
          <cell r="E181">
            <v>0</v>
          </cell>
        </row>
        <row r="202">
          <cell r="J202">
            <v>0</v>
          </cell>
        </row>
        <row r="330">
          <cell r="H330">
            <v>0</v>
          </cell>
        </row>
        <row r="543">
          <cell r="M543">
            <v>1.1000000000000001</v>
          </cell>
        </row>
        <row r="672">
          <cell r="K672">
            <v>2125</v>
          </cell>
          <cell r="L672">
            <v>0</v>
          </cell>
          <cell r="M672">
            <v>938.07999999999993</v>
          </cell>
        </row>
        <row r="674">
          <cell r="K674">
            <v>2345.1999999999998</v>
          </cell>
          <cell r="L674">
            <v>0</v>
          </cell>
        </row>
        <row r="741">
          <cell r="P741">
            <v>1700</v>
          </cell>
        </row>
        <row r="743">
          <cell r="O743">
            <v>1172.5999999999999</v>
          </cell>
          <cell r="P743">
            <v>1172.5999999999999</v>
          </cell>
        </row>
        <row r="820">
          <cell r="G820">
            <v>0.75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8">
          <cell r="J38" t="str">
            <v>No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E5">
            <v>25.43</v>
          </cell>
        </row>
        <row r="20">
          <cell r="E20">
            <v>58.629999999999995</v>
          </cell>
        </row>
      </sheetData>
      <sheetData sheetId="24" refreshError="1"/>
      <sheetData sheetId="25" refreshError="1">
        <row r="31">
          <cell r="F31" t="str">
            <v/>
          </cell>
          <cell r="G31" t="str">
            <v>x</v>
          </cell>
          <cell r="H31" t="str">
            <v/>
          </cell>
        </row>
        <row r="32">
          <cell r="F32" t="str">
            <v/>
          </cell>
          <cell r="G32" t="str">
            <v>x</v>
          </cell>
          <cell r="H32" t="str">
            <v/>
          </cell>
        </row>
        <row r="33">
          <cell r="F33" t="str">
            <v/>
          </cell>
          <cell r="G33" t="str">
            <v>x</v>
          </cell>
          <cell r="H33" t="str">
            <v/>
          </cell>
        </row>
        <row r="34">
          <cell r="F34" t="str">
            <v/>
          </cell>
          <cell r="G34" t="str">
            <v>x</v>
          </cell>
          <cell r="H34" t="str">
            <v/>
          </cell>
        </row>
        <row r="35">
          <cell r="F35" t="str">
            <v/>
          </cell>
          <cell r="G35" t="str">
            <v>x</v>
          </cell>
          <cell r="H35" t="str">
            <v/>
          </cell>
        </row>
        <row r="36">
          <cell r="H36" t="str">
            <v/>
          </cell>
        </row>
        <row r="37">
          <cell r="H37" t="str">
            <v/>
          </cell>
        </row>
        <row r="39">
          <cell r="F39">
            <v>404519</v>
          </cell>
          <cell r="H39">
            <v>0</v>
          </cell>
        </row>
        <row r="42">
          <cell r="F42" t="str">
            <v>None required</v>
          </cell>
          <cell r="H42">
            <v>0</v>
          </cell>
        </row>
        <row r="48">
          <cell r="F48" t="str">
            <v>None required</v>
          </cell>
          <cell r="H48">
            <v>0</v>
          </cell>
        </row>
        <row r="71">
          <cell r="F71">
            <v>404521</v>
          </cell>
          <cell r="H71">
            <v>0</v>
          </cell>
        </row>
        <row r="88">
          <cell r="F88">
            <v>404515</v>
          </cell>
          <cell r="H88">
            <v>0</v>
          </cell>
        </row>
        <row r="106">
          <cell r="F106">
            <v>405077</v>
          </cell>
          <cell r="H106">
            <v>0</v>
          </cell>
        </row>
        <row r="123">
          <cell r="F123">
            <v>405198</v>
          </cell>
          <cell r="H123">
            <v>0</v>
          </cell>
        </row>
        <row r="129">
          <cell r="F129">
            <v>405200</v>
          </cell>
          <cell r="H129">
            <v>0</v>
          </cell>
        </row>
        <row r="131">
          <cell r="F131" t="str">
            <v>None required</v>
          </cell>
          <cell r="H131">
            <v>0</v>
          </cell>
        </row>
        <row r="133">
          <cell r="F133">
            <v>156686</v>
          </cell>
          <cell r="H133">
            <v>0</v>
          </cell>
        </row>
        <row r="135">
          <cell r="F135">
            <v>300414</v>
          </cell>
          <cell r="H135">
            <v>0</v>
          </cell>
        </row>
        <row r="137">
          <cell r="F137">
            <v>300558</v>
          </cell>
          <cell r="H137">
            <v>0</v>
          </cell>
        </row>
        <row r="140">
          <cell r="F140">
            <v>304499</v>
          </cell>
          <cell r="H140">
            <v>0</v>
          </cell>
        </row>
        <row r="142">
          <cell r="F142">
            <v>304819</v>
          </cell>
          <cell r="H142">
            <v>0</v>
          </cell>
        </row>
        <row r="144">
          <cell r="F144">
            <v>504066</v>
          </cell>
          <cell r="H144">
            <v>0</v>
          </cell>
        </row>
        <row r="146">
          <cell r="F146" t="str">
            <v>None required</v>
          </cell>
          <cell r="H146">
            <v>0</v>
          </cell>
        </row>
        <row r="148">
          <cell r="F148">
            <v>504135</v>
          </cell>
          <cell r="H148">
            <v>0</v>
          </cell>
        </row>
        <row r="150">
          <cell r="F150">
            <v>504136</v>
          </cell>
          <cell r="H150">
            <v>0</v>
          </cell>
        </row>
        <row r="152">
          <cell r="F152">
            <v>0</v>
          </cell>
        </row>
        <row r="154">
          <cell r="F154">
            <v>604573</v>
          </cell>
          <cell r="H154">
            <v>0</v>
          </cell>
        </row>
        <row r="156">
          <cell r="F156">
            <v>201560</v>
          </cell>
          <cell r="H156">
            <v>0</v>
          </cell>
        </row>
        <row r="158">
          <cell r="F158">
            <v>304203</v>
          </cell>
          <cell r="H158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2">
          <cell r="M2">
            <v>0</v>
          </cell>
          <cell r="N2">
            <v>4</v>
          </cell>
        </row>
        <row r="5">
          <cell r="E5">
            <v>-2.5</v>
          </cell>
          <cell r="H5">
            <v>-2.5</v>
          </cell>
          <cell r="K5">
            <v>0</v>
          </cell>
        </row>
      </sheetData>
      <sheetData sheetId="33" refreshError="1">
        <row r="3">
          <cell r="A3">
            <v>1500</v>
          </cell>
          <cell r="B3">
            <v>950061</v>
          </cell>
          <cell r="C3">
            <v>950061</v>
          </cell>
          <cell r="D3">
            <v>1</v>
          </cell>
          <cell r="F3" t="str">
            <v>ASSY,WALL,PHILIPS NEW PENPNL CELL OR CU</v>
          </cell>
          <cell r="G3" t="str">
            <v>Philips New Pen Panel</v>
          </cell>
          <cell r="I3" t="str">
            <v>Yes</v>
          </cell>
          <cell r="J3" t="str">
            <v>Yes</v>
          </cell>
        </row>
        <row r="4">
          <cell r="A4">
            <v>1500</v>
          </cell>
          <cell r="B4">
            <v>155134</v>
          </cell>
          <cell r="C4">
            <v>155134</v>
          </cell>
          <cell r="D4">
            <v>1</v>
          </cell>
          <cell r="F4" t="str">
            <v>PLT,BRS FLTR 3/16X29X29 PHILIPS</v>
          </cell>
          <cell r="G4" t="str">
            <v>Philips New Pen Panel</v>
          </cell>
          <cell r="I4" t="str">
            <v>Yes</v>
          </cell>
          <cell r="J4" t="str">
            <v>Yes</v>
          </cell>
        </row>
        <row r="5">
          <cell r="A5">
            <v>1500</v>
          </cell>
          <cell r="B5">
            <v>950062</v>
          </cell>
          <cell r="C5">
            <v>950062</v>
          </cell>
          <cell r="D5">
            <v>1</v>
          </cell>
          <cell r="F5" t="str">
            <v>ASSY, WALL,PHILIPS OLD PENPNL CELL OR CU</v>
          </cell>
          <cell r="G5" t="str">
            <v>Philips Old Pen Panel</v>
          </cell>
          <cell r="I5" t="str">
            <v>Yes</v>
          </cell>
          <cell r="J5" t="str">
            <v>Yes</v>
          </cell>
        </row>
        <row r="6">
          <cell r="A6">
            <v>1500</v>
          </cell>
          <cell r="B6">
            <v>150304</v>
          </cell>
          <cell r="C6">
            <v>150304</v>
          </cell>
          <cell r="D6">
            <v>1</v>
          </cell>
          <cell r="F6" t="str">
            <v>PLT,BRS,CRYO/CHILLER,PMS 1.5T,3/16X13.75</v>
          </cell>
          <cell r="G6" t="str">
            <v>Philips Old Pen Panel</v>
          </cell>
          <cell r="I6" t="str">
            <v>Yes</v>
          </cell>
          <cell r="J6" t="str">
            <v>Yes</v>
          </cell>
        </row>
        <row r="7">
          <cell r="A7">
            <v>1500</v>
          </cell>
          <cell r="B7">
            <v>155132</v>
          </cell>
          <cell r="C7">
            <v>155132</v>
          </cell>
          <cell r="D7">
            <v>1</v>
          </cell>
          <cell r="F7" t="str">
            <v>PLT,BR FLTR 3/16X10X28 1/8 TAP M5 X.08+</v>
          </cell>
          <cell r="G7" t="str">
            <v>Philips Old Pen Panel</v>
          </cell>
          <cell r="H7" t="str">
            <v>ORDER FOR 3T APPLICATION</v>
          </cell>
          <cell r="I7" t="str">
            <v>Yes</v>
          </cell>
          <cell r="J7" t="str">
            <v>Yes</v>
          </cell>
        </row>
        <row r="8">
          <cell r="A8">
            <v>1500</v>
          </cell>
          <cell r="B8">
            <v>300956</v>
          </cell>
          <cell r="C8">
            <v>300956</v>
          </cell>
          <cell r="D8">
            <v>50</v>
          </cell>
          <cell r="F8" t="str">
            <v>BOLT,M5-0.8X25mm,HXT,SS,18-8,PASSIVAT*</v>
          </cell>
          <cell r="G8" t="str">
            <v>Philips Old Filter Plate</v>
          </cell>
          <cell r="H8" t="str">
            <v>OLD</v>
          </cell>
          <cell r="I8" t="str">
            <v>Yes</v>
          </cell>
          <cell r="J8" t="str">
            <v>Yes</v>
          </cell>
        </row>
        <row r="9">
          <cell r="A9">
            <v>1500</v>
          </cell>
          <cell r="B9">
            <v>150619</v>
          </cell>
          <cell r="C9">
            <v>150619</v>
          </cell>
          <cell r="D9">
            <v>1</v>
          </cell>
          <cell r="F9" t="str">
            <v>VENT,PATIENT ALUM 6"X20" W/10"X24"X1/4"</v>
          </cell>
          <cell r="G9" t="str">
            <v>Philips Old Pen Panel</v>
          </cell>
          <cell r="I9" t="str">
            <v>Yes</v>
          </cell>
          <cell r="J9" t="str">
            <v>Yes</v>
          </cell>
        </row>
        <row r="10">
          <cell r="A10">
            <v>1500</v>
          </cell>
          <cell r="B10">
            <v>300966</v>
          </cell>
          <cell r="C10">
            <v>300966</v>
          </cell>
          <cell r="D10">
            <v>50</v>
          </cell>
          <cell r="F10" t="str">
            <v>WSHR,M5,FLAT,SS,18-8,PASSIVATE*</v>
          </cell>
          <cell r="G10" t="str">
            <v>Philips Old Filter Plate</v>
          </cell>
          <cell r="J10" t="str">
            <v>Yes</v>
          </cell>
        </row>
        <row r="11">
          <cell r="A11">
            <v>1500</v>
          </cell>
          <cell r="B11">
            <v>150305</v>
          </cell>
          <cell r="C11">
            <v>150305</v>
          </cell>
          <cell r="D11">
            <v>1</v>
          </cell>
          <cell r="F11" t="str">
            <v>PLT,BR,CRYO,PMS 3T,3/16X21.75SQ W/M8X.</v>
          </cell>
          <cell r="G11" t="str">
            <v>Philips 3T - Cryo Plate</v>
          </cell>
          <cell r="H11" t="str">
            <v>ORDER FOR 3T APPLICATION</v>
          </cell>
          <cell r="J11" t="str">
            <v>Yes</v>
          </cell>
        </row>
        <row r="12">
          <cell r="A12">
            <v>1500</v>
          </cell>
          <cell r="B12">
            <v>300957</v>
          </cell>
          <cell r="C12">
            <v>300957</v>
          </cell>
          <cell r="D12">
            <v>45</v>
          </cell>
          <cell r="F12" t="str">
            <v>BOLT,M8X25mm,HX,SS,18-8</v>
          </cell>
          <cell r="G12" t="str">
            <v>Philips 3T - Cryo Plate</v>
          </cell>
          <cell r="J12" t="str">
            <v>Yes</v>
          </cell>
        </row>
        <row r="13">
          <cell r="A13">
            <v>1500</v>
          </cell>
          <cell r="B13">
            <v>300827</v>
          </cell>
          <cell r="C13">
            <v>300827</v>
          </cell>
          <cell r="D13">
            <v>45</v>
          </cell>
          <cell r="F13" t="str">
            <v>WSHR,5/16,.341IDx1.125ODx.093,STL,ZN*</v>
          </cell>
          <cell r="G13" t="str">
            <v>Philips 3T - Cryo Plate</v>
          </cell>
          <cell r="J13" t="str">
            <v>Yes</v>
          </cell>
        </row>
        <row r="14">
          <cell r="A14">
            <v>1500</v>
          </cell>
          <cell r="B14">
            <v>150304</v>
          </cell>
          <cell r="C14">
            <v>150304</v>
          </cell>
          <cell r="D14">
            <v>1</v>
          </cell>
          <cell r="F14" t="str">
            <v>PLT,BR,CRYO/CHILLER,PMS 1.5T, 3/16X13.75</v>
          </cell>
          <cell r="G14" t="str">
            <v>Philips 1.5 - Cryo Plate</v>
          </cell>
          <cell r="H14" t="str">
            <v>ORDER FOR 1.5T APPLICATION</v>
          </cell>
          <cell r="I14" t="str">
            <v>Yes</v>
          </cell>
          <cell r="J14" t="str">
            <v>Yes</v>
          </cell>
        </row>
        <row r="15">
          <cell r="A15">
            <v>1500</v>
          </cell>
          <cell r="B15">
            <v>300956</v>
          </cell>
          <cell r="C15">
            <v>300956</v>
          </cell>
          <cell r="D15">
            <v>25</v>
          </cell>
          <cell r="F15" t="str">
            <v>BOLT,M5-0.8X25mm,HXT,SS,18-8,PASSIVAT*</v>
          </cell>
          <cell r="G15" t="str">
            <v>Philips 1.5 - Cryo Plate</v>
          </cell>
          <cell r="I15" t="str">
            <v>Yes</v>
          </cell>
          <cell r="J15" t="str">
            <v>Yes</v>
          </cell>
        </row>
        <row r="16">
          <cell r="A16">
            <v>1500</v>
          </cell>
          <cell r="B16">
            <v>300966</v>
          </cell>
          <cell r="C16">
            <v>300966</v>
          </cell>
          <cell r="D16">
            <v>25</v>
          </cell>
          <cell r="F16" t="str">
            <v>WSHR,M5,FLAT,SS,18-8,PASSIVATE*</v>
          </cell>
          <cell r="G16" t="str">
            <v>Philips 1.5 - Cryo Plate</v>
          </cell>
          <cell r="I16" t="str">
            <v>Yes</v>
          </cell>
          <cell r="J16" t="str">
            <v>Yes</v>
          </cell>
        </row>
        <row r="17">
          <cell r="A17">
            <v>1500</v>
          </cell>
          <cell r="B17">
            <v>156940</v>
          </cell>
          <cell r="C17">
            <v>156940</v>
          </cell>
          <cell r="D17">
            <v>1</v>
          </cell>
          <cell r="F17" t="str">
            <v>VENT,ALUM 7X21  W/10.5X10.5X1/4 *</v>
          </cell>
          <cell r="G17" t="str">
            <v>Philips Pipe 7 inch</v>
          </cell>
          <cell r="I17" t="str">
            <v>Yes</v>
          </cell>
          <cell r="J17" t="str">
            <v>Yes</v>
          </cell>
        </row>
        <row r="18">
          <cell r="A18">
            <v>1500</v>
          </cell>
          <cell r="B18">
            <v>950063</v>
          </cell>
          <cell r="C18">
            <v>950063</v>
          </cell>
          <cell r="D18">
            <v>1</v>
          </cell>
          <cell r="F18" t="str">
            <v>ASSY,FLOOR ONLY,PHILIPS,MONO</v>
          </cell>
          <cell r="G18" t="str">
            <v>Philips Mono Floor</v>
          </cell>
          <cell r="H18" t="str">
            <v>ORDER FOR MONO FLOOR</v>
          </cell>
          <cell r="I18" t="str">
            <v>Yes</v>
          </cell>
          <cell r="J18" t="str">
            <v>Yes</v>
          </cell>
        </row>
        <row r="19">
          <cell r="A19">
            <v>1500</v>
          </cell>
          <cell r="B19">
            <v>151557</v>
          </cell>
          <cell r="C19">
            <v>151557</v>
          </cell>
          <cell r="D19">
            <v>1</v>
          </cell>
          <cell r="F19" t="str">
            <v>ALUM,1/8X10"X28" PHIL CABLE COVER</v>
          </cell>
          <cell r="G19" t="str">
            <v>Philips Mono Floor</v>
          </cell>
          <cell r="I19" t="str">
            <v>Yes</v>
          </cell>
          <cell r="J19" t="str">
            <v>Yes</v>
          </cell>
        </row>
        <row r="20">
          <cell r="A20">
            <v>1500</v>
          </cell>
          <cell r="B20">
            <v>152406</v>
          </cell>
          <cell r="C20">
            <v>152406</v>
          </cell>
          <cell r="D20">
            <v>1</v>
          </cell>
          <cell r="F20" t="str">
            <v>PLT,PHILIPS PAT.TAB.ALUM 36"X30-13/16"</v>
          </cell>
          <cell r="G20" t="str">
            <v>Philips Mono Floor</v>
          </cell>
          <cell r="I20" t="str">
            <v>Yes</v>
          </cell>
          <cell r="J20" t="str">
            <v>Yes</v>
          </cell>
        </row>
        <row r="21">
          <cell r="A21">
            <v>1500</v>
          </cell>
          <cell r="B21">
            <v>602402</v>
          </cell>
          <cell r="C21">
            <v>602402</v>
          </cell>
          <cell r="D21">
            <v>1</v>
          </cell>
          <cell r="F21" t="str">
            <v>FRM,PLYWD CBL DUCT 10"X45"X.5THK*</v>
          </cell>
          <cell r="G21" t="str">
            <v>Philips Mono Floor</v>
          </cell>
          <cell r="I21" t="str">
            <v>Yes</v>
          </cell>
          <cell r="J21" t="str">
            <v>Yes</v>
          </cell>
        </row>
        <row r="22">
          <cell r="A22">
            <v>1500</v>
          </cell>
          <cell r="B22">
            <v>950064</v>
          </cell>
          <cell r="C22">
            <v>950064</v>
          </cell>
          <cell r="D22">
            <v>1</v>
          </cell>
          <cell r="F22" t="str">
            <v>ASSY,FLOOR ONLY,PHILIPS,CELL</v>
          </cell>
          <cell r="G22" t="str">
            <v>Philips Cell Floor</v>
          </cell>
          <cell r="H22" t="str">
            <v>FOR CELL FLOOR ORDER BOTHT THE 950064 AND THE 151560 AS STATED BELOW</v>
          </cell>
          <cell r="I22" t="str">
            <v>Yes</v>
          </cell>
          <cell r="J22" t="str">
            <v>Yes</v>
          </cell>
        </row>
        <row r="23">
          <cell r="A23">
            <v>1500</v>
          </cell>
          <cell r="B23">
            <v>151551</v>
          </cell>
          <cell r="C23">
            <v>151551</v>
          </cell>
          <cell r="D23">
            <v>4</v>
          </cell>
          <cell r="F23" t="str">
            <v>ASSY,H&amp;F WELDED INSIDE CO 10X10 PHILIPS</v>
          </cell>
          <cell r="G23" t="str">
            <v>Philips Cell Floor</v>
          </cell>
          <cell r="I23" t="str">
            <v>Yes</v>
          </cell>
          <cell r="J23" t="str">
            <v>Yes</v>
          </cell>
        </row>
        <row r="24">
          <cell r="A24">
            <v>1300</v>
          </cell>
          <cell r="B24">
            <v>151560</v>
          </cell>
          <cell r="C24">
            <v>151560</v>
          </cell>
          <cell r="D24">
            <v>1</v>
          </cell>
          <cell r="F24" t="str">
            <v>ASSY, PNL, PHILIPS CELL FLOOR</v>
          </cell>
          <cell r="G24" t="str">
            <v>Philips Cell Floor</v>
          </cell>
          <cell r="H24" t="str">
            <v>151560 IS ORDERED UNDER THE CELL FLOOR WORK CENTER</v>
          </cell>
          <cell r="I24" t="str">
            <v>Yes</v>
          </cell>
          <cell r="J24" t="str">
            <v>Yes</v>
          </cell>
        </row>
        <row r="25">
          <cell r="B25">
            <v>0</v>
          </cell>
          <cell r="F25" t="str">
            <v/>
          </cell>
        </row>
        <row r="26">
          <cell r="A26">
            <v>1300</v>
          </cell>
          <cell r="B26">
            <v>152005</v>
          </cell>
          <cell r="C26">
            <v>152005</v>
          </cell>
          <cell r="D26">
            <v>1</v>
          </cell>
          <cell r="F26" t="str">
            <v>CAP,HIT/PHIL. PEN. 1-3/4X3-7/8X1-3/4X120</v>
          </cell>
          <cell r="G26" t="str">
            <v>Philips Cap 3.875</v>
          </cell>
          <cell r="I26" t="str">
            <v>Yes</v>
          </cell>
          <cell r="J26" t="str">
            <v>Yes</v>
          </cell>
        </row>
        <row r="27">
          <cell r="A27">
            <v>1300</v>
          </cell>
          <cell r="B27">
            <v>600736</v>
          </cell>
          <cell r="C27">
            <v>600736</v>
          </cell>
          <cell r="D27">
            <v>200</v>
          </cell>
          <cell r="F27" t="str">
            <v>LUM,LVL FRT.1-3/4X1-5/8X16'-20'</v>
          </cell>
          <cell r="G27" t="str">
            <v>Ambient Experience</v>
          </cell>
          <cell r="I27" t="str">
            <v>Yes</v>
          </cell>
          <cell r="J27" t="str">
            <v>Yes</v>
          </cell>
        </row>
        <row r="28">
          <cell r="A28">
            <v>1500</v>
          </cell>
          <cell r="B28">
            <v>300556</v>
          </cell>
          <cell r="C28">
            <v>300556</v>
          </cell>
          <cell r="D28">
            <v>200</v>
          </cell>
          <cell r="F28" t="str">
            <v>SCR,#8X2-1/2,FH,PH,BUG DWS CRS BLK*</v>
          </cell>
          <cell r="G28" t="str">
            <v>Ambient Experience</v>
          </cell>
          <cell r="I28" t="str">
            <v>Yes</v>
          </cell>
          <cell r="J28" t="str">
            <v>Yes</v>
          </cell>
        </row>
        <row r="29">
          <cell r="B29">
            <v>0</v>
          </cell>
          <cell r="F29" t="str">
            <v/>
          </cell>
        </row>
        <row r="30">
          <cell r="A30">
            <v>1300</v>
          </cell>
          <cell r="B30">
            <v>354937</v>
          </cell>
          <cell r="C30">
            <v>354937</v>
          </cell>
          <cell r="D30">
            <v>1</v>
          </cell>
          <cell r="F30" t="str">
            <v>H-FRAME, CRYO 9.25 x 9.25 W/CAP</v>
          </cell>
          <cell r="G30" t="str">
            <v>Philips Vent Round</v>
          </cell>
          <cell r="I30" t="str">
            <v>Yes</v>
          </cell>
          <cell r="J30" t="str">
            <v>Yes</v>
          </cell>
        </row>
        <row r="31">
          <cell r="A31">
            <v>1500</v>
          </cell>
          <cell r="B31">
            <v>156940</v>
          </cell>
          <cell r="C31">
            <v>156940</v>
          </cell>
          <cell r="D31">
            <v>1</v>
          </cell>
          <cell r="F31" t="str">
            <v>VENT,ALUM 7X21  W/10.5X10.5X1/4 *</v>
          </cell>
          <cell r="G31" t="str">
            <v>Philips Vent Round</v>
          </cell>
          <cell r="I31" t="str">
            <v>Yes</v>
          </cell>
          <cell r="J31" t="str">
            <v>Yes</v>
          </cell>
        </row>
        <row r="32">
          <cell r="A32">
            <v>1500</v>
          </cell>
          <cell r="B32">
            <v>301100</v>
          </cell>
          <cell r="C32">
            <v>301100</v>
          </cell>
          <cell r="D32">
            <v>1</v>
          </cell>
          <cell r="F32" t="str">
            <v>KIT,GRND BUS,BAR,MRI,BR</v>
          </cell>
          <cell r="G32" t="str">
            <v>Philips Old Pen Panel</v>
          </cell>
          <cell r="I32" t="str">
            <v>Yes</v>
          </cell>
          <cell r="J32" t="str">
            <v>Yes</v>
          </cell>
        </row>
        <row r="33">
          <cell r="A33">
            <v>1500</v>
          </cell>
          <cell r="B33">
            <v>152402</v>
          </cell>
          <cell r="C33">
            <v>152402</v>
          </cell>
          <cell r="D33">
            <v>4</v>
          </cell>
          <cell r="F33" t="str">
            <v>PLT,MAGNT BASE 1/8"X8"SQ. MRI PHILPS</v>
          </cell>
          <cell r="G33" t="str">
            <v>Mag Pads 8</v>
          </cell>
          <cell r="I33" t="str">
            <v>Yes</v>
          </cell>
          <cell r="J33" t="str">
            <v>Yes</v>
          </cell>
        </row>
        <row r="34">
          <cell r="A34">
            <v>1500</v>
          </cell>
          <cell r="B34">
            <v>301100</v>
          </cell>
          <cell r="C34">
            <v>301100</v>
          </cell>
          <cell r="D34">
            <v>1</v>
          </cell>
          <cell r="F34" t="str">
            <v>KIT,GRND BUS,BAR,MRI,BR</v>
          </cell>
          <cell r="G34" t="str">
            <v>Philips New Pen Panel</v>
          </cell>
          <cell r="I34" t="str">
            <v>Yes</v>
          </cell>
          <cell r="J34" t="str">
            <v>Yes</v>
          </cell>
        </row>
        <row r="35">
          <cell r="B35">
            <v>0</v>
          </cell>
        </row>
        <row r="36">
          <cell r="A36">
            <v>1500</v>
          </cell>
          <cell r="B36">
            <v>254709</v>
          </cell>
          <cell r="C36">
            <v>254709</v>
          </cell>
          <cell r="D36">
            <v>1</v>
          </cell>
          <cell r="F36" t="str">
            <v>CONN,DSUB 9PINSPEC#56-705-005 EMI FLTRD*</v>
          </cell>
          <cell r="G36" t="str">
            <v>Esys fMRI</v>
          </cell>
          <cell r="I36" t="str">
            <v>Yes</v>
          </cell>
          <cell r="J36" t="str">
            <v>Yes</v>
          </cell>
        </row>
        <row r="37">
          <cell r="A37">
            <v>1500</v>
          </cell>
          <cell r="B37">
            <v>305009</v>
          </cell>
          <cell r="C37">
            <v>305009</v>
          </cell>
          <cell r="D37">
            <v>4</v>
          </cell>
          <cell r="F37" t="str">
            <v>NUT,SCREWLOCK SHORT FEM,4-40STL</v>
          </cell>
          <cell r="G37" t="str">
            <v>Esys fMRI</v>
          </cell>
          <cell r="I37" t="str">
            <v>Yes</v>
          </cell>
          <cell r="J37" t="str">
            <v>Yes</v>
          </cell>
        </row>
        <row r="38">
          <cell r="A38">
            <v>1500</v>
          </cell>
          <cell r="B38">
            <v>254710</v>
          </cell>
          <cell r="C38">
            <v>254710</v>
          </cell>
          <cell r="D38">
            <v>2</v>
          </cell>
          <cell r="F38" t="str">
            <v>GSKT,EMI PROTECT MTL 9PIN NWRK51F3658*</v>
          </cell>
          <cell r="G38" t="str">
            <v>Esys fMRI</v>
          </cell>
          <cell r="I38" t="str">
            <v>Yes</v>
          </cell>
          <cell r="J38" t="str">
            <v>Yes</v>
          </cell>
        </row>
        <row r="39">
          <cell r="A39">
            <v>1500</v>
          </cell>
          <cell r="B39">
            <v>300395</v>
          </cell>
          <cell r="C39">
            <v>300395</v>
          </cell>
          <cell r="D39">
            <v>2</v>
          </cell>
          <cell r="F39" t="str">
            <v>NUT,#4-40HH,STL,ZN</v>
          </cell>
          <cell r="G39" t="str">
            <v>Esys fMRI</v>
          </cell>
          <cell r="I39" t="str">
            <v>Yes</v>
          </cell>
          <cell r="J39" t="str">
            <v>Yes</v>
          </cell>
        </row>
        <row r="40">
          <cell r="A40">
            <v>1500</v>
          </cell>
          <cell r="B40">
            <v>551062</v>
          </cell>
          <cell r="C40">
            <v>551062</v>
          </cell>
          <cell r="D40">
            <v>1</v>
          </cell>
          <cell r="F40" t="str">
            <v>ASSY,WGFTR BR 1" MRI (1-550454,2-550551)</v>
          </cell>
          <cell r="G40" t="str">
            <v>Esys fMRI</v>
          </cell>
          <cell r="I40" t="str">
            <v>Yes</v>
          </cell>
          <cell r="J40" t="str">
            <v>Yes</v>
          </cell>
        </row>
        <row r="41">
          <cell r="A41">
            <v>1500</v>
          </cell>
          <cell r="B41">
            <v>155325</v>
          </cell>
          <cell r="C41">
            <v>155325</v>
          </cell>
          <cell r="D41">
            <v>1</v>
          </cell>
          <cell r="F41" t="str">
            <v>PLT,24oz Double DB9 4x4 w/mounting holes</v>
          </cell>
          <cell r="G41" t="str">
            <v>Esys fMRI</v>
          </cell>
          <cell r="I41" t="str">
            <v>Yes</v>
          </cell>
          <cell r="J41" t="str">
            <v>Yes</v>
          </cell>
        </row>
        <row r="42">
          <cell r="B42">
            <v>0</v>
          </cell>
        </row>
        <row r="43">
          <cell r="A43">
            <v>1500</v>
          </cell>
          <cell r="B43">
            <v>156946</v>
          </cell>
          <cell r="C43">
            <v>156946</v>
          </cell>
          <cell r="D43">
            <v>1</v>
          </cell>
          <cell r="F43" t="str">
            <v>VENT,ALUM 4X16 W/9X9X1/8*</v>
          </cell>
          <cell r="G43" t="str">
            <v>4 Inch Service WG</v>
          </cell>
          <cell r="I43" t="str">
            <v>Yes</v>
          </cell>
          <cell r="J43" t="str">
            <v>Yes</v>
          </cell>
        </row>
        <row r="44">
          <cell r="B44">
            <v>0</v>
          </cell>
        </row>
        <row r="45">
          <cell r="A45">
            <v>1500</v>
          </cell>
          <cell r="B45" t="str">
            <v>E-PF205A-30</v>
          </cell>
          <cell r="C45" t="str">
            <v>E-PF205A-30</v>
          </cell>
          <cell r="D45">
            <v>1</v>
          </cell>
          <cell r="F45" t="str">
            <v>FILTER,MRI,250VAC,2X30 AMP,0-60Hz</v>
          </cell>
          <cell r="G45" t="str">
            <v>Lazer Bridge</v>
          </cell>
          <cell r="I45" t="str">
            <v>Yes</v>
          </cell>
          <cell r="J45" t="str">
            <v>Yes</v>
          </cell>
        </row>
        <row r="46">
          <cell r="A46">
            <v>1500</v>
          </cell>
          <cell r="B46">
            <v>551068</v>
          </cell>
          <cell r="C46">
            <v>551068</v>
          </cell>
          <cell r="D46">
            <v>1</v>
          </cell>
          <cell r="F46" t="str">
            <v>ASSY,WGFTR BR 4" MRI (1-550459,2-550557)</v>
          </cell>
          <cell r="G46" t="str">
            <v>Lazer Bridge</v>
          </cell>
          <cell r="I46" t="str">
            <v>Yes</v>
          </cell>
          <cell r="J46" t="str">
            <v>Yes</v>
          </cell>
        </row>
        <row r="47">
          <cell r="A47">
            <v>1500</v>
          </cell>
          <cell r="B47">
            <v>551064</v>
          </cell>
          <cell r="C47">
            <v>551064</v>
          </cell>
          <cell r="D47">
            <v>1</v>
          </cell>
          <cell r="F47" t="str">
            <v>ASSY,WGFTR BR 1-1/2 MRI (1-550450,2-553)</v>
          </cell>
          <cell r="G47" t="str">
            <v>Lazer Bridge</v>
          </cell>
          <cell r="I47" t="str">
            <v>Yes</v>
          </cell>
          <cell r="J47" t="str">
            <v>Yes</v>
          </cell>
        </row>
        <row r="48">
          <cell r="A48">
            <v>1500</v>
          </cell>
          <cell r="B48">
            <v>551062</v>
          </cell>
          <cell r="C48">
            <v>551062</v>
          </cell>
          <cell r="D48">
            <v>1</v>
          </cell>
          <cell r="F48" t="str">
            <v>ASSY,WGFTR BR 1" MRI (1-550454,2-550551)</v>
          </cell>
          <cell r="G48" t="str">
            <v>Lazer Bridge</v>
          </cell>
          <cell r="I48" t="str">
            <v>Yes</v>
          </cell>
          <cell r="J48" t="str">
            <v>Yes</v>
          </cell>
        </row>
        <row r="49">
          <cell r="A49">
            <v>1500</v>
          </cell>
          <cell r="B49" t="str">
            <v>ALUMINUM1</v>
          </cell>
          <cell r="C49" t="str">
            <v>ALUMINUM1</v>
          </cell>
          <cell r="D49">
            <v>2</v>
          </cell>
          <cell r="F49" t="e">
            <v>#N/A</v>
          </cell>
          <cell r="G49" t="str">
            <v>Lazer Bridge</v>
          </cell>
          <cell r="I49" t="str">
            <v>Yes</v>
          </cell>
          <cell r="J49" t="str">
            <v>Yes</v>
          </cell>
        </row>
        <row r="50">
          <cell r="A50">
            <v>1500</v>
          </cell>
          <cell r="B50">
            <v>400217</v>
          </cell>
          <cell r="C50">
            <v>400217</v>
          </cell>
          <cell r="D50">
            <v>0.3</v>
          </cell>
          <cell r="F50" t="str">
            <v>BR,3/16"X36"X96" 198.288#/SH 260 A,1/2H</v>
          </cell>
          <cell r="G50" t="str">
            <v>Lazer Bridge</v>
          </cell>
          <cell r="I50" t="str">
            <v>Yes</v>
          </cell>
          <cell r="J50" t="str">
            <v>Yes</v>
          </cell>
        </row>
        <row r="52">
          <cell r="A52">
            <v>1500</v>
          </cell>
          <cell r="B52">
            <v>702170</v>
          </cell>
          <cell r="C52">
            <v>702170</v>
          </cell>
          <cell r="D52">
            <v>1</v>
          </cell>
          <cell r="F52" t="str">
            <v>VENT,WG,ALUM,24X24X4</v>
          </cell>
          <cell r="G52" t="str">
            <v>Pressure Relief</v>
          </cell>
          <cell r="I52" t="str">
            <v>Yes</v>
          </cell>
          <cell r="J52" t="str">
            <v>Yes</v>
          </cell>
        </row>
        <row r="53">
          <cell r="A53">
            <v>1500</v>
          </cell>
          <cell r="B53">
            <v>950043</v>
          </cell>
          <cell r="C53">
            <v>950043</v>
          </cell>
          <cell r="D53">
            <v>1</v>
          </cell>
          <cell r="F53" t="str">
            <v>KIT,PATIENT TABLE,SIEMENS RETROFIT,4ANCH</v>
          </cell>
          <cell r="G53" t="str">
            <v>Table Anchor</v>
          </cell>
          <cell r="I53" t="str">
            <v>Yes</v>
          </cell>
          <cell r="J53" t="str">
            <v>Yes</v>
          </cell>
        </row>
        <row r="58">
          <cell r="F58" t="str">
            <v/>
          </cell>
        </row>
        <row r="59">
          <cell r="A59">
            <v>1500</v>
          </cell>
          <cell r="B59">
            <v>950001</v>
          </cell>
          <cell r="C59">
            <v>950001</v>
          </cell>
          <cell r="D59">
            <v>1</v>
          </cell>
          <cell r="F59" t="str">
            <v>ASSY,MRI INTERFACE PKG,G.E.</v>
          </cell>
          <cell r="G59" t="str">
            <v>Clip Interface Pkg</v>
          </cell>
          <cell r="K59" t="str">
            <v>Yes</v>
          </cell>
          <cell r="L59" t="str">
            <v>Yes</v>
          </cell>
        </row>
        <row r="60">
          <cell r="A60">
            <v>1300</v>
          </cell>
          <cell r="B60">
            <v>354929</v>
          </cell>
          <cell r="C60">
            <v>354929</v>
          </cell>
          <cell r="D60">
            <v>1</v>
          </cell>
          <cell r="F60" t="str">
            <v>PNL,INTERFACE 20"X63"(FACED W/3OZ CU)</v>
          </cell>
          <cell r="G60" t="str">
            <v>Clip Interface Pkg</v>
          </cell>
          <cell r="K60" t="str">
            <v>Yes</v>
          </cell>
          <cell r="L60" t="str">
            <v>Yes</v>
          </cell>
        </row>
        <row r="61">
          <cell r="A61">
            <v>1500</v>
          </cell>
          <cell r="B61">
            <v>301100</v>
          </cell>
          <cell r="C61">
            <v>301100</v>
          </cell>
          <cell r="D61">
            <v>1</v>
          </cell>
          <cell r="F61" t="str">
            <v>KIT,GRND BUS,BAR,MRI,BR</v>
          </cell>
          <cell r="G61" t="str">
            <v>Ground Bus Bar</v>
          </cell>
          <cell r="M61" t="str">
            <v>Yes</v>
          </cell>
          <cell r="N61" t="str">
            <v>Yes</v>
          </cell>
          <cell r="O61" t="str">
            <v>Yes</v>
          </cell>
          <cell r="R61" t="str">
            <v>Yes</v>
          </cell>
        </row>
        <row r="62">
          <cell r="A62">
            <v>1500</v>
          </cell>
          <cell r="B62">
            <v>300558</v>
          </cell>
          <cell r="C62">
            <v>300558</v>
          </cell>
          <cell r="D62">
            <v>150</v>
          </cell>
          <cell r="F62" t="str">
            <v>SCR,#12AX1-1/2,PH,PH,STL,ZN</v>
          </cell>
          <cell r="G62" t="str">
            <v>Mounting screws</v>
          </cell>
          <cell r="M62" t="str">
            <v>Yes</v>
          </cell>
          <cell r="N62" t="str">
            <v>Yes</v>
          </cell>
          <cell r="O62" t="str">
            <v>Yes</v>
          </cell>
          <cell r="R62" t="str">
            <v>Yes</v>
          </cell>
        </row>
        <row r="63">
          <cell r="A63">
            <v>1500</v>
          </cell>
          <cell r="B63">
            <v>156942</v>
          </cell>
          <cell r="C63">
            <v>156942</v>
          </cell>
          <cell r="D63">
            <v>1</v>
          </cell>
          <cell r="F63" t="str">
            <v>VENT,CRYO ALUM 6X30  W/14X14X1/4 *</v>
          </cell>
          <cell r="G63" t="str">
            <v>6 Inch Alum Cryo</v>
          </cell>
          <cell r="K63" t="str">
            <v>Yes</v>
          </cell>
          <cell r="L63" t="str">
            <v>Yes</v>
          </cell>
          <cell r="M63" t="str">
            <v>Yes</v>
          </cell>
          <cell r="N63" t="str">
            <v>Yes</v>
          </cell>
          <cell r="O63" t="str">
            <v>Yes</v>
          </cell>
          <cell r="Q63" t="str">
            <v>Yes</v>
          </cell>
        </row>
        <row r="64">
          <cell r="A64">
            <v>1500</v>
          </cell>
          <cell r="B64">
            <v>554234</v>
          </cell>
          <cell r="C64">
            <v>554234</v>
          </cell>
          <cell r="D64">
            <v>4</v>
          </cell>
          <cell r="F64" t="str">
            <v>CLMP,TUBE W/WORM GEAR ACTIONS/S 6" DIA*</v>
          </cell>
          <cell r="G64" t="str">
            <v>6 Inch Alum Cryo</v>
          </cell>
          <cell r="K64" t="str">
            <v>Yes</v>
          </cell>
          <cell r="L64" t="str">
            <v>Yes</v>
          </cell>
          <cell r="M64" t="str">
            <v>Yes</v>
          </cell>
          <cell r="N64" t="str">
            <v>Yes</v>
          </cell>
          <cell r="O64" t="str">
            <v>Yes</v>
          </cell>
          <cell r="Q64" t="str">
            <v>Yes</v>
          </cell>
        </row>
        <row r="65">
          <cell r="A65">
            <v>1500</v>
          </cell>
          <cell r="B65">
            <v>554233</v>
          </cell>
          <cell r="C65">
            <v>554233</v>
          </cell>
          <cell r="D65">
            <v>10</v>
          </cell>
          <cell r="F65" t="str">
            <v>WRAP,GLASS FABRIC 8"X.025"XLF VDR# 8VG</v>
          </cell>
          <cell r="G65" t="str">
            <v>6 Inch Alum Cryo</v>
          </cell>
          <cell r="K65" t="str">
            <v>Yes</v>
          </cell>
          <cell r="L65" t="str">
            <v>Yes</v>
          </cell>
          <cell r="M65" t="str">
            <v>Yes</v>
          </cell>
          <cell r="N65" t="str">
            <v>Yes</v>
          </cell>
          <cell r="O65" t="str">
            <v>Yes</v>
          </cell>
          <cell r="Q65" t="str">
            <v>Yes</v>
          </cell>
        </row>
        <row r="66">
          <cell r="A66">
            <v>1500</v>
          </cell>
          <cell r="B66">
            <v>300116</v>
          </cell>
          <cell r="C66">
            <v>300116</v>
          </cell>
          <cell r="D66">
            <v>12</v>
          </cell>
          <cell r="F66" t="str">
            <v>BOLT,5/16-18X1.75,HH,C,SS 18-8,23/#</v>
          </cell>
          <cell r="G66" t="str">
            <v>6 Inch Alum Cryo</v>
          </cell>
          <cell r="K66" t="str">
            <v>Yes</v>
          </cell>
          <cell r="L66" t="str">
            <v>Yes</v>
          </cell>
          <cell r="M66" t="str">
            <v>Yes</v>
          </cell>
          <cell r="N66" t="str">
            <v>Yes</v>
          </cell>
          <cell r="O66" t="str">
            <v>Yes</v>
          </cell>
          <cell r="Q66" t="str">
            <v>Yes</v>
          </cell>
        </row>
        <row r="67">
          <cell r="A67">
            <v>1500</v>
          </cell>
          <cell r="B67">
            <v>300807</v>
          </cell>
          <cell r="C67">
            <v>300807</v>
          </cell>
          <cell r="D67">
            <v>12</v>
          </cell>
          <cell r="F67" t="str">
            <v>WSHR,(5/16).342x1ODx.093TK,SS,18-8,56/#</v>
          </cell>
          <cell r="G67" t="str">
            <v>6 Inch Alum Cryo</v>
          </cell>
          <cell r="K67" t="str">
            <v>Yes</v>
          </cell>
          <cell r="L67" t="str">
            <v>Yes</v>
          </cell>
          <cell r="M67" t="str">
            <v>Yes</v>
          </cell>
          <cell r="N67" t="str">
            <v>Yes</v>
          </cell>
          <cell r="O67" t="str">
            <v>Yes</v>
          </cell>
          <cell r="Q67" t="str">
            <v>Yes</v>
          </cell>
        </row>
        <row r="68">
          <cell r="A68">
            <v>1300</v>
          </cell>
          <cell r="B68">
            <v>354937</v>
          </cell>
          <cell r="C68">
            <v>354937</v>
          </cell>
          <cell r="D68">
            <v>1</v>
          </cell>
          <cell r="F68" t="str">
            <v>H-FRAME, CRYO 9.25 x 9.25 W/CAP</v>
          </cell>
          <cell r="G68" t="str">
            <v>6 Inch Alum Cryo</v>
          </cell>
          <cell r="K68" t="str">
            <v>Yes</v>
          </cell>
          <cell r="L68" t="str">
            <v>Yes</v>
          </cell>
          <cell r="M68" t="str">
            <v>Yes</v>
          </cell>
          <cell r="N68" t="str">
            <v>Yes</v>
          </cell>
          <cell r="O68" t="str">
            <v>Yes</v>
          </cell>
          <cell r="Q68" t="str">
            <v>Yes</v>
          </cell>
        </row>
        <row r="69">
          <cell r="A69">
            <v>1300</v>
          </cell>
          <cell r="B69">
            <v>152004</v>
          </cell>
          <cell r="C69">
            <v>152004</v>
          </cell>
          <cell r="D69">
            <v>4</v>
          </cell>
          <cell r="F69" t="str">
            <v>CAP,GE PEN. 3"X1-3/4"X 3"X10'12 OZ CPR.</v>
          </cell>
          <cell r="G69" t="str">
            <v>Mounting Cap</v>
          </cell>
          <cell r="K69" t="str">
            <v>Yes</v>
          </cell>
          <cell r="L69" t="str">
            <v>Yes</v>
          </cell>
          <cell r="M69" t="str">
            <v>Yes</v>
          </cell>
          <cell r="N69" t="str">
            <v>Yes</v>
          </cell>
          <cell r="O69" t="str">
            <v>Yes</v>
          </cell>
          <cell r="P69" t="str">
            <v>Yes</v>
          </cell>
          <cell r="Q69" t="str">
            <v>Yes</v>
          </cell>
          <cell r="R69" t="str">
            <v>Yes</v>
          </cell>
        </row>
        <row r="70">
          <cell r="B70">
            <v>0</v>
          </cell>
          <cell r="F70" t="str">
            <v/>
          </cell>
        </row>
        <row r="71">
          <cell r="A71">
            <v>1500</v>
          </cell>
          <cell r="B71">
            <v>156943</v>
          </cell>
          <cell r="C71">
            <v>156943</v>
          </cell>
          <cell r="D71">
            <v>1</v>
          </cell>
          <cell r="F71" t="str">
            <v>VENT,CRYO ALUM 8X36  W/14X14X1/4 *</v>
          </cell>
          <cell r="G71" t="str">
            <v>8 Inch Alum Cryo</v>
          </cell>
          <cell r="K71" t="str">
            <v>Yes</v>
          </cell>
          <cell r="L71" t="str">
            <v>Yes</v>
          </cell>
          <cell r="M71" t="str">
            <v>Yes</v>
          </cell>
          <cell r="N71" t="str">
            <v>Yes</v>
          </cell>
          <cell r="O71" t="str">
            <v>Yes</v>
          </cell>
          <cell r="Q71" t="str">
            <v>Yes</v>
          </cell>
        </row>
        <row r="72">
          <cell r="A72">
            <v>1500</v>
          </cell>
          <cell r="B72">
            <v>554248</v>
          </cell>
          <cell r="C72">
            <v>554248</v>
          </cell>
          <cell r="D72">
            <v>4</v>
          </cell>
          <cell r="F72" t="str">
            <v>CLMP,TUBE W/WORM GEAR ACTIONS/S 8" DIA*</v>
          </cell>
          <cell r="G72" t="str">
            <v>8 Inch Alum Cryo</v>
          </cell>
          <cell r="K72" t="str">
            <v>Yes</v>
          </cell>
          <cell r="L72" t="str">
            <v>Yes</v>
          </cell>
          <cell r="M72" t="str">
            <v>Yes</v>
          </cell>
          <cell r="N72" t="str">
            <v>Yes</v>
          </cell>
          <cell r="O72" t="str">
            <v>Yes</v>
          </cell>
          <cell r="Q72" t="str">
            <v>Yes</v>
          </cell>
        </row>
        <row r="73">
          <cell r="A73">
            <v>1500</v>
          </cell>
          <cell r="B73">
            <v>554233</v>
          </cell>
          <cell r="C73">
            <v>554233</v>
          </cell>
          <cell r="D73">
            <v>12</v>
          </cell>
          <cell r="F73" t="str">
            <v>WRAP,GLASS FABRIC 8"X.025"XLF VDR# 8VG</v>
          </cell>
          <cell r="G73" t="str">
            <v>8 Inch Alum Cryo</v>
          </cell>
          <cell r="K73" t="str">
            <v>Yes</v>
          </cell>
          <cell r="L73" t="str">
            <v>Yes</v>
          </cell>
          <cell r="M73" t="str">
            <v>Yes</v>
          </cell>
          <cell r="N73" t="str">
            <v>Yes</v>
          </cell>
          <cell r="O73" t="str">
            <v>Yes</v>
          </cell>
          <cell r="Q73" t="str">
            <v>Yes</v>
          </cell>
        </row>
        <row r="74">
          <cell r="A74">
            <v>1500</v>
          </cell>
          <cell r="B74">
            <v>300116</v>
          </cell>
          <cell r="C74">
            <v>300116</v>
          </cell>
          <cell r="D74">
            <v>12</v>
          </cell>
          <cell r="F74" t="str">
            <v>BOLT,5/16-18X1.75,HH,C,SS 18-8,23/#</v>
          </cell>
          <cell r="G74" t="str">
            <v>8 Inch Alum Cryo</v>
          </cell>
          <cell r="K74" t="str">
            <v>Yes</v>
          </cell>
          <cell r="L74" t="str">
            <v>Yes</v>
          </cell>
          <cell r="M74" t="str">
            <v>Yes</v>
          </cell>
          <cell r="N74" t="str">
            <v>Yes</v>
          </cell>
          <cell r="O74" t="str">
            <v>Yes</v>
          </cell>
          <cell r="Q74" t="str">
            <v>Yes</v>
          </cell>
        </row>
        <row r="75">
          <cell r="A75">
            <v>1500</v>
          </cell>
          <cell r="B75">
            <v>300807</v>
          </cell>
          <cell r="C75">
            <v>300807</v>
          </cell>
          <cell r="D75">
            <v>12</v>
          </cell>
          <cell r="F75" t="str">
            <v>WSHR,(5/16).342x1ODx.093TK,SS,18-8,56/#</v>
          </cell>
          <cell r="G75" t="str">
            <v>8 Inch Alum Cryo</v>
          </cell>
          <cell r="K75" t="str">
            <v>Yes</v>
          </cell>
          <cell r="L75" t="str">
            <v>Yes</v>
          </cell>
          <cell r="M75" t="str">
            <v>Yes</v>
          </cell>
          <cell r="N75" t="str">
            <v>Yes</v>
          </cell>
          <cell r="O75" t="str">
            <v>Yes</v>
          </cell>
          <cell r="Q75" t="str">
            <v>Yes</v>
          </cell>
        </row>
        <row r="76">
          <cell r="A76">
            <v>1300</v>
          </cell>
          <cell r="B76">
            <v>354937</v>
          </cell>
          <cell r="C76">
            <v>354937</v>
          </cell>
          <cell r="D76">
            <v>1</v>
          </cell>
          <cell r="F76" t="str">
            <v>H-FRAME, CRYO 9.25 x 9.25 W/CAP</v>
          </cell>
          <cell r="G76" t="str">
            <v>8 Inch Alum Cryo</v>
          </cell>
          <cell r="K76" t="str">
            <v>Yes</v>
          </cell>
          <cell r="L76" t="str">
            <v>Yes</v>
          </cell>
          <cell r="M76" t="str">
            <v>Yes</v>
          </cell>
          <cell r="N76" t="str">
            <v>Yes</v>
          </cell>
          <cell r="O76" t="str">
            <v>Yes</v>
          </cell>
          <cell r="Q76" t="str">
            <v>Yes</v>
          </cell>
        </row>
        <row r="77">
          <cell r="B77">
            <v>0</v>
          </cell>
          <cell r="F77" t="str">
            <v/>
          </cell>
        </row>
        <row r="78">
          <cell r="A78">
            <v>1500</v>
          </cell>
          <cell r="B78">
            <v>950038</v>
          </cell>
          <cell r="C78">
            <v>950038</v>
          </cell>
          <cell r="D78">
            <v>1</v>
          </cell>
          <cell r="F78" t="str">
            <v>KIT,GE VIBRO-PIT, PHENOL MAG FOOT PAD</v>
          </cell>
          <cell r="G78" t="str">
            <v>Vibro Foot Pad Phenol</v>
          </cell>
          <cell r="K78" t="str">
            <v>Yes</v>
          </cell>
          <cell r="L78" t="str">
            <v>Yes</v>
          </cell>
        </row>
        <row r="79">
          <cell r="A79">
            <v>1500</v>
          </cell>
          <cell r="B79">
            <v>950039</v>
          </cell>
          <cell r="C79">
            <v>950039</v>
          </cell>
          <cell r="D79">
            <v>1</v>
          </cell>
          <cell r="F79" t="str">
            <v>KIT,GE VIBRO-PAD,3/4 X 3" SS STUD &amp; HDWE</v>
          </cell>
          <cell r="G79" t="str">
            <v>Vibro Hardware</v>
          </cell>
          <cell r="K79" t="str">
            <v>Yes</v>
          </cell>
          <cell r="L79" t="str">
            <v>Yes</v>
          </cell>
        </row>
        <row r="80">
          <cell r="A80">
            <v>1500</v>
          </cell>
          <cell r="B80">
            <v>950045</v>
          </cell>
          <cell r="C80">
            <v>950045</v>
          </cell>
          <cell r="D80">
            <v>1</v>
          </cell>
          <cell r="F80" t="str">
            <v>KIT,G.E.PATIENT TABLE ANCH * REV B</v>
          </cell>
          <cell r="G80" t="str">
            <v>Patient Table Anchor</v>
          </cell>
          <cell r="K80" t="str">
            <v>Yes</v>
          </cell>
          <cell r="L80" t="str">
            <v>Yes</v>
          </cell>
          <cell r="M80" t="str">
            <v>Yes</v>
          </cell>
          <cell r="N80" t="str">
            <v>Yes</v>
          </cell>
          <cell r="O80" t="str">
            <v>Yes</v>
          </cell>
          <cell r="P80" t="str">
            <v>Yes</v>
          </cell>
          <cell r="Q80" t="str">
            <v>Yes</v>
          </cell>
          <cell r="R80" t="str">
            <v>Yes</v>
          </cell>
        </row>
        <row r="81">
          <cell r="A81">
            <v>1500</v>
          </cell>
          <cell r="B81">
            <v>950044</v>
          </cell>
          <cell r="C81">
            <v>950044</v>
          </cell>
          <cell r="D81">
            <v>1</v>
          </cell>
          <cell r="F81" t="str">
            <v>KIT, EPOXY MAG ANCH 4EA-5/8" FEM * REV A</v>
          </cell>
          <cell r="G81" t="str">
            <v>Magnet Anchor Kit 5/8</v>
          </cell>
          <cell r="K81" t="str">
            <v>Yes</v>
          </cell>
          <cell r="L81" t="str">
            <v>Yes</v>
          </cell>
          <cell r="O81" t="str">
            <v>Yes</v>
          </cell>
        </row>
        <row r="82">
          <cell r="A82">
            <v>1500</v>
          </cell>
          <cell r="B82">
            <v>1698354</v>
          </cell>
          <cell r="C82">
            <v>1698354</v>
          </cell>
          <cell r="D82">
            <v>1</v>
          </cell>
          <cell r="F82" t="str">
            <v>KIT,G.E. PATIENT TABLE ANCH SEISMIC</v>
          </cell>
          <cell r="G82" t="str">
            <v>Table Anchor Kit Seismic</v>
          </cell>
          <cell r="K82" t="str">
            <v>Yes</v>
          </cell>
          <cell r="L82" t="str">
            <v>Yes</v>
          </cell>
          <cell r="M82" t="str">
            <v>Yes</v>
          </cell>
          <cell r="N82" t="str">
            <v>Yes</v>
          </cell>
          <cell r="O82" t="str">
            <v>Yes</v>
          </cell>
          <cell r="P82" t="str">
            <v>Yes</v>
          </cell>
          <cell r="Q82" t="str">
            <v>Yes</v>
          </cell>
        </row>
        <row r="83">
          <cell r="A83">
            <v>1300</v>
          </cell>
          <cell r="B83">
            <v>504317</v>
          </cell>
          <cell r="C83">
            <v>504317</v>
          </cell>
          <cell r="D83">
            <v>2</v>
          </cell>
          <cell r="F83" t="str">
            <v>STL,HR 12GA.1046x48x96 C1010 DRY ASTMA*</v>
          </cell>
          <cell r="G83" t="str">
            <v>Shim Plates</v>
          </cell>
          <cell r="R83" t="str">
            <v>Yes</v>
          </cell>
        </row>
        <row r="84">
          <cell r="A84">
            <v>1500</v>
          </cell>
          <cell r="B84" t="str">
            <v>E-PF205A-30</v>
          </cell>
          <cell r="C84" t="str">
            <v>E-PF205A-30</v>
          </cell>
          <cell r="D84">
            <v>2</v>
          </cell>
          <cell r="F84" t="str">
            <v>MRI FILTER,250VAC,2x30 Amp,0-60Hz</v>
          </cell>
          <cell r="G84" t="str">
            <v>Filter Package</v>
          </cell>
          <cell r="K84" t="str">
            <v>Yes</v>
          </cell>
          <cell r="L84" t="str">
            <v>Yes</v>
          </cell>
          <cell r="M84" t="str">
            <v>Yes</v>
          </cell>
          <cell r="N84" t="str">
            <v>Yes</v>
          </cell>
          <cell r="O84" t="str">
            <v>Yes</v>
          </cell>
        </row>
        <row r="85">
          <cell r="A85">
            <v>1300</v>
          </cell>
          <cell r="B85">
            <v>354930</v>
          </cell>
          <cell r="C85">
            <v>354930</v>
          </cell>
          <cell r="D85">
            <v>2</v>
          </cell>
          <cell r="F85" t="str">
            <v>PNL,INTERFACE 21.75x64.5 GE BLANK</v>
          </cell>
          <cell r="G85" t="str">
            <v>GE Test Blank</v>
          </cell>
          <cell r="M85" t="str">
            <v>Yes</v>
          </cell>
          <cell r="N85" t="str">
            <v>Yes</v>
          </cell>
        </row>
        <row r="86">
          <cell r="F86" t="str">
            <v/>
          </cell>
        </row>
        <row r="87">
          <cell r="A87">
            <v>1500</v>
          </cell>
          <cell r="B87">
            <v>305033</v>
          </cell>
          <cell r="C87">
            <v>305033</v>
          </cell>
          <cell r="D87">
            <v>4</v>
          </cell>
          <cell r="F87" t="str">
            <v>SCR,#12(A)X3/4RH,PH,STL,ZN SELF-TAPPING</v>
          </cell>
          <cell r="G87" t="str">
            <v>Filter Package</v>
          </cell>
          <cell r="K87" t="str">
            <v>Yes</v>
          </cell>
          <cell r="L87" t="str">
            <v>Yes</v>
          </cell>
          <cell r="M87" t="str">
            <v>Yes</v>
          </cell>
          <cell r="N87" t="str">
            <v>Yes</v>
          </cell>
          <cell r="O87" t="str">
            <v>Yes</v>
          </cell>
        </row>
        <row r="88">
          <cell r="F88" t="str">
            <v/>
          </cell>
        </row>
        <row r="89">
          <cell r="A89">
            <v>1300</v>
          </cell>
          <cell r="B89">
            <v>504453</v>
          </cell>
          <cell r="C89">
            <v>504453</v>
          </cell>
          <cell r="D89">
            <v>15</v>
          </cell>
          <cell r="F89" t="str">
            <v>CU,3OZ,54"W,ELECT-D BACKED</v>
          </cell>
          <cell r="G89" t="str">
            <v>GE Mod</v>
          </cell>
          <cell r="K89" t="str">
            <v>Yes</v>
          </cell>
          <cell r="L89" t="str">
            <v>Yes</v>
          </cell>
          <cell r="M89" t="str">
            <v>Yes</v>
          </cell>
          <cell r="N89" t="str">
            <v>Yes</v>
          </cell>
          <cell r="O89" t="str">
            <v>Yes</v>
          </cell>
        </row>
        <row r="90">
          <cell r="A90">
            <v>1300</v>
          </cell>
          <cell r="B90">
            <v>1681683</v>
          </cell>
          <cell r="C90">
            <v>1681683</v>
          </cell>
          <cell r="D90">
            <v>1</v>
          </cell>
          <cell r="F90" t="str">
            <v>FRAME,GE EXPLORER PP - MOD</v>
          </cell>
          <cell r="G90" t="str">
            <v>GE Mod</v>
          </cell>
          <cell r="K90" t="str">
            <v>Yes</v>
          </cell>
          <cell r="L90" t="str">
            <v>Yes</v>
          </cell>
          <cell r="M90" t="str">
            <v>Yes</v>
          </cell>
          <cell r="N90" t="str">
            <v>Yes</v>
          </cell>
          <cell r="O90" t="str">
            <v>Yes</v>
          </cell>
        </row>
        <row r="91">
          <cell r="A91">
            <v>1300</v>
          </cell>
          <cell r="B91">
            <v>1681684</v>
          </cell>
          <cell r="C91">
            <v>1681684</v>
          </cell>
          <cell r="D91">
            <v>1</v>
          </cell>
          <cell r="F91" t="str">
            <v>FRAME,GE EXPLORER SYS CABINET-MOD</v>
          </cell>
          <cell r="G91" t="str">
            <v>GE Mod</v>
          </cell>
          <cell r="K91" t="str">
            <v>Yes</v>
          </cell>
          <cell r="L91" t="str">
            <v>Yes</v>
          </cell>
          <cell r="M91" t="str">
            <v>Yes</v>
          </cell>
          <cell r="N91" t="str">
            <v>Yes</v>
          </cell>
          <cell r="O91" t="str">
            <v>Yes</v>
          </cell>
        </row>
        <row r="92">
          <cell r="F92" t="str">
            <v/>
          </cell>
        </row>
        <row r="93">
          <cell r="A93">
            <v>1500</v>
          </cell>
          <cell r="B93">
            <v>151220</v>
          </cell>
          <cell r="C93">
            <v>151220</v>
          </cell>
          <cell r="D93">
            <v>1</v>
          </cell>
          <cell r="F93" t="str">
            <v>VENT,WG,W/FLG (BRS) 16.0X16.0</v>
          </cell>
          <cell r="G93" t="str">
            <v>Cooling WG</v>
          </cell>
          <cell r="M93" t="str">
            <v>Yes</v>
          </cell>
          <cell r="N93" t="str">
            <v>Yes</v>
          </cell>
        </row>
        <row r="94">
          <cell r="A94">
            <v>1500</v>
          </cell>
          <cell r="B94">
            <v>702170</v>
          </cell>
          <cell r="C94">
            <v>702170</v>
          </cell>
          <cell r="D94">
            <v>1</v>
          </cell>
          <cell r="F94" t="str">
            <v>VENT,WG,ALUM,24X24X4</v>
          </cell>
          <cell r="G94" t="str">
            <v>Pressure Relief</v>
          </cell>
          <cell r="K94" t="str">
            <v>Yes</v>
          </cell>
          <cell r="L94" t="str">
            <v>Yes</v>
          </cell>
          <cell r="M94" t="str">
            <v>Yes</v>
          </cell>
          <cell r="N94" t="str">
            <v>Yes</v>
          </cell>
          <cell r="O94" t="str">
            <v>Yes</v>
          </cell>
          <cell r="Q94" t="str">
            <v>Yes</v>
          </cell>
        </row>
        <row r="95">
          <cell r="A95">
            <v>1500</v>
          </cell>
          <cell r="B95">
            <v>300914</v>
          </cell>
          <cell r="C95">
            <v>300914</v>
          </cell>
          <cell r="D95">
            <v>5</v>
          </cell>
          <cell r="F95" t="str">
            <v>ROD,THRD1/4-20XFT,STL,ZN</v>
          </cell>
          <cell r="G95" t="str">
            <v>Blower Box Anch</v>
          </cell>
          <cell r="K95" t="str">
            <v>Yes</v>
          </cell>
          <cell r="L95" t="str">
            <v>Yes</v>
          </cell>
          <cell r="M95" t="str">
            <v>Yes</v>
          </cell>
          <cell r="N95" t="str">
            <v>Yes</v>
          </cell>
          <cell r="O95" t="str">
            <v>Yes</v>
          </cell>
          <cell r="Q95" t="str">
            <v>Yes</v>
          </cell>
        </row>
        <row r="96">
          <cell r="A96">
            <v>1500</v>
          </cell>
          <cell r="B96">
            <v>300417</v>
          </cell>
          <cell r="C96">
            <v>300417</v>
          </cell>
          <cell r="D96">
            <v>7</v>
          </cell>
          <cell r="F96" t="str">
            <v>NUT,1/4-20HH,SS,FN49 142/#</v>
          </cell>
          <cell r="G96" t="str">
            <v>Blower Box Anch</v>
          </cell>
          <cell r="K96" t="str">
            <v>Yes</v>
          </cell>
          <cell r="L96" t="str">
            <v>Yes</v>
          </cell>
          <cell r="M96" t="str">
            <v>Yes</v>
          </cell>
          <cell r="N96" t="str">
            <v>Yes</v>
          </cell>
          <cell r="O96" t="str">
            <v>Yes</v>
          </cell>
          <cell r="Q96" t="str">
            <v>Yes</v>
          </cell>
        </row>
        <row r="97">
          <cell r="A97">
            <v>1500</v>
          </cell>
          <cell r="B97">
            <v>300172</v>
          </cell>
          <cell r="C97">
            <v>300172</v>
          </cell>
          <cell r="D97">
            <v>7</v>
          </cell>
          <cell r="F97" t="str">
            <v>WSHR,FLAT,1/4 IDX5/8 OD,316,SS</v>
          </cell>
          <cell r="G97" t="str">
            <v>Blower Box Anch</v>
          </cell>
          <cell r="K97" t="str">
            <v>Yes</v>
          </cell>
          <cell r="L97" t="str">
            <v>Yes</v>
          </cell>
          <cell r="M97" t="str">
            <v>Yes</v>
          </cell>
          <cell r="N97" t="str">
            <v>Yes</v>
          </cell>
          <cell r="O97" t="str">
            <v>Yes</v>
          </cell>
          <cell r="Q97" t="str">
            <v>Yes</v>
          </cell>
        </row>
        <row r="98">
          <cell r="A98">
            <v>1500</v>
          </cell>
          <cell r="B98">
            <v>304462</v>
          </cell>
          <cell r="C98">
            <v>304462</v>
          </cell>
          <cell r="D98">
            <v>7</v>
          </cell>
          <cell r="F98" t="str">
            <v>WSHR,MESH.25THKX.318I.D.X1 O.D. SNCUFE</v>
          </cell>
          <cell r="G98" t="str">
            <v>Blower Box Anch</v>
          </cell>
          <cell r="K98" t="str">
            <v>Yes</v>
          </cell>
          <cell r="L98" t="str">
            <v>Yes</v>
          </cell>
          <cell r="M98" t="str">
            <v>Yes</v>
          </cell>
          <cell r="N98" t="str">
            <v>Yes</v>
          </cell>
          <cell r="O98" t="str">
            <v>Yes</v>
          </cell>
          <cell r="Q98" t="str">
            <v>Yes</v>
          </cell>
        </row>
        <row r="99">
          <cell r="A99">
            <v>1500</v>
          </cell>
          <cell r="B99">
            <v>650333</v>
          </cell>
          <cell r="C99">
            <v>650333</v>
          </cell>
          <cell r="D99">
            <v>1</v>
          </cell>
          <cell r="F99" t="str">
            <v>EPOX,SIKA ANCH FIX-1 10oz is 17 cu. in.</v>
          </cell>
          <cell r="G99" t="str">
            <v>Blower Box Anch</v>
          </cell>
          <cell r="K99" t="str">
            <v>Yes</v>
          </cell>
          <cell r="L99" t="str">
            <v>Yes</v>
          </cell>
          <cell r="M99" t="str">
            <v>Yes</v>
          </cell>
          <cell r="N99" t="str">
            <v>Yes</v>
          </cell>
          <cell r="O99" t="str">
            <v>Yes</v>
          </cell>
          <cell r="Q99" t="str">
            <v>Yes</v>
          </cell>
        </row>
        <row r="100">
          <cell r="F100" t="str">
            <v/>
          </cell>
        </row>
        <row r="101">
          <cell r="A101">
            <v>1500</v>
          </cell>
          <cell r="B101">
            <v>156997</v>
          </cell>
          <cell r="C101">
            <v>156997</v>
          </cell>
          <cell r="D101">
            <v>1</v>
          </cell>
          <cell r="F101" t="str">
            <v>VENT,CRYO SS 4X16 SIEMENS</v>
          </cell>
          <cell r="G101" t="str">
            <v>4 Inch SS Cryo</v>
          </cell>
          <cell r="S101" t="str">
            <v>Yes</v>
          </cell>
          <cell r="T101" t="str">
            <v>Yes</v>
          </cell>
        </row>
        <row r="102">
          <cell r="A102">
            <v>1500</v>
          </cell>
          <cell r="B102">
            <v>300116</v>
          </cell>
          <cell r="C102">
            <v>300116</v>
          </cell>
          <cell r="D102">
            <v>14</v>
          </cell>
          <cell r="F102" t="str">
            <v>BOLT,5/16-18X1.75,HH,C,SS 18-8,23/#</v>
          </cell>
          <cell r="G102" t="str">
            <v>4 Inch SS Cryo</v>
          </cell>
          <cell r="S102" t="str">
            <v>Yes</v>
          </cell>
          <cell r="T102" t="str">
            <v>Yes</v>
          </cell>
        </row>
        <row r="103">
          <cell r="A103">
            <v>1500</v>
          </cell>
          <cell r="B103">
            <v>300807</v>
          </cell>
          <cell r="C103">
            <v>300807</v>
          </cell>
          <cell r="D103">
            <v>14</v>
          </cell>
          <cell r="F103" t="str">
            <v>WSHR,(5/16).342x1"ODx.093TK,SS,18-8,56/#</v>
          </cell>
          <cell r="G103" t="str">
            <v>4 Inch SS Cryo</v>
          </cell>
          <cell r="S103" t="str">
            <v>Yes</v>
          </cell>
          <cell r="T103" t="str">
            <v>Yes</v>
          </cell>
        </row>
        <row r="104">
          <cell r="A104">
            <v>1300</v>
          </cell>
          <cell r="B104">
            <v>354938</v>
          </cell>
          <cell r="C104">
            <v>354938</v>
          </cell>
          <cell r="D104">
            <v>1</v>
          </cell>
          <cell r="F104" t="str">
            <v>FRAME, CRYO 10.25 x10.25 SIEMENS W/CAP</v>
          </cell>
          <cell r="G104" t="str">
            <v>4 Inch SS Cryo</v>
          </cell>
          <cell r="S104" t="str">
            <v>Yes</v>
          </cell>
          <cell r="T104" t="str">
            <v>Yes</v>
          </cell>
        </row>
        <row r="105">
          <cell r="B105">
            <v>0</v>
          </cell>
        </row>
        <row r="106">
          <cell r="A106">
            <v>1300</v>
          </cell>
          <cell r="B106">
            <v>354938</v>
          </cell>
          <cell r="C106">
            <v>354938</v>
          </cell>
          <cell r="D106">
            <v>1</v>
          </cell>
          <cell r="F106" t="str">
            <v>FRAME, CRYO 10.25 x10.25 SIEMENS W/CAP</v>
          </cell>
          <cell r="G106" t="str">
            <v>6 Inch SS Cryo</v>
          </cell>
          <cell r="S106" t="str">
            <v>Yes</v>
          </cell>
          <cell r="T106" t="str">
            <v>Yes</v>
          </cell>
        </row>
        <row r="107">
          <cell r="A107">
            <v>1500</v>
          </cell>
          <cell r="B107">
            <v>156998</v>
          </cell>
          <cell r="C107">
            <v>156998</v>
          </cell>
          <cell r="D107">
            <v>1</v>
          </cell>
          <cell r="F107" t="str">
            <v>VENT,CRYO SS 6X24 SIEMENS  W/14X14X1/4*</v>
          </cell>
          <cell r="G107" t="str">
            <v>6 Inch SS Cryo</v>
          </cell>
          <cell r="S107" t="str">
            <v>Yes</v>
          </cell>
          <cell r="T107" t="str">
            <v>Yes</v>
          </cell>
        </row>
        <row r="108">
          <cell r="A108">
            <v>1500</v>
          </cell>
          <cell r="B108">
            <v>300116</v>
          </cell>
          <cell r="C108">
            <v>300116</v>
          </cell>
          <cell r="D108">
            <v>14</v>
          </cell>
          <cell r="F108" t="str">
            <v>BOLT,5/16-18X1.75,HH,C,SS 18-8,23/#</v>
          </cell>
          <cell r="G108" t="str">
            <v>6 Inch SS Cryo</v>
          </cell>
          <cell r="S108" t="str">
            <v>Yes</v>
          </cell>
          <cell r="T108" t="str">
            <v>Yes</v>
          </cell>
        </row>
        <row r="109">
          <cell r="A109">
            <v>1500</v>
          </cell>
          <cell r="B109">
            <v>300807</v>
          </cell>
          <cell r="C109">
            <v>300807</v>
          </cell>
          <cell r="D109">
            <v>14</v>
          </cell>
          <cell r="F109" t="str">
            <v>WSHR,(5/16).342x1"ODx.093TK,SS,18-8,56/#</v>
          </cell>
          <cell r="G109" t="str">
            <v>6 Inch SS Cryo</v>
          </cell>
          <cell r="S109" t="str">
            <v>Yes</v>
          </cell>
          <cell r="T109" t="str">
            <v>Yes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A112">
            <v>1300</v>
          </cell>
          <cell r="B112">
            <v>354939</v>
          </cell>
          <cell r="C112">
            <v>354939</v>
          </cell>
          <cell r="D112">
            <v>1</v>
          </cell>
          <cell r="F112" t="str">
            <v>FRAME, CRYO 12.5 x 12.5 SIEMENS W/CAP</v>
          </cell>
          <cell r="G112" t="str">
            <v>8 Inch SS Cryo</v>
          </cell>
          <cell r="S112" t="str">
            <v>Yes</v>
          </cell>
          <cell r="T112" t="str">
            <v>Yes</v>
          </cell>
        </row>
        <row r="113">
          <cell r="A113">
            <v>1500</v>
          </cell>
          <cell r="B113">
            <v>156992</v>
          </cell>
          <cell r="C113">
            <v>156992</v>
          </cell>
          <cell r="D113">
            <v>1</v>
          </cell>
          <cell r="F113" t="str">
            <v>VENT,CRYO SS  8X32 SIEMENS  W/16X16X1/4*</v>
          </cell>
          <cell r="G113" t="str">
            <v>8 Inch SS Cryo</v>
          </cell>
          <cell r="S113" t="str">
            <v>Yes</v>
          </cell>
          <cell r="T113" t="str">
            <v>Yes</v>
          </cell>
        </row>
        <row r="114">
          <cell r="A114">
            <v>1500</v>
          </cell>
          <cell r="B114">
            <v>300116</v>
          </cell>
          <cell r="C114">
            <v>300116</v>
          </cell>
          <cell r="D114">
            <v>14</v>
          </cell>
          <cell r="F114" t="str">
            <v>BOLT,5/16-18X1.75,HH,C,SS 18-8,23/#</v>
          </cell>
          <cell r="G114" t="str">
            <v>8 Inch SS Cryo</v>
          </cell>
          <cell r="S114" t="str">
            <v>Yes</v>
          </cell>
          <cell r="T114" t="str">
            <v>Yes</v>
          </cell>
        </row>
        <row r="115">
          <cell r="A115">
            <v>1500</v>
          </cell>
          <cell r="B115">
            <v>300807</v>
          </cell>
          <cell r="C115">
            <v>300807</v>
          </cell>
          <cell r="D115">
            <v>14</v>
          </cell>
          <cell r="F115" t="str">
            <v>WSHR,(5/16).342x1"ODx.093TK,SS,18-8,56/#</v>
          </cell>
          <cell r="G115" t="str">
            <v>8 Inch SS Cryo</v>
          </cell>
          <cell r="S115" t="str">
            <v>Yes</v>
          </cell>
          <cell r="T115" t="str">
            <v>Yes</v>
          </cell>
        </row>
        <row r="116">
          <cell r="B116">
            <v>0</v>
          </cell>
          <cell r="F116" t="str">
            <v/>
          </cell>
        </row>
        <row r="117">
          <cell r="B117">
            <v>0</v>
          </cell>
          <cell r="F117" t="str">
            <v/>
          </cell>
        </row>
        <row r="118">
          <cell r="A118">
            <v>1500</v>
          </cell>
          <cell r="B118" t="str">
            <v>E-PF205A-30</v>
          </cell>
          <cell r="C118" t="str">
            <v>E-PF205A-30</v>
          </cell>
          <cell r="D118">
            <v>1</v>
          </cell>
          <cell r="F118" t="str">
            <v>FILTER,MRI,250VAC,2X30 AMP,0-60Hz</v>
          </cell>
          <cell r="G118" t="str">
            <v>Filter Package</v>
          </cell>
          <cell r="S118" t="str">
            <v>Yes</v>
          </cell>
          <cell r="T118" t="str">
            <v>Yes</v>
          </cell>
        </row>
        <row r="119">
          <cell r="A119">
            <v>1500</v>
          </cell>
          <cell r="B119">
            <v>300456</v>
          </cell>
          <cell r="C119">
            <v>300456</v>
          </cell>
          <cell r="D119">
            <v>50</v>
          </cell>
          <cell r="F119" t="str">
            <v>SCR,1/4-20X1-1/2PN,TX,CAMCAR TEXTRON*</v>
          </cell>
          <cell r="G119" t="str">
            <v>Blank Plate Cell Only</v>
          </cell>
          <cell r="S119" t="str">
            <v>Yes</v>
          </cell>
          <cell r="T119" t="str">
            <v>Yes</v>
          </cell>
        </row>
        <row r="120">
          <cell r="A120">
            <v>1500</v>
          </cell>
          <cell r="B120">
            <v>300097</v>
          </cell>
          <cell r="C120">
            <v>300097</v>
          </cell>
          <cell r="D120">
            <v>50</v>
          </cell>
          <cell r="F120" t="str">
            <v>BOLT,1/4-20X2-1/2,HH,SS 18-8,26.5/#</v>
          </cell>
          <cell r="G120" t="str">
            <v>Mounting Hardware</v>
          </cell>
          <cell r="S120" t="str">
            <v>Yes</v>
          </cell>
          <cell r="T120" t="str">
            <v>Yes</v>
          </cell>
        </row>
        <row r="121">
          <cell r="A121">
            <v>1500</v>
          </cell>
          <cell r="B121">
            <v>300417</v>
          </cell>
          <cell r="C121">
            <v>300417</v>
          </cell>
          <cell r="D121">
            <v>50</v>
          </cell>
          <cell r="F121" t="str">
            <v>NUT,1/4-20HH,SS,FN49 142/#</v>
          </cell>
          <cell r="G121" t="str">
            <v>Mounting Hardware</v>
          </cell>
          <cell r="S121" t="str">
            <v>Yes</v>
          </cell>
          <cell r="T121" t="str">
            <v>Yes</v>
          </cell>
        </row>
        <row r="122">
          <cell r="A122">
            <v>1500</v>
          </cell>
          <cell r="B122">
            <v>300828</v>
          </cell>
          <cell r="C122">
            <v>300828</v>
          </cell>
          <cell r="D122">
            <v>100</v>
          </cell>
          <cell r="F122" t="str">
            <v>WSHR,.281X5/8ODX.050,SS,6/MRI,11DR/J*</v>
          </cell>
          <cell r="G122" t="str">
            <v>Mounting Hardware</v>
          </cell>
          <cell r="S122" t="str">
            <v>Yes</v>
          </cell>
          <cell r="T122" t="str">
            <v>Yes</v>
          </cell>
        </row>
        <row r="123">
          <cell r="A123">
            <v>1500</v>
          </cell>
          <cell r="B123">
            <v>301100</v>
          </cell>
          <cell r="C123">
            <v>301100</v>
          </cell>
          <cell r="D123">
            <v>1</v>
          </cell>
          <cell r="F123" t="str">
            <v>KIT,GRND BUS,BAR,MRI,BR</v>
          </cell>
          <cell r="G123" t="str">
            <v>Ground Bus Bar</v>
          </cell>
          <cell r="S123" t="str">
            <v>Yes</v>
          </cell>
          <cell r="T123" t="str">
            <v>Yes</v>
          </cell>
        </row>
        <row r="124">
          <cell r="A124">
            <v>1500</v>
          </cell>
          <cell r="B124" t="str">
            <v>E-EQ-2010-1C/pen</v>
          </cell>
          <cell r="C124" t="str">
            <v>E-EQ-2010-1C/pen</v>
          </cell>
          <cell r="D124">
            <v>1</v>
          </cell>
          <cell r="F124" t="str">
            <v>RF FILTER,0-250VAC, 2x10 Amp,0-60Hz</v>
          </cell>
          <cell r="G124" t="str">
            <v>Filter Package</v>
          </cell>
          <cell r="S124" t="str">
            <v>Yes</v>
          </cell>
          <cell r="T124" t="str">
            <v>Yes</v>
          </cell>
        </row>
        <row r="125">
          <cell r="B125">
            <v>0</v>
          </cell>
          <cell r="F125" t="str">
            <v/>
          </cell>
        </row>
        <row r="126">
          <cell r="A126">
            <v>1300</v>
          </cell>
          <cell r="B126">
            <v>600711</v>
          </cell>
          <cell r="C126">
            <v>600711</v>
          </cell>
          <cell r="D126">
            <v>1</v>
          </cell>
          <cell r="F126" t="str">
            <v>BD,HARDIBACKER SIEMENS MONO BLOCKOUT</v>
          </cell>
          <cell r="G126" t="str">
            <v>Mfloor Base Panel</v>
          </cell>
          <cell r="S126" t="str">
            <v>Yes</v>
          </cell>
          <cell r="T126" t="str">
            <v>Yes</v>
          </cell>
        </row>
        <row r="127">
          <cell r="A127">
            <v>1500</v>
          </cell>
          <cell r="B127">
            <v>300531</v>
          </cell>
          <cell r="C127">
            <v>300531</v>
          </cell>
          <cell r="D127">
            <v>8</v>
          </cell>
          <cell r="F127" t="str">
            <v>SCR,#14x3/4HW,HX,STL,ZN,RECESS WSHR</v>
          </cell>
          <cell r="G127" t="str">
            <v>Filter Package</v>
          </cell>
          <cell r="S127" t="str">
            <v>Yes</v>
          </cell>
          <cell r="T127" t="str">
            <v>Yes</v>
          </cell>
        </row>
        <row r="128">
          <cell r="A128">
            <v>1500</v>
          </cell>
          <cell r="B128">
            <v>702170</v>
          </cell>
          <cell r="C128">
            <v>702170</v>
          </cell>
          <cell r="D128">
            <v>1</v>
          </cell>
          <cell r="F128" t="str">
            <v>VENT,WG,ALUM,24X24X4</v>
          </cell>
          <cell r="G128" t="str">
            <v>Pressure Relief</v>
          </cell>
          <cell r="S128" t="str">
            <v>Yes</v>
          </cell>
          <cell r="T128" t="str">
            <v>Yes</v>
          </cell>
        </row>
        <row r="129">
          <cell r="A129">
            <v>1300</v>
          </cell>
          <cell r="B129">
            <v>880137</v>
          </cell>
          <cell r="C129">
            <v>880137</v>
          </cell>
          <cell r="D129">
            <v>1</v>
          </cell>
          <cell r="F129" t="str">
            <v>ASSY,PNL48X96 SIEMENS PATIENT TABLE</v>
          </cell>
          <cell r="G129" t="str">
            <v>Cfloor Base Mtg Panel</v>
          </cell>
          <cell r="S129" t="str">
            <v>Yes</v>
          </cell>
          <cell r="T129" t="str">
            <v>Yes</v>
          </cell>
        </row>
        <row r="130">
          <cell r="A130">
            <v>1500</v>
          </cell>
          <cell r="B130">
            <v>1679568</v>
          </cell>
          <cell r="C130">
            <v>1679568</v>
          </cell>
          <cell r="D130">
            <v>1</v>
          </cell>
          <cell r="F130" t="str">
            <v>KIT,MAGNET ANCHOR, SIEMENS-SEISMIC,4ANC</v>
          </cell>
          <cell r="G130" t="str">
            <v>Magnet Anchor Kit 3/4</v>
          </cell>
          <cell r="S130" t="str">
            <v>Yes</v>
          </cell>
          <cell r="T130" t="str">
            <v>Yes</v>
          </cell>
        </row>
        <row r="131">
          <cell r="A131">
            <v>1500</v>
          </cell>
          <cell r="B131">
            <v>950057</v>
          </cell>
          <cell r="C131">
            <v>950057</v>
          </cell>
          <cell r="D131">
            <v>1</v>
          </cell>
          <cell r="F131" t="str">
            <v>PLT,18GA,SIEMENS BLANK,46 1/2 X 26</v>
          </cell>
          <cell r="G131" t="str">
            <v>Blank Plate Cell Only</v>
          </cell>
          <cell r="S131" t="str">
            <v>Yes</v>
          </cell>
          <cell r="T131" t="str">
            <v>Yes</v>
          </cell>
        </row>
        <row r="132">
          <cell r="A132">
            <v>1500</v>
          </cell>
          <cell r="B132">
            <v>300417</v>
          </cell>
          <cell r="C132">
            <v>300417</v>
          </cell>
          <cell r="D132">
            <v>50</v>
          </cell>
          <cell r="F132" t="str">
            <v>NUT,1/4-20HH,SS,FN49 142/#</v>
          </cell>
          <cell r="G132" t="str">
            <v>Blank Plate Cell Only</v>
          </cell>
          <cell r="S132" t="str">
            <v>Yes</v>
          </cell>
          <cell r="T132" t="str">
            <v>Yes</v>
          </cell>
        </row>
        <row r="133">
          <cell r="A133">
            <v>1500</v>
          </cell>
          <cell r="B133">
            <v>300828</v>
          </cell>
          <cell r="C133">
            <v>300828</v>
          </cell>
          <cell r="D133">
            <v>100</v>
          </cell>
          <cell r="F133" t="str">
            <v>WSHR,.281X5/8ODX.050,SS,6/MRI,11DR/J*</v>
          </cell>
          <cell r="G133" t="str">
            <v>Blank Plate Cell Only</v>
          </cell>
          <cell r="S133" t="str">
            <v>Yes</v>
          </cell>
          <cell r="T133" t="str">
            <v>Yes</v>
          </cell>
        </row>
        <row r="134">
          <cell r="A134">
            <v>1500</v>
          </cell>
          <cell r="B134">
            <v>950043</v>
          </cell>
          <cell r="C134">
            <v>950043</v>
          </cell>
          <cell r="D134">
            <v>1</v>
          </cell>
          <cell r="F134" t="str">
            <v>KIT,PATIENT TABLE,SIEMENS RETROFIT,4ANCH</v>
          </cell>
          <cell r="G134" t="str">
            <v>Table Anchor</v>
          </cell>
          <cell r="S134" t="str">
            <v>Yes</v>
          </cell>
          <cell r="T134" t="str">
            <v>Yes</v>
          </cell>
        </row>
        <row r="135">
          <cell r="A135">
            <v>1500</v>
          </cell>
          <cell r="B135">
            <v>1679635</v>
          </cell>
          <cell r="C135">
            <v>1679635</v>
          </cell>
          <cell r="D135">
            <v>1</v>
          </cell>
          <cell r="F135" t="str">
            <v>KIT,PATIENT TABLE,SIEMENS RETROFIT,SEISM</v>
          </cell>
          <cell r="G135" t="str">
            <v>Table Anchor Seismic</v>
          </cell>
          <cell r="S135" t="str">
            <v>Yes</v>
          </cell>
          <cell r="T135" t="str">
            <v>Yes</v>
          </cell>
        </row>
        <row r="138">
          <cell r="A138">
            <v>1500</v>
          </cell>
          <cell r="B138">
            <v>950060</v>
          </cell>
          <cell r="C138">
            <v>950060</v>
          </cell>
          <cell r="D138">
            <v>1</v>
          </cell>
          <cell r="F138" t="str">
            <v>KIT,TOSHIBA VANTAGE Rev C</v>
          </cell>
          <cell r="G138" t="str">
            <v>Interface Pkg</v>
          </cell>
          <cell r="V138" t="str">
            <v>Yes</v>
          </cell>
        </row>
        <row r="139">
          <cell r="A139">
            <v>1500</v>
          </cell>
          <cell r="B139">
            <v>301100</v>
          </cell>
          <cell r="C139">
            <v>301100</v>
          </cell>
          <cell r="D139">
            <v>1</v>
          </cell>
          <cell r="F139" t="str">
            <v>KIT,GRND BUS,BAR,MRI,BR</v>
          </cell>
          <cell r="G139" t="str">
            <v>Interface Pkg</v>
          </cell>
          <cell r="V139" t="str">
            <v>Yes</v>
          </cell>
        </row>
        <row r="140">
          <cell r="A140">
            <v>1500</v>
          </cell>
          <cell r="B140">
            <v>156980</v>
          </cell>
          <cell r="C140">
            <v>156980</v>
          </cell>
          <cell r="D140">
            <v>1</v>
          </cell>
          <cell r="F140" t="str">
            <v>CRYO, TOSHIBA (CUSTOM)*</v>
          </cell>
          <cell r="G140" t="str">
            <v>Custom Cryo</v>
          </cell>
          <cell r="V140" t="str">
            <v>Yes</v>
          </cell>
        </row>
        <row r="141">
          <cell r="A141">
            <v>1300</v>
          </cell>
          <cell r="B141">
            <v>354939</v>
          </cell>
          <cell r="C141">
            <v>354939</v>
          </cell>
          <cell r="D141">
            <v>1</v>
          </cell>
          <cell r="F141" t="str">
            <v>H-FRAME, CRYO 12.5 x 12.5 SIEMENS W/CAP</v>
          </cell>
          <cell r="G141" t="str">
            <v>Custom Cryo</v>
          </cell>
          <cell r="V141" t="str">
            <v>Yes</v>
          </cell>
        </row>
        <row r="142">
          <cell r="A142">
            <v>1500</v>
          </cell>
          <cell r="B142">
            <v>305266</v>
          </cell>
          <cell r="C142">
            <v>305266</v>
          </cell>
          <cell r="D142">
            <v>5</v>
          </cell>
          <cell r="F142" t="str">
            <v>WSHR,FLAT 12OZ CU FOR 2" WVGD</v>
          </cell>
          <cell r="G142" t="str">
            <v>Copper Washer</v>
          </cell>
          <cell r="V142" t="str">
            <v>Yes</v>
          </cell>
        </row>
        <row r="143">
          <cell r="A143">
            <v>1500</v>
          </cell>
          <cell r="B143">
            <v>300558</v>
          </cell>
          <cell r="C143">
            <v>300558</v>
          </cell>
          <cell r="D143">
            <v>100</v>
          </cell>
          <cell r="F143" t="str">
            <v>SCR,#12AX1-1/2,PH,PH,STL,ZN</v>
          </cell>
          <cell r="G143" t="str">
            <v>Interface Pkg</v>
          </cell>
          <cell r="V143" t="str">
            <v>Yes</v>
          </cell>
        </row>
        <row r="144">
          <cell r="A144">
            <v>1500</v>
          </cell>
          <cell r="B144">
            <v>156980</v>
          </cell>
          <cell r="C144">
            <v>156980</v>
          </cell>
          <cell r="D144">
            <v>1</v>
          </cell>
          <cell r="F144" t="str">
            <v>CRYO, TOSHIBA (CUSTOM)*</v>
          </cell>
          <cell r="G144" t="str">
            <v>3T Custom Cryo 12 Blt Flg</v>
          </cell>
          <cell r="V144" t="str">
            <v>Yes</v>
          </cell>
        </row>
        <row r="145">
          <cell r="A145">
            <v>1500</v>
          </cell>
          <cell r="B145">
            <v>551065</v>
          </cell>
          <cell r="C145">
            <v>551065</v>
          </cell>
          <cell r="D145">
            <v>1</v>
          </cell>
          <cell r="F145" t="str">
            <v>ASSY,WGFTR BR 2" MRI (1-550457,2-550554)</v>
          </cell>
          <cell r="G145" t="str">
            <v>3T Waveguide 2 in</v>
          </cell>
          <cell r="V145" t="str">
            <v>Yes</v>
          </cell>
        </row>
        <row r="146">
          <cell r="A146">
            <v>1500</v>
          </cell>
          <cell r="B146">
            <v>305266</v>
          </cell>
          <cell r="C146">
            <v>305266</v>
          </cell>
          <cell r="D146">
            <v>1</v>
          </cell>
          <cell r="F146" t="str">
            <v>WSHR,FLAT 12OZ CU FOR 2" WVGD</v>
          </cell>
          <cell r="G146" t="str">
            <v>3T Waveguide 2 in</v>
          </cell>
          <cell r="V146" t="str">
            <v>Yes</v>
          </cell>
        </row>
        <row r="147">
          <cell r="A147">
            <v>1500</v>
          </cell>
          <cell r="B147" t="str">
            <v>E-PF205A-30</v>
          </cell>
          <cell r="C147" t="str">
            <v>E-PF205A-30</v>
          </cell>
          <cell r="D147">
            <v>1</v>
          </cell>
          <cell r="F147" t="str">
            <v>MRI FILTER,250VAC,2x30 Amp,0-60Hz</v>
          </cell>
          <cell r="G147" t="str">
            <v>Filter Package</v>
          </cell>
          <cell r="V147" t="str">
            <v>Yes</v>
          </cell>
        </row>
        <row r="148">
          <cell r="A148">
            <v>1500</v>
          </cell>
          <cell r="B148">
            <v>702170</v>
          </cell>
          <cell r="C148">
            <v>702170</v>
          </cell>
          <cell r="D148">
            <v>1</v>
          </cell>
          <cell r="F148" t="str">
            <v>VENT,WG,ALUM,24X24X4</v>
          </cell>
          <cell r="G148" t="str">
            <v>Pressure Relief</v>
          </cell>
          <cell r="V148" t="str">
            <v>Yes</v>
          </cell>
        </row>
        <row r="149">
          <cell r="F149" t="str">
            <v/>
          </cell>
        </row>
        <row r="150">
          <cell r="A150">
            <v>1500</v>
          </cell>
          <cell r="B150">
            <v>300558</v>
          </cell>
          <cell r="C150">
            <v>300558</v>
          </cell>
          <cell r="D150">
            <v>100</v>
          </cell>
          <cell r="F150" t="str">
            <v>SCR,#12AX1-1/2,PH,PH,STL,ZN</v>
          </cell>
          <cell r="G150" t="str">
            <v>Interface Mounting Hardware</v>
          </cell>
          <cell r="W150" t="str">
            <v>Yes</v>
          </cell>
          <cell r="X150" t="str">
            <v>Yes</v>
          </cell>
          <cell r="Y150" t="str">
            <v>Yes</v>
          </cell>
          <cell r="Z150" t="str">
            <v>Yes</v>
          </cell>
        </row>
        <row r="151">
          <cell r="A151">
            <v>1500</v>
          </cell>
          <cell r="B151">
            <v>104827</v>
          </cell>
          <cell r="C151">
            <v>104827</v>
          </cell>
          <cell r="D151">
            <v>1</v>
          </cell>
          <cell r="F151" t="str">
            <v>ADH,SIKA ONE PART SIKABOND-T55(5GA pail)</v>
          </cell>
          <cell r="G151" t="str">
            <v>Airis Pkg</v>
          </cell>
          <cell r="H151" t="str">
            <v>Airis</v>
          </cell>
          <cell r="Y151" t="str">
            <v>Yes</v>
          </cell>
        </row>
        <row r="152">
          <cell r="B152">
            <v>0</v>
          </cell>
          <cell r="F152" t="str">
            <v/>
          </cell>
          <cell r="Y152" t="str">
            <v>Yes</v>
          </cell>
        </row>
        <row r="153">
          <cell r="A153">
            <v>1300</v>
          </cell>
          <cell r="B153">
            <v>504453</v>
          </cell>
          <cell r="C153">
            <v>504453</v>
          </cell>
          <cell r="D153">
            <v>5</v>
          </cell>
          <cell r="F153" t="str">
            <v>CU,3OZ,54"W,ELECT-D BACKED</v>
          </cell>
          <cell r="G153" t="str">
            <v>Airis Pkg</v>
          </cell>
          <cell r="Y153" t="str">
            <v>Yes</v>
          </cell>
        </row>
        <row r="154">
          <cell r="A154">
            <v>1500</v>
          </cell>
          <cell r="B154">
            <v>551060</v>
          </cell>
          <cell r="C154">
            <v>551060</v>
          </cell>
          <cell r="D154">
            <v>1</v>
          </cell>
          <cell r="F154" t="str">
            <v>ASSY,WGFTR BR 1/2"</v>
          </cell>
          <cell r="G154" t="str">
            <v>Oasis Parts</v>
          </cell>
          <cell r="Z154" t="str">
            <v>Yes</v>
          </cell>
        </row>
        <row r="155">
          <cell r="A155">
            <v>1500</v>
          </cell>
          <cell r="B155" t="str">
            <v>E-PF205A-30</v>
          </cell>
          <cell r="C155" t="str">
            <v>E-PF205A-30</v>
          </cell>
          <cell r="D155">
            <v>1</v>
          </cell>
          <cell r="F155" t="str">
            <v>MRI FILTER,250VAC,2x30 Amp,0-60Hz</v>
          </cell>
          <cell r="G155" t="str">
            <v>Oasis Parts</v>
          </cell>
          <cell r="Z155" t="str">
            <v>Yes</v>
          </cell>
        </row>
        <row r="156">
          <cell r="A156">
            <v>1500</v>
          </cell>
          <cell r="B156">
            <v>204887</v>
          </cell>
          <cell r="C156">
            <v>204887</v>
          </cell>
          <cell r="D156">
            <v>25</v>
          </cell>
          <cell r="F156" t="str">
            <v>GASKET, RF COMBO .25 MESH 2 SIDES 25 FT</v>
          </cell>
          <cell r="G156" t="str">
            <v>Oasis Parts</v>
          </cell>
          <cell r="Z156" t="str">
            <v>Yes</v>
          </cell>
        </row>
        <row r="157">
          <cell r="A157">
            <v>1300</v>
          </cell>
          <cell r="B157">
            <v>151001</v>
          </cell>
          <cell r="C157">
            <v>151001</v>
          </cell>
          <cell r="D157">
            <v>0.5</v>
          </cell>
          <cell r="F157" t="str">
            <v>CAP,BSE CU 1-9/16"X1-25/32"X2-21/32"X10'</v>
          </cell>
          <cell r="G157" t="str">
            <v>Oasis Parts</v>
          </cell>
          <cell r="Z157" t="str">
            <v>Yes</v>
          </cell>
        </row>
        <row r="158">
          <cell r="A158">
            <v>1300</v>
          </cell>
          <cell r="B158">
            <v>600736</v>
          </cell>
          <cell r="C158">
            <v>600736</v>
          </cell>
          <cell r="D158">
            <v>10</v>
          </cell>
          <cell r="F158" t="str">
            <v>LUM,LVL FRT.1-3/4X1-5/8X16'-20'</v>
          </cell>
          <cell r="G158" t="str">
            <v>Oasis Parts</v>
          </cell>
          <cell r="Z158" t="str">
            <v>Yes</v>
          </cell>
        </row>
        <row r="159">
          <cell r="A159">
            <v>1500</v>
          </cell>
          <cell r="B159" t="str">
            <v>E-EQ-2001-NR/PEN</v>
          </cell>
          <cell r="C159" t="str">
            <v>E-EQ-2001-NR/PEN</v>
          </cell>
          <cell r="D159">
            <v>2</v>
          </cell>
          <cell r="F159" t="str">
            <v>RF Filter, 30 VAC / 50 VDC, 2 x 1.0 Amp,</v>
          </cell>
          <cell r="G159" t="str">
            <v>Oxygen Monitor</v>
          </cell>
          <cell r="H159" t="str">
            <v>Oxygen Monitor</v>
          </cell>
          <cell r="W159" t="str">
            <v>Yes</v>
          </cell>
          <cell r="X159" t="str">
            <v>Yes</v>
          </cell>
          <cell r="Y159" t="str">
            <v>Yes</v>
          </cell>
        </row>
        <row r="160">
          <cell r="A160">
            <v>1500</v>
          </cell>
          <cell r="B160">
            <v>0</v>
          </cell>
          <cell r="F160" t="str">
            <v/>
          </cell>
          <cell r="W160" t="str">
            <v>Yes</v>
          </cell>
          <cell r="X160" t="str">
            <v>Yes</v>
          </cell>
          <cell r="Y160" t="str">
            <v>Yes</v>
          </cell>
        </row>
        <row r="161">
          <cell r="A161">
            <v>1500</v>
          </cell>
          <cell r="B161">
            <v>300421</v>
          </cell>
          <cell r="C161">
            <v>300421</v>
          </cell>
          <cell r="D161">
            <v>170</v>
          </cell>
          <cell r="F161" t="str">
            <v>SCR,#10X1-1/2PN,PH,SS 18-8(A),GR2</v>
          </cell>
          <cell r="G161" t="str">
            <v>Penetration Cap</v>
          </cell>
          <cell r="W161" t="str">
            <v>Yes</v>
          </cell>
          <cell r="X161" t="str">
            <v>Yes</v>
          </cell>
          <cell r="Y161" t="str">
            <v>Yes</v>
          </cell>
          <cell r="Z161" t="str">
            <v>Yes</v>
          </cell>
        </row>
        <row r="162">
          <cell r="A162">
            <v>1500</v>
          </cell>
          <cell r="B162">
            <v>551064</v>
          </cell>
          <cell r="C162">
            <v>551064</v>
          </cell>
          <cell r="D162">
            <v>5</v>
          </cell>
          <cell r="F162" t="str">
            <v>ASSY,WGFTR BR 1-1/2 MRI (1-550450,2-553)</v>
          </cell>
          <cell r="G162" t="str">
            <v>Altaire Pipe Pkg</v>
          </cell>
          <cell r="H162" t="str">
            <v>Altaire</v>
          </cell>
          <cell r="W162" t="str">
            <v>Yes</v>
          </cell>
        </row>
        <row r="163">
          <cell r="A163">
            <v>1500</v>
          </cell>
          <cell r="B163">
            <v>305265</v>
          </cell>
          <cell r="C163">
            <v>305265</v>
          </cell>
          <cell r="D163">
            <v>5</v>
          </cell>
          <cell r="F163" t="str">
            <v>WSHR,FLAT 12OZ CU FOR 1-1/2" WVGD</v>
          </cell>
          <cell r="G163" t="str">
            <v>Altaire Pipe Pkg</v>
          </cell>
          <cell r="W163" t="str">
            <v>Yes</v>
          </cell>
        </row>
        <row r="164">
          <cell r="A164">
            <v>1500</v>
          </cell>
          <cell r="B164">
            <v>551065</v>
          </cell>
          <cell r="C164">
            <v>551065</v>
          </cell>
          <cell r="D164">
            <v>6</v>
          </cell>
          <cell r="F164" t="str">
            <v>ASSY,WGFTR BR 2" MRI (1-550457,2-550554)</v>
          </cell>
          <cell r="G164" t="str">
            <v>2in Pipe Pkg</v>
          </cell>
          <cell r="H164" t="str">
            <v>Echeoloen</v>
          </cell>
          <cell r="X164" t="str">
            <v>Yes</v>
          </cell>
          <cell r="Z164" t="str">
            <v>Yes</v>
          </cell>
        </row>
        <row r="165">
          <cell r="A165">
            <v>1500</v>
          </cell>
          <cell r="B165">
            <v>305266</v>
          </cell>
          <cell r="C165">
            <v>305266</v>
          </cell>
          <cell r="D165">
            <v>6</v>
          </cell>
          <cell r="F165" t="str">
            <v>WSHR,FLAT 12OZ CU FOR 2" WVGD</v>
          </cell>
          <cell r="G165" t="str">
            <v>2in Pipe Pkg</v>
          </cell>
          <cell r="X165" t="str">
            <v>Yes</v>
          </cell>
          <cell r="Z165" t="str">
            <v>Yes</v>
          </cell>
        </row>
        <row r="166">
          <cell r="A166">
            <v>1500</v>
          </cell>
          <cell r="B166">
            <v>301100</v>
          </cell>
          <cell r="C166">
            <v>301100</v>
          </cell>
          <cell r="D166">
            <v>1</v>
          </cell>
          <cell r="F166" t="str">
            <v>KIT,GRND BUS,BAR,MRI,BR</v>
          </cell>
          <cell r="G166" t="str">
            <v>Ground Bus Bar</v>
          </cell>
          <cell r="W166" t="str">
            <v>Yes</v>
          </cell>
          <cell r="X166" t="str">
            <v>Yes</v>
          </cell>
          <cell r="Y166" t="str">
            <v>Yes</v>
          </cell>
          <cell r="Z166" t="str">
            <v>Yes</v>
          </cell>
        </row>
        <row r="167">
          <cell r="A167">
            <v>1300</v>
          </cell>
          <cell r="B167">
            <v>152005</v>
          </cell>
          <cell r="C167">
            <v>152005</v>
          </cell>
          <cell r="D167">
            <v>1</v>
          </cell>
          <cell r="F167" t="str">
            <v>CAP,HIT/PHIL. PEN. 1-3/4X3-7/8X1-3/4X120</v>
          </cell>
          <cell r="G167" t="str">
            <v>Penetration Cap</v>
          </cell>
          <cell r="W167" t="str">
            <v>Yes</v>
          </cell>
          <cell r="X167" t="str">
            <v>Yes</v>
          </cell>
          <cell r="Y167" t="str">
            <v>Yes</v>
          </cell>
        </row>
        <row r="168">
          <cell r="A168">
            <v>1500</v>
          </cell>
          <cell r="B168">
            <v>156981</v>
          </cell>
          <cell r="C168">
            <v>156981</v>
          </cell>
          <cell r="D168">
            <v>1</v>
          </cell>
          <cell r="F168" t="str">
            <v>CRYO, HITACHI (CUSTOM)*</v>
          </cell>
          <cell r="G168" t="str">
            <v>Altaire Cryo Pkg</v>
          </cell>
          <cell r="W168" t="str">
            <v>Yes</v>
          </cell>
        </row>
        <row r="169">
          <cell r="A169">
            <v>1500</v>
          </cell>
          <cell r="B169">
            <v>604918</v>
          </cell>
          <cell r="C169">
            <v>604918</v>
          </cell>
          <cell r="D169">
            <v>1</v>
          </cell>
          <cell r="F169" t="str">
            <v>GSKT,NEOPRENE RUB 1/2x12.598 0D 8@3/4" *</v>
          </cell>
          <cell r="G169" t="str">
            <v>Altaire Cryo Pkg</v>
          </cell>
          <cell r="W169" t="str">
            <v>Yes</v>
          </cell>
        </row>
        <row r="170">
          <cell r="A170">
            <v>1300</v>
          </cell>
          <cell r="B170">
            <v>354937</v>
          </cell>
          <cell r="C170">
            <v>354937</v>
          </cell>
          <cell r="D170">
            <v>1</v>
          </cell>
          <cell r="F170" t="str">
            <v>H-FRAME, CRYO 9.25 x 9.25 W/CAP</v>
          </cell>
          <cell r="G170" t="str">
            <v>Altaire Cryo Pkg</v>
          </cell>
          <cell r="W170" t="str">
            <v>Yes</v>
          </cell>
        </row>
        <row r="171">
          <cell r="A171">
            <v>1500</v>
          </cell>
          <cell r="B171">
            <v>300035</v>
          </cell>
          <cell r="C171">
            <v>300035</v>
          </cell>
          <cell r="D171">
            <v>10</v>
          </cell>
          <cell r="F171" t="str">
            <v>BOLT,3/4-10 X 2 1/2, HH, HX, FGLS*</v>
          </cell>
          <cell r="G171" t="str">
            <v>Altaire Cryo Pkg</v>
          </cell>
          <cell r="W171" t="str">
            <v>Yes</v>
          </cell>
        </row>
        <row r="172">
          <cell r="A172">
            <v>1500</v>
          </cell>
          <cell r="B172">
            <v>300036</v>
          </cell>
          <cell r="C172">
            <v>300036</v>
          </cell>
          <cell r="D172">
            <v>10</v>
          </cell>
          <cell r="F172" t="str">
            <v>NUT,3/4-10,HH,HX,FGLS*</v>
          </cell>
          <cell r="G172" t="str">
            <v>Altaire Cryo Pkg</v>
          </cell>
          <cell r="W172" t="str">
            <v>Yes</v>
          </cell>
        </row>
        <row r="173">
          <cell r="A173">
            <v>1500</v>
          </cell>
          <cell r="B173">
            <v>300037</v>
          </cell>
          <cell r="C173">
            <v>300037</v>
          </cell>
          <cell r="D173">
            <v>20</v>
          </cell>
          <cell r="F173" t="str">
            <v/>
          </cell>
          <cell r="G173" t="str">
            <v>Altaire Cryo Pkg</v>
          </cell>
          <cell r="W173" t="str">
            <v>Yes</v>
          </cell>
        </row>
        <row r="174">
          <cell r="A174">
            <v>1500</v>
          </cell>
          <cell r="B174">
            <v>300116</v>
          </cell>
          <cell r="C174">
            <v>300116</v>
          </cell>
          <cell r="D174">
            <v>12</v>
          </cell>
          <cell r="F174" t="str">
            <v>BOLT,5/16-18X1.75,HH,C,SS 18-8,23/#</v>
          </cell>
          <cell r="G174" t="str">
            <v>Altaire Cryo Pkg</v>
          </cell>
          <cell r="W174" t="str">
            <v>Yes</v>
          </cell>
        </row>
        <row r="175">
          <cell r="A175">
            <v>1500</v>
          </cell>
          <cell r="B175">
            <v>300807</v>
          </cell>
          <cell r="C175">
            <v>300807</v>
          </cell>
          <cell r="D175">
            <v>12</v>
          </cell>
          <cell r="F175" t="str">
            <v>WSHR,(5/16).342x1ODx.093TK,SS,18-8,56/#</v>
          </cell>
          <cell r="G175" t="str">
            <v>Altaire Cryo Pkg</v>
          </cell>
          <cell r="W175" t="str">
            <v>Yes</v>
          </cell>
        </row>
        <row r="176">
          <cell r="A176">
            <v>1300</v>
          </cell>
          <cell r="B176">
            <v>500007</v>
          </cell>
          <cell r="C176">
            <v>500007</v>
          </cell>
          <cell r="D176">
            <v>0.5</v>
          </cell>
          <cell r="F176" t="str">
            <v>FBGLS,WOV EPX 1/4x48x96 APO-3</v>
          </cell>
          <cell r="G176" t="str">
            <v>Altaire Cell floor</v>
          </cell>
          <cell r="W176" t="str">
            <v>Yes</v>
          </cell>
        </row>
        <row r="177">
          <cell r="A177">
            <v>1300</v>
          </cell>
          <cell r="B177">
            <v>500008</v>
          </cell>
          <cell r="C177">
            <v>500008</v>
          </cell>
          <cell r="D177">
            <v>2.5</v>
          </cell>
          <cell r="F177" t="str">
            <v>FBGLS,WOV EPX 1/16x36x48" G-10</v>
          </cell>
          <cell r="G177" t="str">
            <v>Altaire Cell floor</v>
          </cell>
          <cell r="W177" t="str">
            <v>Yes</v>
          </cell>
        </row>
        <row r="178">
          <cell r="A178">
            <v>1300</v>
          </cell>
          <cell r="B178">
            <v>500663</v>
          </cell>
          <cell r="C178">
            <v>500663</v>
          </cell>
          <cell r="D178">
            <v>0.25</v>
          </cell>
          <cell r="F178" t="str">
            <v/>
          </cell>
          <cell r="G178" t="str">
            <v>Altaire Cell floor</v>
          </cell>
          <cell r="W178" t="str">
            <v>Yes</v>
          </cell>
        </row>
        <row r="179">
          <cell r="A179">
            <v>1300</v>
          </cell>
          <cell r="B179">
            <v>504453</v>
          </cell>
          <cell r="C179">
            <v>504453</v>
          </cell>
          <cell r="D179">
            <v>4</v>
          </cell>
          <cell r="F179" t="str">
            <v>CU,3OZ,54"W,ELECT-D BACKED</v>
          </cell>
          <cell r="G179" t="str">
            <v>Altaire Cell floor</v>
          </cell>
          <cell r="W179" t="str">
            <v>Yes</v>
          </cell>
        </row>
        <row r="180">
          <cell r="A180">
            <v>1300</v>
          </cell>
          <cell r="B180">
            <v>104820</v>
          </cell>
          <cell r="C180">
            <v>104820</v>
          </cell>
          <cell r="D180">
            <v>0.375</v>
          </cell>
          <cell r="F180" t="str">
            <v>ADH,POLYVINL ACETATE</v>
          </cell>
          <cell r="G180" t="str">
            <v>Altaire Cell floor</v>
          </cell>
          <cell r="W180" t="str">
            <v>Yes</v>
          </cell>
        </row>
        <row r="181">
          <cell r="A181">
            <v>1300</v>
          </cell>
          <cell r="B181">
            <v>605301</v>
          </cell>
          <cell r="C181">
            <v>605301</v>
          </cell>
          <cell r="D181">
            <v>0.5</v>
          </cell>
          <cell r="F181" t="str">
            <v>POLYBAK PB69 47-7/8X95-7/8X.020</v>
          </cell>
          <cell r="G181" t="str">
            <v>Altaire Cell floor</v>
          </cell>
          <cell r="W181" t="str">
            <v>Yes</v>
          </cell>
        </row>
        <row r="182">
          <cell r="A182">
            <v>1500</v>
          </cell>
          <cell r="B182">
            <v>156981</v>
          </cell>
          <cell r="C182">
            <v>156981</v>
          </cell>
          <cell r="D182">
            <v>1</v>
          </cell>
          <cell r="F182" t="str">
            <v>CRYO, HITACHI (CUSTOM)*</v>
          </cell>
          <cell r="G182" t="str">
            <v>Oasis Cryo</v>
          </cell>
          <cell r="Z182" t="str">
            <v>Yes</v>
          </cell>
        </row>
        <row r="183">
          <cell r="A183">
            <v>1300</v>
          </cell>
          <cell r="B183">
            <v>152004</v>
          </cell>
          <cell r="C183">
            <v>152004</v>
          </cell>
          <cell r="D183">
            <v>3</v>
          </cell>
          <cell r="F183" t="str">
            <v>CAP,GE PEN. 3"X1-3/4"X 3"X10'12 OZ CPR.</v>
          </cell>
          <cell r="G183" t="str">
            <v>Oasis Parts</v>
          </cell>
          <cell r="Z183" t="str">
            <v>Yes</v>
          </cell>
        </row>
        <row r="184">
          <cell r="A184">
            <v>1500</v>
          </cell>
          <cell r="B184">
            <v>702170</v>
          </cell>
          <cell r="C184">
            <v>702170</v>
          </cell>
          <cell r="D184">
            <v>1</v>
          </cell>
          <cell r="F184" t="str">
            <v>VENT,WG,ALUM,24X24X4</v>
          </cell>
          <cell r="G184" t="str">
            <v>Pressure Relief</v>
          </cell>
          <cell r="W184" t="str">
            <v>Yes</v>
          </cell>
          <cell r="X184" t="str">
            <v>Yes</v>
          </cell>
          <cell r="Z184" t="str">
            <v>Yes</v>
          </cell>
        </row>
        <row r="185">
          <cell r="F185" t="str">
            <v/>
          </cell>
        </row>
        <row r="186">
          <cell r="A186">
            <v>1500</v>
          </cell>
          <cell r="B186">
            <v>551065</v>
          </cell>
          <cell r="C186">
            <v>551065</v>
          </cell>
          <cell r="D186">
            <v>1</v>
          </cell>
          <cell r="F186" t="str">
            <v>ASSY,WGFTR BR 2" MRI (1-550457,2-550554)</v>
          </cell>
          <cell r="G186" t="str">
            <v>2 Inch Cryo</v>
          </cell>
          <cell r="AA186" t="str">
            <v>Yes</v>
          </cell>
        </row>
        <row r="187">
          <cell r="A187">
            <v>1500</v>
          </cell>
          <cell r="B187">
            <v>300063</v>
          </cell>
          <cell r="C187">
            <v>300063</v>
          </cell>
          <cell r="D187">
            <v>5</v>
          </cell>
          <cell r="F187" t="str">
            <v>ANCH,HILTI KWIK-BOLT 3/8X5 LONG THREAD*</v>
          </cell>
          <cell r="G187" t="str">
            <v>5 Inch Anchor Bolt</v>
          </cell>
          <cell r="AA187" t="str">
            <v>Yes</v>
          </cell>
          <cell r="AB187" t="str">
            <v>Yes</v>
          </cell>
        </row>
        <row r="188">
          <cell r="A188">
            <v>1500</v>
          </cell>
          <cell r="B188">
            <v>301100</v>
          </cell>
          <cell r="C188">
            <v>301100</v>
          </cell>
          <cell r="D188">
            <v>1</v>
          </cell>
          <cell r="F188" t="str">
            <v>KIT,GRND BUS,BAR,MRI,BR</v>
          </cell>
          <cell r="G188" t="str">
            <v>Ground Bus Bar</v>
          </cell>
          <cell r="AA188" t="str">
            <v>Yes</v>
          </cell>
          <cell r="AB188" t="str">
            <v>Yes</v>
          </cell>
        </row>
        <row r="189">
          <cell r="A189">
            <v>1500</v>
          </cell>
          <cell r="B189">
            <v>551067</v>
          </cell>
          <cell r="C189">
            <v>551067</v>
          </cell>
          <cell r="D189">
            <v>1</v>
          </cell>
          <cell r="F189" t="str">
            <v>ASSY,WGFTR BR 3" MRI (1-550458,2-550556)</v>
          </cell>
          <cell r="G189" t="str">
            <v>3 Inch Cryo</v>
          </cell>
          <cell r="AB189" t="str">
            <v>Yes</v>
          </cell>
        </row>
        <row r="190">
          <cell r="A190">
            <v>1500</v>
          </cell>
          <cell r="B190">
            <v>300060</v>
          </cell>
          <cell r="C190">
            <v>300060</v>
          </cell>
          <cell r="D190">
            <v>5</v>
          </cell>
          <cell r="F190" t="str">
            <v>ANCH,HILTI KWIK-BOLT 3/8X7*</v>
          </cell>
          <cell r="G190" t="str">
            <v>7 Inch Anchor Bolt</v>
          </cell>
          <cell r="AA190" t="str">
            <v>Yes</v>
          </cell>
          <cell r="AB190" t="str">
            <v>Yes</v>
          </cell>
        </row>
        <row r="191">
          <cell r="A191">
            <v>1500</v>
          </cell>
          <cell r="B191">
            <v>702170</v>
          </cell>
          <cell r="C191">
            <v>702170</v>
          </cell>
          <cell r="D191">
            <v>1</v>
          </cell>
          <cell r="F191" t="str">
            <v>VENT,WG,ALUM,24X24X4</v>
          </cell>
          <cell r="G191" t="str">
            <v>Pressure Relief</v>
          </cell>
          <cell r="AA191" t="str">
            <v>Yes</v>
          </cell>
          <cell r="AB191" t="str">
            <v>Yes</v>
          </cell>
        </row>
        <row r="192">
          <cell r="A192">
            <v>1300</v>
          </cell>
          <cell r="B192">
            <v>152004</v>
          </cell>
          <cell r="C192">
            <v>152004</v>
          </cell>
          <cell r="D192">
            <v>1</v>
          </cell>
          <cell r="F192" t="str">
            <v>CAP,GE PEN. 3"X1-3/4"X 3"X10'12 OZ CPR.</v>
          </cell>
          <cell r="G192" t="str">
            <v>Penetration Cap</v>
          </cell>
          <cell r="AA192" t="str">
            <v>Yes</v>
          </cell>
          <cell r="AB192" t="str">
            <v>Yes</v>
          </cell>
        </row>
        <row r="193">
          <cell r="F193" t="str">
            <v/>
          </cell>
        </row>
        <row r="194">
          <cell r="A194">
            <v>1500</v>
          </cell>
          <cell r="B194">
            <v>156942</v>
          </cell>
          <cell r="C194">
            <v>156942</v>
          </cell>
          <cell r="D194">
            <v>1</v>
          </cell>
          <cell r="F194" t="str">
            <v>VENT,CRYO ALUM 6X30  W/14X14X1/4 *</v>
          </cell>
          <cell r="G194" t="str">
            <v>6 Inch Cryo Alum</v>
          </cell>
          <cell r="AC194" t="str">
            <v>Yes</v>
          </cell>
        </row>
        <row r="195">
          <cell r="A195">
            <v>1300</v>
          </cell>
          <cell r="B195">
            <v>354937</v>
          </cell>
          <cell r="C195">
            <v>354937</v>
          </cell>
          <cell r="D195">
            <v>1</v>
          </cell>
          <cell r="F195" t="str">
            <v>H-FRAME, CRYO 9.25 x 9.25 W/CAP</v>
          </cell>
          <cell r="G195" t="str">
            <v>6 Inch Cryo Alum</v>
          </cell>
          <cell r="AC195" t="str">
            <v>Yes</v>
          </cell>
        </row>
        <row r="196">
          <cell r="A196">
            <v>1500</v>
          </cell>
          <cell r="B196" t="str">
            <v>E-PF205A-30</v>
          </cell>
          <cell r="C196" t="str">
            <v>E-PF205A-30</v>
          </cell>
          <cell r="D196">
            <v>1</v>
          </cell>
          <cell r="F196" t="str">
            <v>MRI FILTER,250VAC,2x30 Amp,0-60Hz</v>
          </cell>
          <cell r="G196" t="str">
            <v>Filter &amp; Hardware</v>
          </cell>
          <cell r="AC196" t="str">
            <v>Yes</v>
          </cell>
        </row>
        <row r="197">
          <cell r="A197">
            <v>1500</v>
          </cell>
          <cell r="B197">
            <v>702170</v>
          </cell>
          <cell r="C197">
            <v>702170</v>
          </cell>
          <cell r="D197">
            <v>1</v>
          </cell>
          <cell r="F197" t="str">
            <v>VENT,WG,ALUM,24X24X4</v>
          </cell>
          <cell r="G197" t="str">
            <v>Pressure Relief</v>
          </cell>
          <cell r="AC197" t="str">
            <v>Yes</v>
          </cell>
        </row>
        <row r="198">
          <cell r="F198" t="str">
            <v/>
          </cell>
        </row>
        <row r="199">
          <cell r="A199">
            <v>1500</v>
          </cell>
          <cell r="B199">
            <v>300531</v>
          </cell>
          <cell r="C199">
            <v>300531</v>
          </cell>
          <cell r="D199">
            <v>4</v>
          </cell>
          <cell r="F199" t="str">
            <v>SCR,#14x3/4HW,HX,STL,ZN,RECESS WSHR</v>
          </cell>
          <cell r="G199" t="str">
            <v>Filter &amp; Hardware</v>
          </cell>
          <cell r="AC199" t="str">
            <v>Yes</v>
          </cell>
        </row>
        <row r="200">
          <cell r="A200">
            <v>1300</v>
          </cell>
          <cell r="B200">
            <v>152004</v>
          </cell>
          <cell r="C200">
            <v>152004</v>
          </cell>
          <cell r="D200">
            <v>1</v>
          </cell>
          <cell r="F200" t="str">
            <v>CAP,GE PEN. 3"X1-3/4"X 3"X10'12 OZ CPR.</v>
          </cell>
          <cell r="G200" t="str">
            <v>Penetration Cap</v>
          </cell>
          <cell r="AC200" t="str">
            <v>Yes</v>
          </cell>
        </row>
        <row r="201">
          <cell r="A201">
            <v>1500</v>
          </cell>
          <cell r="B201">
            <v>301100</v>
          </cell>
          <cell r="C201">
            <v>301100</v>
          </cell>
          <cell r="D201">
            <v>1</v>
          </cell>
          <cell r="F201" t="str">
            <v>KIT,GRND BUS,BAR,MRI,BR</v>
          </cell>
          <cell r="G201" t="str">
            <v>Ground Bus Bar</v>
          </cell>
          <cell r="AC201" t="str">
            <v>Yes</v>
          </cell>
        </row>
        <row r="202">
          <cell r="B202" t="str">
            <v>Custom pen panel opening</v>
          </cell>
          <cell r="F202" t="str">
            <v/>
          </cell>
        </row>
        <row r="203">
          <cell r="B203" t="str">
            <v>Small interface under window</v>
          </cell>
          <cell r="F203" t="str">
            <v/>
          </cell>
        </row>
        <row r="204">
          <cell r="B204" t="str">
            <v>Oxygen Monitor</v>
          </cell>
        </row>
        <row r="206">
          <cell r="F206" t="str">
            <v/>
          </cell>
        </row>
        <row r="207">
          <cell r="A207">
            <v>1500</v>
          </cell>
          <cell r="B207">
            <v>554248</v>
          </cell>
          <cell r="C207">
            <v>554248</v>
          </cell>
          <cell r="D207">
            <v>4</v>
          </cell>
          <cell r="F207" t="str">
            <v>CLMP,TUBE W/WORM GEAR ACTIONS/S 8" DIA*</v>
          </cell>
          <cell r="G207" t="str">
            <v>Std Package</v>
          </cell>
          <cell r="AF207" t="str">
            <v>Yes</v>
          </cell>
        </row>
        <row r="208">
          <cell r="A208">
            <v>1500</v>
          </cell>
          <cell r="B208">
            <v>554233</v>
          </cell>
          <cell r="C208">
            <v>554233</v>
          </cell>
          <cell r="D208">
            <v>12</v>
          </cell>
          <cell r="F208" t="str">
            <v>WRAP,GLASS FABRIC 8"X.025"XLF VDR# 8VG</v>
          </cell>
          <cell r="G208" t="str">
            <v>Std Package</v>
          </cell>
          <cell r="AF208" t="str">
            <v>Yes</v>
          </cell>
        </row>
        <row r="209">
          <cell r="A209">
            <v>1500</v>
          </cell>
          <cell r="B209">
            <v>300116</v>
          </cell>
          <cell r="C209">
            <v>300116</v>
          </cell>
          <cell r="D209">
            <v>12</v>
          </cell>
          <cell r="F209" t="str">
            <v>BOLT,5/16-18X1.75,HH,C,SS 18-8,23/#</v>
          </cell>
          <cell r="G209" t="str">
            <v>Std Package</v>
          </cell>
          <cell r="AF209" t="str">
            <v>Yes</v>
          </cell>
        </row>
        <row r="210">
          <cell r="A210">
            <v>1500</v>
          </cell>
          <cell r="B210">
            <v>300807</v>
          </cell>
          <cell r="C210">
            <v>300807</v>
          </cell>
          <cell r="D210">
            <v>12</v>
          </cell>
          <cell r="F210" t="str">
            <v>WSHR,(5/16).342x1ODx.093TK,SS,18-8,56/#</v>
          </cell>
          <cell r="G210" t="str">
            <v>Std Package</v>
          </cell>
          <cell r="AF210" t="str">
            <v>Yes</v>
          </cell>
        </row>
        <row r="211">
          <cell r="A211">
            <v>1300</v>
          </cell>
          <cell r="B211">
            <v>354937</v>
          </cell>
          <cell r="C211">
            <v>354937</v>
          </cell>
          <cell r="D211">
            <v>1</v>
          </cell>
          <cell r="F211" t="str">
            <v>H-FRAME, CRYO 9.25 x 9.25 W/CAP</v>
          </cell>
          <cell r="G211" t="str">
            <v>Std Package</v>
          </cell>
          <cell r="AF211" t="str">
            <v>Yes</v>
          </cell>
        </row>
        <row r="212">
          <cell r="A212">
            <v>1300</v>
          </cell>
          <cell r="B212">
            <v>400217</v>
          </cell>
          <cell r="C212">
            <v>400217</v>
          </cell>
          <cell r="D212">
            <v>0.3</v>
          </cell>
          <cell r="F212" t="str">
            <v>BR,3/16"X36"X96" 198.288#/SH 260 A,1/2H</v>
          </cell>
          <cell r="G212" t="str">
            <v>Std Package</v>
          </cell>
          <cell r="AF212" t="str">
            <v>Yes</v>
          </cell>
        </row>
        <row r="213">
          <cell r="A213">
            <v>1500</v>
          </cell>
          <cell r="B213">
            <v>300107</v>
          </cell>
          <cell r="C213">
            <v>300107</v>
          </cell>
          <cell r="D213">
            <v>40</v>
          </cell>
          <cell r="F213" t="str">
            <v>BOLT,5/16-18X2.75,HH,C,SS 18-8,15.5/#</v>
          </cell>
          <cell r="G213" t="str">
            <v>Std Package</v>
          </cell>
          <cell r="AF213" t="str">
            <v>Yes</v>
          </cell>
        </row>
        <row r="214">
          <cell r="A214">
            <v>1500</v>
          </cell>
          <cell r="B214">
            <v>300403</v>
          </cell>
          <cell r="C214">
            <v>300403</v>
          </cell>
          <cell r="D214">
            <v>40</v>
          </cell>
          <cell r="F214" t="str">
            <v>NUT,5/16-18HH,SS,18-8,FN50  9</v>
          </cell>
          <cell r="G214" t="str">
            <v>Std Package</v>
          </cell>
          <cell r="AF214" t="str">
            <v>Yes</v>
          </cell>
        </row>
        <row r="215">
          <cell r="A215">
            <v>1500</v>
          </cell>
          <cell r="B215">
            <v>300800</v>
          </cell>
          <cell r="C215">
            <v>300800</v>
          </cell>
          <cell r="D215">
            <v>40</v>
          </cell>
          <cell r="F215" t="str">
            <v>L/WSHR,5/16 SPLT,STL,ZN,45/#</v>
          </cell>
          <cell r="G215" t="str">
            <v>Std Package</v>
          </cell>
          <cell r="AF215" t="str">
            <v>Yes</v>
          </cell>
        </row>
        <row r="216">
          <cell r="A216">
            <v>1500</v>
          </cell>
          <cell r="B216">
            <v>300807</v>
          </cell>
          <cell r="C216">
            <v>300807</v>
          </cell>
          <cell r="D216">
            <v>40</v>
          </cell>
          <cell r="F216" t="str">
            <v>WSHR,(5/16).342x1ODx.093TK,SS,18-8,56/#</v>
          </cell>
          <cell r="G216" t="str">
            <v>Std Package</v>
          </cell>
          <cell r="AF216" t="str">
            <v>Yes</v>
          </cell>
        </row>
        <row r="217">
          <cell r="A217">
            <v>1500</v>
          </cell>
          <cell r="B217">
            <v>551089</v>
          </cell>
          <cell r="C217">
            <v>551089</v>
          </cell>
          <cell r="D217">
            <v>2</v>
          </cell>
          <cell r="F217" t="str">
            <v>ASSY,DIE UNION 2" SF/BF MRI*</v>
          </cell>
          <cell r="G217" t="str">
            <v>Std Package</v>
          </cell>
          <cell r="AF217" t="str">
            <v>Yes</v>
          </cell>
        </row>
        <row r="218">
          <cell r="A218">
            <v>1500</v>
          </cell>
          <cell r="B218">
            <v>551068</v>
          </cell>
          <cell r="C218">
            <v>551068</v>
          </cell>
          <cell r="D218">
            <v>1</v>
          </cell>
          <cell r="F218" t="str">
            <v>ASSY,WGFTR BR 4" MRI (1-550459,2-550557)</v>
          </cell>
          <cell r="G218" t="str">
            <v>Std Package</v>
          </cell>
          <cell r="AF218" t="str">
            <v>Yes</v>
          </cell>
        </row>
        <row r="219">
          <cell r="A219">
            <v>1500</v>
          </cell>
          <cell r="B219">
            <v>301100</v>
          </cell>
          <cell r="C219">
            <v>301100</v>
          </cell>
          <cell r="D219">
            <v>1</v>
          </cell>
          <cell r="F219" t="str">
            <v>KIT,GRND BUS,BAR,MRI,BR</v>
          </cell>
          <cell r="G219" t="str">
            <v>Std Package</v>
          </cell>
          <cell r="AF219" t="str">
            <v>Yes</v>
          </cell>
        </row>
        <row r="220">
          <cell r="B220">
            <v>0</v>
          </cell>
          <cell r="F220" t="str">
            <v/>
          </cell>
        </row>
        <row r="221">
          <cell r="A221">
            <v>1500</v>
          </cell>
          <cell r="B221">
            <v>1677564</v>
          </cell>
          <cell r="C221">
            <v>1677564</v>
          </cell>
          <cell r="D221">
            <v>1</v>
          </cell>
          <cell r="F221" t="str">
            <v>VENT,CRYO SS 8x42-1/16 BRUKER TAPER 36</v>
          </cell>
          <cell r="G221" t="str">
            <v>Bruker C7030</v>
          </cell>
          <cell r="AF221" t="str">
            <v>Yes</v>
          </cell>
        </row>
        <row r="222">
          <cell r="A222">
            <v>1500</v>
          </cell>
          <cell r="B222">
            <v>300456</v>
          </cell>
          <cell r="C222">
            <v>300456</v>
          </cell>
          <cell r="D222">
            <v>75</v>
          </cell>
          <cell r="F222" t="str">
            <v>SCR,1/4-20X1-1/2 PN,TX</v>
          </cell>
          <cell r="G222" t="str">
            <v>Bruker C7030</v>
          </cell>
          <cell r="AF222" t="str">
            <v>Yes</v>
          </cell>
        </row>
        <row r="223">
          <cell r="A223">
            <v>1500</v>
          </cell>
          <cell r="B223">
            <v>300097</v>
          </cell>
          <cell r="C223">
            <v>300097</v>
          </cell>
          <cell r="D223">
            <v>75</v>
          </cell>
          <cell r="F223" t="str">
            <v>BOLT,1/4-20X2-1/2,HH,SS 18-8,26.5/#</v>
          </cell>
          <cell r="G223" t="str">
            <v>Bruker C7030</v>
          </cell>
          <cell r="AF223" t="str">
            <v>Yes</v>
          </cell>
        </row>
        <row r="224">
          <cell r="A224">
            <v>1500</v>
          </cell>
          <cell r="B224">
            <v>300417</v>
          </cell>
          <cell r="C224">
            <v>300417</v>
          </cell>
          <cell r="D224">
            <v>75</v>
          </cell>
          <cell r="F224" t="str">
            <v>NUT,1/4-20HH,SS,FN49 142/#</v>
          </cell>
          <cell r="G224" t="str">
            <v>Bruker C7030</v>
          </cell>
          <cell r="AF224" t="str">
            <v>Yes</v>
          </cell>
        </row>
        <row r="225">
          <cell r="A225">
            <v>1500</v>
          </cell>
          <cell r="B225">
            <v>300828</v>
          </cell>
          <cell r="C225">
            <v>300828</v>
          </cell>
          <cell r="D225">
            <v>150</v>
          </cell>
          <cell r="F225" t="str">
            <v>WSHR,.281X5/8ODX.050,SS,6/MRI,11DR/J*</v>
          </cell>
          <cell r="G225" t="str">
            <v>Bruker C7030</v>
          </cell>
          <cell r="AF225" t="str">
            <v>Yes</v>
          </cell>
        </row>
        <row r="226">
          <cell r="B226">
            <v>0</v>
          </cell>
          <cell r="F226" t="str">
            <v/>
          </cell>
        </row>
        <row r="227">
          <cell r="A227">
            <v>1500</v>
          </cell>
          <cell r="B227">
            <v>1677564</v>
          </cell>
          <cell r="C227">
            <v>1677564</v>
          </cell>
          <cell r="D227">
            <v>1</v>
          </cell>
          <cell r="F227" t="str">
            <v>VENT,CRYO SS 8x42-1/16 BRUKER TAPER 36</v>
          </cell>
          <cell r="G227" t="str">
            <v>Bruker P7016</v>
          </cell>
          <cell r="AF227" t="str">
            <v>Yes</v>
          </cell>
        </row>
        <row r="228">
          <cell r="A228">
            <v>1500</v>
          </cell>
          <cell r="B228">
            <v>207076</v>
          </cell>
          <cell r="C228">
            <v>207076</v>
          </cell>
          <cell r="D228">
            <v>40</v>
          </cell>
          <cell r="F228" t="str">
            <v>SCR,M5-0.8X20mm,PN,PH,STL,ZN</v>
          </cell>
          <cell r="G228" t="str">
            <v>Bruker P7016</v>
          </cell>
          <cell r="AF228" t="str">
            <v>Yes</v>
          </cell>
        </row>
        <row r="229">
          <cell r="A229">
            <v>1500</v>
          </cell>
          <cell r="B229">
            <v>300966</v>
          </cell>
          <cell r="C229">
            <v>300966</v>
          </cell>
          <cell r="D229">
            <v>40</v>
          </cell>
          <cell r="F229" t="str">
            <v>WSHR,M5,FLAT,SS,18-8,PASSIVATE*</v>
          </cell>
          <cell r="G229" t="str">
            <v>Bruker P7016</v>
          </cell>
          <cell r="AF229" t="str">
            <v>Yes</v>
          </cell>
        </row>
        <row r="230">
          <cell r="B230">
            <v>0</v>
          </cell>
          <cell r="F230" t="str">
            <v/>
          </cell>
        </row>
        <row r="231">
          <cell r="A231">
            <v>1500</v>
          </cell>
          <cell r="B231">
            <v>1677564</v>
          </cell>
          <cell r="C231">
            <v>1677564</v>
          </cell>
          <cell r="D231">
            <v>1</v>
          </cell>
          <cell r="F231" t="str">
            <v>VENT,CRYO SS 8x42-1/16 BRUKER TAPER 36</v>
          </cell>
          <cell r="G231" t="str">
            <v>Bruker B9430</v>
          </cell>
          <cell r="AF231" t="str">
            <v>Yes</v>
          </cell>
        </row>
        <row r="232">
          <cell r="A232">
            <v>1500</v>
          </cell>
          <cell r="B232">
            <v>207076</v>
          </cell>
          <cell r="C232">
            <v>207076</v>
          </cell>
          <cell r="D232">
            <v>40</v>
          </cell>
          <cell r="F232" t="str">
            <v>SCR,M5-0.8X20mm,PN,PH,STL,ZN</v>
          </cell>
          <cell r="G232" t="str">
            <v>Bruker B9430</v>
          </cell>
          <cell r="AF232" t="str">
            <v>Yes</v>
          </cell>
        </row>
        <row r="233">
          <cell r="A233">
            <v>1500</v>
          </cell>
          <cell r="B233">
            <v>300966</v>
          </cell>
          <cell r="C233">
            <v>300966</v>
          </cell>
          <cell r="D233">
            <v>40</v>
          </cell>
          <cell r="F233" t="str">
            <v>WSHR,M5,FLAT,SS,18-8,PASSIVATE*</v>
          </cell>
          <cell r="G233" t="str">
            <v>Bruker B9430</v>
          </cell>
        </row>
        <row r="234">
          <cell r="A234">
            <v>1500</v>
          </cell>
          <cell r="B234">
            <v>702170</v>
          </cell>
          <cell r="C234">
            <v>702170</v>
          </cell>
          <cell r="D234">
            <v>1</v>
          </cell>
          <cell r="F234" t="str">
            <v>VENT,WG,ALUM,24X24X4</v>
          </cell>
          <cell r="G234" t="str">
            <v>Pressure Relief</v>
          </cell>
          <cell r="AF234" t="str">
            <v>Yes</v>
          </cell>
        </row>
        <row r="235">
          <cell r="F235" t="str">
            <v/>
          </cell>
        </row>
        <row r="236">
          <cell r="F236" t="str">
            <v/>
          </cell>
          <cell r="G236" t="str">
            <v>Std Package</v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</sheetData>
      <sheetData sheetId="34" refreshError="1">
        <row r="3">
          <cell r="E3">
            <v>1</v>
          </cell>
          <cell r="G3" t="str">
            <v>Cell</v>
          </cell>
          <cell r="CF3" t="str">
            <v>Select Magnet</v>
          </cell>
        </row>
        <row r="4">
          <cell r="CF4" t="str">
            <v>Philips-1.5T</v>
          </cell>
        </row>
        <row r="5">
          <cell r="CF5" t="str">
            <v>Philips-3T</v>
          </cell>
        </row>
        <row r="6">
          <cell r="E6" t="str">
            <v>MD#####</v>
          </cell>
          <cell r="CF6" t="str">
            <v>GE-HDX-1.5</v>
          </cell>
        </row>
        <row r="7">
          <cell r="CF7" t="str">
            <v>GE-Signa-1.5</v>
          </cell>
        </row>
        <row r="8">
          <cell r="CF8" t="str">
            <v>GE-MR750-3</v>
          </cell>
        </row>
        <row r="9">
          <cell r="CF9" t="str">
            <v>GE-MR450-1.5</v>
          </cell>
        </row>
        <row r="10">
          <cell r="CF10" t="str">
            <v>GE-HDE-1.5</v>
          </cell>
        </row>
        <row r="11">
          <cell r="CF11" t="str">
            <v>GE-Ovation-.35</v>
          </cell>
        </row>
        <row r="12">
          <cell r="CF12" t="str">
            <v>GE-Openspeed-.7</v>
          </cell>
        </row>
        <row r="13">
          <cell r="CF13" t="str">
            <v>GE-Profile-.2</v>
          </cell>
        </row>
        <row r="14">
          <cell r="CF14" t="str">
            <v>SIEMENS-1.5</v>
          </cell>
        </row>
        <row r="15">
          <cell r="CF15" t="str">
            <v>SIEMENS-3</v>
          </cell>
        </row>
        <row r="16">
          <cell r="CF16" t="str">
            <v>SIEMENS-.2</v>
          </cell>
        </row>
        <row r="17">
          <cell r="CF17" t="str">
            <v>Toshiba</v>
          </cell>
        </row>
        <row r="18">
          <cell r="CF18" t="str">
            <v>Hitachi-Altaire</v>
          </cell>
        </row>
        <row r="19">
          <cell r="CF19" t="str">
            <v>Hitachi-Airis</v>
          </cell>
        </row>
        <row r="20">
          <cell r="CF20" t="str">
            <v>Hitachi-Oasis</v>
          </cell>
        </row>
        <row r="21">
          <cell r="CF21" t="str">
            <v>ONI-1T</v>
          </cell>
        </row>
        <row r="22">
          <cell r="CF22" t="str">
            <v>ONI-1.5T</v>
          </cell>
        </row>
        <row r="23">
          <cell r="CF23" t="str">
            <v>Aurora</v>
          </cell>
        </row>
        <row r="24">
          <cell r="CF24" t="str">
            <v>Bruker</v>
          </cell>
        </row>
        <row r="25">
          <cell r="U25" t="str">
            <v>No</v>
          </cell>
          <cell r="CF25" t="str">
            <v>IMRIS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74">
          <cell r="K74">
            <v>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1">
          <cell r="I1">
            <v>57.65</v>
          </cell>
        </row>
      </sheetData>
      <sheetData sheetId="41" refreshError="1">
        <row r="204">
          <cell r="H204" t="str">
            <v>Select State</v>
          </cell>
        </row>
        <row r="206">
          <cell r="H206" t="str">
            <v>Alabama</v>
          </cell>
        </row>
        <row r="207">
          <cell r="H207" t="str">
            <v>Alaska</v>
          </cell>
        </row>
        <row r="208">
          <cell r="H208" t="str">
            <v>Arizona</v>
          </cell>
        </row>
        <row r="209">
          <cell r="H209" t="str">
            <v>Arkansas</v>
          </cell>
        </row>
        <row r="210">
          <cell r="H210" t="str">
            <v>California</v>
          </cell>
        </row>
        <row r="211">
          <cell r="H211" t="str">
            <v>Canada</v>
          </cell>
        </row>
        <row r="212">
          <cell r="H212" t="str">
            <v>Colorado</v>
          </cell>
        </row>
        <row r="213">
          <cell r="H213" t="str">
            <v>Connecticut</v>
          </cell>
        </row>
        <row r="214">
          <cell r="H214" t="str">
            <v>Deleware</v>
          </cell>
        </row>
        <row r="215">
          <cell r="H215" t="str">
            <v xml:space="preserve">Dist of Columbia </v>
          </cell>
        </row>
        <row r="216">
          <cell r="H216" t="str">
            <v>Florida</v>
          </cell>
        </row>
        <row r="217">
          <cell r="H217" t="str">
            <v>Georgia</v>
          </cell>
        </row>
        <row r="218">
          <cell r="H218" t="str">
            <v>Hawaii</v>
          </cell>
        </row>
        <row r="219">
          <cell r="H219" t="str">
            <v>Idaho</v>
          </cell>
        </row>
        <row r="220">
          <cell r="H220" t="str">
            <v>Illinois</v>
          </cell>
        </row>
        <row r="221">
          <cell r="H221" t="str">
            <v>Indiana</v>
          </cell>
        </row>
        <row r="222">
          <cell r="H222" t="str">
            <v>Iowa</v>
          </cell>
        </row>
        <row r="223">
          <cell r="H223" t="str">
            <v>Kansas</v>
          </cell>
        </row>
        <row r="224">
          <cell r="H224" t="str">
            <v>Kentucky</v>
          </cell>
        </row>
        <row r="225">
          <cell r="H225" t="str">
            <v>Louisiana</v>
          </cell>
        </row>
        <row r="226">
          <cell r="H226" t="str">
            <v>Maine</v>
          </cell>
        </row>
        <row r="227">
          <cell r="H227" t="str">
            <v>Maryland</v>
          </cell>
        </row>
        <row r="228">
          <cell r="H228" t="str">
            <v>Massachusetts</v>
          </cell>
        </row>
        <row r="229">
          <cell r="H229" t="str">
            <v>Michigan</v>
          </cell>
        </row>
        <row r="230">
          <cell r="H230" t="str">
            <v>Minnesota</v>
          </cell>
        </row>
        <row r="231">
          <cell r="H231" t="str">
            <v>Mississippi</v>
          </cell>
        </row>
        <row r="232">
          <cell r="H232" t="str">
            <v>Missouri</v>
          </cell>
        </row>
        <row r="233">
          <cell r="H233" t="str">
            <v>Montana</v>
          </cell>
        </row>
        <row r="234">
          <cell r="H234" t="str">
            <v>Nebraska</v>
          </cell>
        </row>
        <row r="235">
          <cell r="H235" t="str">
            <v>Nevada</v>
          </cell>
        </row>
        <row r="236">
          <cell r="H236" t="str">
            <v>New Hampshire</v>
          </cell>
        </row>
        <row r="237">
          <cell r="H237" t="str">
            <v>New Jersey</v>
          </cell>
        </row>
        <row r="238">
          <cell r="H238" t="str">
            <v>New Mexico</v>
          </cell>
        </row>
        <row r="239">
          <cell r="H239" t="str">
            <v>New York</v>
          </cell>
        </row>
        <row r="240">
          <cell r="H240" t="str">
            <v>North Carolina</v>
          </cell>
        </row>
        <row r="241">
          <cell r="H241" t="str">
            <v>North Dakota</v>
          </cell>
        </row>
        <row r="242">
          <cell r="H242" t="str">
            <v>Ohio</v>
          </cell>
        </row>
        <row r="243">
          <cell r="H243" t="str">
            <v>Oklahoma</v>
          </cell>
        </row>
        <row r="244">
          <cell r="H244" t="str">
            <v>Oregon</v>
          </cell>
        </row>
        <row r="245">
          <cell r="H245" t="str">
            <v>Pennsylvania</v>
          </cell>
        </row>
        <row r="246">
          <cell r="H246" t="str">
            <v>Rhode Island</v>
          </cell>
        </row>
        <row r="247">
          <cell r="H247" t="str">
            <v>South Carolina</v>
          </cell>
        </row>
        <row r="248">
          <cell r="H248" t="str">
            <v>South Dakota</v>
          </cell>
        </row>
        <row r="249">
          <cell r="H249" t="str">
            <v>Tennessee</v>
          </cell>
        </row>
        <row r="250">
          <cell r="H250" t="str">
            <v>Texas</v>
          </cell>
        </row>
        <row r="251">
          <cell r="H251" t="str">
            <v>Utah</v>
          </cell>
        </row>
        <row r="252">
          <cell r="H252" t="str">
            <v>Vermont</v>
          </cell>
        </row>
        <row r="253">
          <cell r="H253" t="str">
            <v>Virginia</v>
          </cell>
        </row>
        <row r="254">
          <cell r="H254" t="str">
            <v>Washington</v>
          </cell>
        </row>
        <row r="255">
          <cell r="H255" t="str">
            <v>West Virginia</v>
          </cell>
        </row>
        <row r="256">
          <cell r="H256" t="str">
            <v>Wisconsin</v>
          </cell>
        </row>
        <row r="257">
          <cell r="H257" t="str">
            <v>Wyoming</v>
          </cell>
        </row>
      </sheetData>
      <sheetData sheetId="42" refreshError="1">
        <row r="1">
          <cell r="A1">
            <v>100000</v>
          </cell>
          <cell r="B1" t="str">
            <v>KEY,FOR SWITCH/HMI #ZBG455 (SET OF 2)</v>
          </cell>
          <cell r="C1" t="str">
            <v>EA</v>
          </cell>
          <cell r="D1" t="str">
            <v>MA100</v>
          </cell>
          <cell r="E1">
            <v>3.51</v>
          </cell>
          <cell r="G1">
            <v>100000</v>
          </cell>
        </row>
        <row r="2">
          <cell r="A2">
            <v>100064</v>
          </cell>
          <cell r="B2" t="str">
            <v>3M SANDING DISC 6" (P80+) #86820</v>
          </cell>
          <cell r="C2" t="str">
            <v>EA</v>
          </cell>
          <cell r="D2" t="str">
            <v>RM100</v>
          </cell>
          <cell r="E2">
            <v>1.1399999999999999</v>
          </cell>
          <cell r="G2">
            <v>100064</v>
          </cell>
        </row>
        <row r="3">
          <cell r="A3">
            <v>100202</v>
          </cell>
          <cell r="B3" t="str">
            <v>LABEL,DEI DOOR SHIELDING</v>
          </cell>
          <cell r="C3" t="str">
            <v>EA</v>
          </cell>
          <cell r="D3" t="str">
            <v>RM100</v>
          </cell>
          <cell r="E3">
            <v>0.56999999999999995</v>
          </cell>
          <cell r="G3">
            <v>100202</v>
          </cell>
        </row>
        <row r="4">
          <cell r="A4">
            <v>100203</v>
          </cell>
          <cell r="B4" t="str">
            <v>LBL,DANGER 5-3/4"X4-1/4" PRES SEN BACK</v>
          </cell>
          <cell r="C4" t="str">
            <v>EA</v>
          </cell>
          <cell r="D4" t="str">
            <v>RM100</v>
          </cell>
          <cell r="E4">
            <v>0.95</v>
          </cell>
          <cell r="G4">
            <v>100203</v>
          </cell>
        </row>
        <row r="5">
          <cell r="A5">
            <v>100252</v>
          </cell>
          <cell r="B5" t="str">
            <v>N-PLATE,ETSL 1.250" X1.688" X .063"BRSH</v>
          </cell>
          <cell r="C5" t="str">
            <v>EA</v>
          </cell>
          <cell r="D5" t="str">
            <v>RM100</v>
          </cell>
          <cell r="E5">
            <v>1.1599999999999999</v>
          </cell>
          <cell r="G5">
            <v>100252</v>
          </cell>
        </row>
        <row r="6">
          <cell r="A6">
            <v>100253</v>
          </cell>
          <cell r="B6" t="str">
            <v>N-PLATE,ETSL 2.5"X5"X1/8"</v>
          </cell>
          <cell r="C6" t="str">
            <v>EA</v>
          </cell>
          <cell r="D6" t="str">
            <v>RM100</v>
          </cell>
          <cell r="E6">
            <v>3.77</v>
          </cell>
          <cell r="G6">
            <v>100253</v>
          </cell>
        </row>
        <row r="7">
          <cell r="A7">
            <v>100310</v>
          </cell>
          <cell r="B7" t="str">
            <v>TAPE,TESA#4965 CLR DBL/SIDED 1/2"X36YDS*</v>
          </cell>
          <cell r="C7" t="str">
            <v>RL</v>
          </cell>
          <cell r="D7" t="str">
            <v>RM100</v>
          </cell>
          <cell r="E7">
            <v>4.97</v>
          </cell>
          <cell r="G7">
            <v>100310</v>
          </cell>
        </row>
        <row r="8">
          <cell r="A8">
            <v>100318</v>
          </cell>
          <cell r="B8" t="str">
            <v>TAPE,DUCT 3M #3939 ECON SIL 2"X60YDS</v>
          </cell>
          <cell r="C8" t="str">
            <v>RL</v>
          </cell>
          <cell r="D8" t="str">
            <v>RM100</v>
          </cell>
          <cell r="E8">
            <v>6.2</v>
          </cell>
          <cell r="G8">
            <v>100318</v>
          </cell>
        </row>
        <row r="9">
          <cell r="A9">
            <v>100421</v>
          </cell>
          <cell r="B9" t="str">
            <v>ADH,TEC #713 4-GAL,TILE FLOOR DEI/CELL*</v>
          </cell>
          <cell r="C9" t="str">
            <v>EA</v>
          </cell>
          <cell r="D9" t="str">
            <v>RM100</v>
          </cell>
          <cell r="E9">
            <v>36.25</v>
          </cell>
          <cell r="G9">
            <v>100421</v>
          </cell>
        </row>
        <row r="10">
          <cell r="A10">
            <v>100422</v>
          </cell>
          <cell r="B10" t="str">
            <v>TILE,VCT.125 ARMSTRONG T4003 QUARTZ</v>
          </cell>
          <cell r="C10" t="str">
            <v>EA</v>
          </cell>
          <cell r="D10" t="str">
            <v>RM100</v>
          </cell>
          <cell r="E10">
            <v>0.55532999999999999</v>
          </cell>
          <cell r="G10">
            <v>100422</v>
          </cell>
        </row>
        <row r="11">
          <cell r="A11">
            <v>100500</v>
          </cell>
          <cell r="B11" t="str">
            <v>SAND BAR,COARSE(36GRIT), 1"X2.75"X3.75"</v>
          </cell>
          <cell r="C11" t="str">
            <v>EA</v>
          </cell>
          <cell r="D11" t="str">
            <v>RM100</v>
          </cell>
          <cell r="E11">
            <v>0.78769999999999996</v>
          </cell>
          <cell r="G11">
            <v>100500</v>
          </cell>
        </row>
        <row r="12">
          <cell r="A12" t="str">
            <v>100503E</v>
          </cell>
          <cell r="B12" t="str">
            <v>SAND PAD,ABRASIVE,6"X9",BRWN</v>
          </cell>
          <cell r="C12" t="str">
            <v>EA</v>
          </cell>
          <cell r="D12" t="str">
            <v>RM100</v>
          </cell>
          <cell r="E12">
            <v>1.2497</v>
          </cell>
          <cell r="G12" t="str">
            <v>100503E</v>
          </cell>
        </row>
        <row r="13">
          <cell r="A13">
            <v>100505</v>
          </cell>
          <cell r="B13" t="str">
            <v>RESPIRATOR, MASK N95</v>
          </cell>
          <cell r="C13" t="str">
            <v>EA</v>
          </cell>
          <cell r="D13" t="str">
            <v>RM100</v>
          </cell>
          <cell r="E13">
            <v>1.008</v>
          </cell>
          <cell r="G13">
            <v>100505</v>
          </cell>
        </row>
        <row r="14">
          <cell r="A14">
            <v>100510</v>
          </cell>
          <cell r="B14" t="str">
            <v>LED LIGHT BAR, 12" LG, LUMEX, 3.3W/24VDC</v>
          </cell>
          <cell r="C14" t="str">
            <v>EA</v>
          </cell>
          <cell r="D14" t="str">
            <v>MA100</v>
          </cell>
          <cell r="E14">
            <v>16.12</v>
          </cell>
          <cell r="G14">
            <v>100510</v>
          </cell>
        </row>
        <row r="15">
          <cell r="A15">
            <v>100511</v>
          </cell>
          <cell r="B15" t="str">
            <v>POWER CABLE, 12" LG, LUMEX</v>
          </cell>
          <cell r="C15" t="str">
            <v>EA</v>
          </cell>
          <cell r="D15" t="str">
            <v>MA100</v>
          </cell>
          <cell r="E15">
            <v>2.72</v>
          </cell>
          <cell r="G15">
            <v>100511</v>
          </cell>
        </row>
        <row r="16">
          <cell r="A16">
            <v>100600</v>
          </cell>
          <cell r="B16" t="str">
            <v>CLOTH, 12" X 12" TERRY WASHCLOTH - WHITE</v>
          </cell>
          <cell r="C16" t="str">
            <v>LB</v>
          </cell>
          <cell r="D16" t="str">
            <v>RM100</v>
          </cell>
          <cell r="E16">
            <v>1.9</v>
          </cell>
          <cell r="G16">
            <v>100600</v>
          </cell>
        </row>
        <row r="17">
          <cell r="A17">
            <v>100601</v>
          </cell>
          <cell r="B17" t="str">
            <v>PAIL,5-GAL PLASTIC,NO LID WIRE HDL*</v>
          </cell>
          <cell r="C17" t="str">
            <v>EA</v>
          </cell>
          <cell r="D17" t="str">
            <v>RM100</v>
          </cell>
          <cell r="E17">
            <v>3.06</v>
          </cell>
          <cell r="G17">
            <v>100601</v>
          </cell>
        </row>
        <row r="18">
          <cell r="A18">
            <v>100605</v>
          </cell>
          <cell r="B18" t="str">
            <v>TROWEL,1/8" x 1/8" x 1/16" FLAT V-NOTCH</v>
          </cell>
          <cell r="C18" t="str">
            <v>EA</v>
          </cell>
          <cell r="D18" t="str">
            <v>RM100</v>
          </cell>
          <cell r="E18">
            <v>2.85</v>
          </cell>
          <cell r="G18">
            <v>100605</v>
          </cell>
        </row>
        <row r="19">
          <cell r="A19">
            <v>100606</v>
          </cell>
          <cell r="B19" t="str">
            <v>GLOVES, SIZE XL ANSELL 92-675 100/BX *</v>
          </cell>
          <cell r="C19" t="str">
            <v>EA</v>
          </cell>
          <cell r="D19" t="str">
            <v>RM100</v>
          </cell>
          <cell r="E19">
            <v>8.2299999999999998E-2</v>
          </cell>
          <cell r="G19">
            <v>100606</v>
          </cell>
        </row>
        <row r="20">
          <cell r="A20">
            <v>100607</v>
          </cell>
          <cell r="B20" t="str">
            <v>PANTS,TYVEK XL WHITE 50/CASE</v>
          </cell>
          <cell r="C20" t="str">
            <v>EA</v>
          </cell>
          <cell r="D20" t="str">
            <v>RM100</v>
          </cell>
          <cell r="E20">
            <v>2.79</v>
          </cell>
          <cell r="G20">
            <v>100607</v>
          </cell>
        </row>
        <row r="21">
          <cell r="A21">
            <v>100609</v>
          </cell>
          <cell r="B21" t="str">
            <v>BOOT COVER XL POLYPRO 150 PAIR/BOX</v>
          </cell>
          <cell r="C21" t="str">
            <v>EA</v>
          </cell>
          <cell r="D21" t="str">
            <v>RM100</v>
          </cell>
          <cell r="E21">
            <v>0.17663000000000001</v>
          </cell>
          <cell r="G21">
            <v>100609</v>
          </cell>
        </row>
        <row r="22">
          <cell r="A22">
            <v>100612</v>
          </cell>
          <cell r="B22" t="str">
            <v>TROWEL,1/16"X1/32"X5/64"U-SHAPE</v>
          </cell>
          <cell r="C22" t="str">
            <v>EA</v>
          </cell>
          <cell r="D22" t="str">
            <v>RM100</v>
          </cell>
          <cell r="E22">
            <v>2.75</v>
          </cell>
          <cell r="G22">
            <v>100612</v>
          </cell>
        </row>
        <row r="23">
          <cell r="A23">
            <v>100699</v>
          </cell>
          <cell r="B23" t="str">
            <v>TROWEL,1/8X1/8X1/8 SQ NOTCH</v>
          </cell>
          <cell r="C23" t="str">
            <v>EA</v>
          </cell>
          <cell r="D23" t="str">
            <v>RM100</v>
          </cell>
          <cell r="E23">
            <v>2.75</v>
          </cell>
          <cell r="G23">
            <v>100699</v>
          </cell>
        </row>
        <row r="24">
          <cell r="A24">
            <v>100703</v>
          </cell>
          <cell r="B24" t="str">
            <v>UNDERLAYMENT,SIKAGROUT-212 (50# BG)</v>
          </cell>
          <cell r="C24" t="str">
            <v>EA</v>
          </cell>
          <cell r="D24" t="str">
            <v>RM100</v>
          </cell>
          <cell r="E24">
            <v>11.22</v>
          </cell>
          <cell r="G24">
            <v>100703</v>
          </cell>
        </row>
        <row r="25">
          <cell r="A25">
            <v>100801</v>
          </cell>
          <cell r="B25" t="str">
            <v>3M ADH, HOT-MELT, 6111HT,BLUE</v>
          </cell>
          <cell r="C25" t="str">
            <v>LB</v>
          </cell>
          <cell r="D25" t="str">
            <v>MA100</v>
          </cell>
          <cell r="E25">
            <v>15.19772</v>
          </cell>
          <cell r="G25">
            <v>100801</v>
          </cell>
        </row>
        <row r="26">
          <cell r="A26">
            <v>100802</v>
          </cell>
          <cell r="B26" t="str">
            <v>ADH,CONT,(SOLVENT BASED)</v>
          </cell>
          <cell r="C26" t="str">
            <v>LB</v>
          </cell>
          <cell r="D26" t="str">
            <v>RM100</v>
          </cell>
          <cell r="E26">
            <v>4.5141200000000001</v>
          </cell>
          <cell r="G26">
            <v>100802</v>
          </cell>
        </row>
        <row r="27">
          <cell r="A27">
            <v>100803</v>
          </cell>
          <cell r="B27" t="str">
            <v>3M ADH,HOT-MELT, 3794B</v>
          </cell>
          <cell r="C27" t="str">
            <v>LB</v>
          </cell>
          <cell r="D27" t="str">
            <v>RM100</v>
          </cell>
          <cell r="E27">
            <v>15.00909</v>
          </cell>
          <cell r="G27">
            <v>100803</v>
          </cell>
        </row>
        <row r="28">
          <cell r="A28">
            <v>101002</v>
          </cell>
          <cell r="B28" t="str">
            <v>ASSY,WARNING LBL DIE BRK FOR WATERLINES</v>
          </cell>
          <cell r="C28" t="str">
            <v>EA</v>
          </cell>
          <cell r="D28" t="str">
            <v>MA100</v>
          </cell>
          <cell r="E28">
            <v>1.36084</v>
          </cell>
          <cell r="G28">
            <v>101002</v>
          </cell>
        </row>
        <row r="29">
          <cell r="A29">
            <v>103000</v>
          </cell>
          <cell r="B29" t="str">
            <v>GASKET, "D" SHAPE UNI-GRIP#SD-203-T</v>
          </cell>
          <cell r="C29" t="str">
            <v>FT</v>
          </cell>
          <cell r="D29" t="str">
            <v>RM100</v>
          </cell>
          <cell r="E29">
            <v>0.44</v>
          </cell>
          <cell r="G29">
            <v>103000</v>
          </cell>
        </row>
        <row r="30">
          <cell r="A30">
            <v>104030</v>
          </cell>
          <cell r="B30" t="str">
            <v>ADH,DAP#27450,10.3FL.OZ.(12/CASE)LO-VOC*</v>
          </cell>
          <cell r="C30" t="str">
            <v>EA</v>
          </cell>
          <cell r="D30" t="str">
            <v>RM100</v>
          </cell>
          <cell r="E30">
            <v>2.1353</v>
          </cell>
          <cell r="G30">
            <v>104030</v>
          </cell>
        </row>
        <row r="31">
          <cell r="A31">
            <v>104031</v>
          </cell>
          <cell r="B31" t="str">
            <v>ADH,DAP#27502,28 FL.OZ.(12/CASE)LO-VOC*</v>
          </cell>
          <cell r="C31" t="str">
            <v>EA</v>
          </cell>
          <cell r="D31" t="str">
            <v>RM100</v>
          </cell>
          <cell r="E31">
            <v>3.59</v>
          </cell>
          <cell r="G31">
            <v>104031</v>
          </cell>
        </row>
        <row r="32">
          <cell r="A32">
            <v>104048</v>
          </cell>
          <cell r="B32" t="str">
            <v>TILE,VINYL COND, CON#9 ESD1/8X12X12*</v>
          </cell>
          <cell r="C32" t="str">
            <v>EA</v>
          </cell>
          <cell r="D32" t="str">
            <v>RM100</v>
          </cell>
          <cell r="E32">
            <v>3.6</v>
          </cell>
          <cell r="G32">
            <v>104048</v>
          </cell>
        </row>
        <row r="33">
          <cell r="A33">
            <v>104052</v>
          </cell>
          <cell r="B33" t="str">
            <v>ADH,TILE VPI 165 COND,NON-HAZ 135SF/GL</v>
          </cell>
          <cell r="C33" t="str">
            <v>GA</v>
          </cell>
          <cell r="D33" t="str">
            <v>RM100</v>
          </cell>
          <cell r="E33">
            <v>80.27</v>
          </cell>
          <cell r="G33">
            <v>104052</v>
          </cell>
        </row>
        <row r="34">
          <cell r="A34">
            <v>104313</v>
          </cell>
          <cell r="B34" t="str">
            <v>TAPE,1/8 RUBBER SPG PSA 1SIDE 3/8 WIDE*</v>
          </cell>
          <cell r="C34" t="str">
            <v>FT</v>
          </cell>
          <cell r="D34" t="str">
            <v>RM100</v>
          </cell>
          <cell r="E34">
            <v>0.1022</v>
          </cell>
          <cell r="G34">
            <v>104313</v>
          </cell>
        </row>
        <row r="35">
          <cell r="A35">
            <v>104326</v>
          </cell>
          <cell r="B35" t="str">
            <v>TAPE,P8118X.625"X50' 3/16" THK  NEO/EPDM</v>
          </cell>
          <cell r="C35" t="str">
            <v>FT</v>
          </cell>
          <cell r="D35" t="str">
            <v>RM100</v>
          </cell>
          <cell r="E35">
            <v>0.12959999999999999</v>
          </cell>
          <cell r="G35">
            <v>104326</v>
          </cell>
        </row>
        <row r="36">
          <cell r="A36">
            <v>104328</v>
          </cell>
          <cell r="B36" t="str">
            <v>LBL,WARNING DIELECTRIC BRK FOR WATERLINE</v>
          </cell>
          <cell r="C36" t="str">
            <v>EA</v>
          </cell>
          <cell r="D36" t="str">
            <v>RM100</v>
          </cell>
          <cell r="E36">
            <v>0</v>
          </cell>
          <cell r="G36">
            <v>104328</v>
          </cell>
        </row>
        <row r="37">
          <cell r="A37">
            <v>104329</v>
          </cell>
          <cell r="B37" t="str">
            <v>TAG,PLAS INDUST MATTE FINISH 1-SIDE *</v>
          </cell>
          <cell r="C37" t="str">
            <v>EA</v>
          </cell>
          <cell r="D37" t="str">
            <v>RM100</v>
          </cell>
          <cell r="E37">
            <v>0.4</v>
          </cell>
          <cell r="G37">
            <v>104329</v>
          </cell>
        </row>
        <row r="38">
          <cell r="A38">
            <v>104330</v>
          </cell>
          <cell r="B38" t="str">
            <v>TAPE,A2 TRIM 3M DBL COATED 216FT PER RL</v>
          </cell>
          <cell r="C38" t="str">
            <v>FT</v>
          </cell>
          <cell r="D38" t="str">
            <v>RM100</v>
          </cell>
          <cell r="E38">
            <v>9.8849999999999993E-2</v>
          </cell>
          <cell r="G38">
            <v>104330</v>
          </cell>
        </row>
        <row r="39">
          <cell r="A39">
            <v>104367</v>
          </cell>
          <cell r="B39" t="str">
            <v>ADH, HENRY-TILE (1GAL)#430, 120 SQ.FT</v>
          </cell>
          <cell r="C39" t="str">
            <v>GA</v>
          </cell>
          <cell r="D39" t="str">
            <v>RM100</v>
          </cell>
          <cell r="E39">
            <v>12.15</v>
          </cell>
          <cell r="G39">
            <v>104367</v>
          </cell>
        </row>
        <row r="40">
          <cell r="A40">
            <v>104418</v>
          </cell>
          <cell r="B40" t="str">
            <v>PAD,ABRASIVE,MAROON, 6"x9"</v>
          </cell>
          <cell r="C40" t="str">
            <v>EA</v>
          </cell>
          <cell r="D40" t="str">
            <v>RM100</v>
          </cell>
          <cell r="E40">
            <v>0.59719999999999995</v>
          </cell>
          <cell r="G40">
            <v>104418</v>
          </cell>
        </row>
        <row r="41">
          <cell r="A41">
            <v>104419</v>
          </cell>
          <cell r="B41" t="str">
            <v>PAD,3M STCH-BRITE SURF.COND.5"DIA#04303*</v>
          </cell>
          <cell r="C41" t="str">
            <v>EA</v>
          </cell>
          <cell r="D41" t="str">
            <v>RM100</v>
          </cell>
          <cell r="E41">
            <v>2.78</v>
          </cell>
          <cell r="G41">
            <v>104419</v>
          </cell>
        </row>
        <row r="42">
          <cell r="A42">
            <v>104420</v>
          </cell>
          <cell r="B42" t="str">
            <v>PAD,STCH BRITE DISK HLDR FOR 3M 5"DIA*</v>
          </cell>
          <cell r="C42" t="str">
            <v>EA</v>
          </cell>
          <cell r="D42" t="str">
            <v>RM100</v>
          </cell>
          <cell r="E42">
            <v>19.72</v>
          </cell>
          <cell r="G42">
            <v>104420</v>
          </cell>
        </row>
        <row r="43">
          <cell r="A43">
            <v>104530</v>
          </cell>
          <cell r="B43" t="str">
            <v>LBL,SERVICE,1"X2.75"SILVER W/ BLK TEXT*</v>
          </cell>
          <cell r="C43" t="str">
            <v>EA</v>
          </cell>
          <cell r="D43" t="str">
            <v>RM100</v>
          </cell>
          <cell r="E43">
            <v>0.312</v>
          </cell>
          <cell r="G43">
            <v>104530</v>
          </cell>
        </row>
        <row r="44">
          <cell r="A44">
            <v>104827</v>
          </cell>
          <cell r="B44" t="str">
            <v>OBSOLETE</v>
          </cell>
          <cell r="C44" t="str">
            <v>EA</v>
          </cell>
          <cell r="D44" t="str">
            <v>RM100</v>
          </cell>
          <cell r="E44">
            <v>180</v>
          </cell>
          <cell r="G44">
            <v>104827</v>
          </cell>
        </row>
        <row r="45">
          <cell r="A45">
            <v>109000</v>
          </cell>
          <cell r="B45" t="str">
            <v>PANEL,OUTLET,4210,#2</v>
          </cell>
          <cell r="C45" t="str">
            <v>EA</v>
          </cell>
          <cell r="D45" t="str">
            <v>MA440</v>
          </cell>
          <cell r="E45">
            <v>0.16657</v>
          </cell>
          <cell r="G45">
            <v>109000</v>
          </cell>
        </row>
        <row r="46">
          <cell r="A46">
            <v>111233</v>
          </cell>
          <cell r="B46" t="str">
            <v>BASE,3164-06</v>
          </cell>
          <cell r="C46" t="str">
            <v>EA</v>
          </cell>
          <cell r="D46" t="str">
            <v>MA410</v>
          </cell>
          <cell r="E46">
            <v>50</v>
          </cell>
          <cell r="G46">
            <v>111233</v>
          </cell>
        </row>
        <row r="47">
          <cell r="A47">
            <v>119369</v>
          </cell>
          <cell r="B47" t="str">
            <v>LINER,RH,CU CORNER ASSY</v>
          </cell>
          <cell r="C47" t="str">
            <v>EA</v>
          </cell>
          <cell r="D47" t="str">
            <v>MA100</v>
          </cell>
          <cell r="E47">
            <v>15.88801</v>
          </cell>
          <cell r="G47">
            <v>119369</v>
          </cell>
        </row>
        <row r="48">
          <cell r="A48">
            <v>119370</v>
          </cell>
          <cell r="B48" t="str">
            <v>LINER,LH,CU CORNER ASSY</v>
          </cell>
          <cell r="C48" t="str">
            <v>EA</v>
          </cell>
          <cell r="D48" t="str">
            <v>MA100</v>
          </cell>
          <cell r="E48">
            <v>15.88801</v>
          </cell>
          <cell r="G48">
            <v>119370</v>
          </cell>
        </row>
        <row r="49">
          <cell r="A49">
            <v>119371</v>
          </cell>
          <cell r="B49" t="str">
            <v>LINER,STRAIGHT,CU CORNER ASSY</v>
          </cell>
          <cell r="C49" t="str">
            <v>EA</v>
          </cell>
          <cell r="D49" t="str">
            <v>MA100</v>
          </cell>
          <cell r="E49">
            <v>15.88801</v>
          </cell>
          <cell r="G49">
            <v>119371</v>
          </cell>
        </row>
        <row r="50">
          <cell r="A50">
            <v>119372</v>
          </cell>
          <cell r="B50" t="str">
            <v>EDGE,BACK,CU CORNER ASSY</v>
          </cell>
          <cell r="C50" t="str">
            <v>EA</v>
          </cell>
          <cell r="D50" t="str">
            <v>MA100</v>
          </cell>
          <cell r="E50">
            <v>6.2479500000000003</v>
          </cell>
          <cell r="G50">
            <v>119372</v>
          </cell>
        </row>
        <row r="51">
          <cell r="A51">
            <v>120940</v>
          </cell>
          <cell r="B51" t="str">
            <v>KIT  DC FAN ASSEMBLY 24V 180MM</v>
          </cell>
          <cell r="C51" t="str">
            <v>EA</v>
          </cell>
          <cell r="D51" t="str">
            <v>MA100</v>
          </cell>
          <cell r="E51">
            <v>137.57857999999999</v>
          </cell>
          <cell r="G51">
            <v>120940</v>
          </cell>
        </row>
        <row r="52">
          <cell r="A52">
            <v>121270</v>
          </cell>
          <cell r="B52" t="str">
            <v>LED WALL PLATE,ICT</v>
          </cell>
          <cell r="C52" t="str">
            <v>EA</v>
          </cell>
          <cell r="D52" t="str">
            <v>RM100</v>
          </cell>
          <cell r="E52">
            <v>31</v>
          </cell>
          <cell r="G52">
            <v>121270</v>
          </cell>
        </row>
        <row r="53">
          <cell r="A53">
            <v>122006</v>
          </cell>
          <cell r="B53" t="str">
            <v>ICT SPACER,0.75"</v>
          </cell>
          <cell r="C53" t="str">
            <v>EA</v>
          </cell>
          <cell r="D53" t="str">
            <v>MA100</v>
          </cell>
          <cell r="E53">
            <v>71.95</v>
          </cell>
          <cell r="G53">
            <v>122006</v>
          </cell>
        </row>
        <row r="54">
          <cell r="A54">
            <v>122007</v>
          </cell>
          <cell r="B54" t="str">
            <v>ICT SPACER,0.125"</v>
          </cell>
          <cell r="C54" t="str">
            <v>EA</v>
          </cell>
          <cell r="D54" t="str">
            <v>MA100</v>
          </cell>
          <cell r="E54">
            <v>17.350000000000001</v>
          </cell>
          <cell r="G54">
            <v>122007</v>
          </cell>
        </row>
        <row r="55">
          <cell r="A55">
            <v>122049</v>
          </cell>
          <cell r="B55" t="str">
            <v>CH BRACKET-1,DEI,AUTOLATCH</v>
          </cell>
          <cell r="C55" t="str">
            <v>EA</v>
          </cell>
          <cell r="D55" t="str">
            <v>MA100</v>
          </cell>
          <cell r="E55">
            <v>25</v>
          </cell>
          <cell r="G55">
            <v>122049</v>
          </cell>
        </row>
        <row r="56">
          <cell r="A56">
            <v>122050</v>
          </cell>
          <cell r="B56" t="str">
            <v>CH BRACKET-2,DEI,AUTOLATCH</v>
          </cell>
          <cell r="C56" t="str">
            <v>EA</v>
          </cell>
          <cell r="D56" t="str">
            <v>MA100</v>
          </cell>
          <cell r="E56">
            <v>50</v>
          </cell>
          <cell r="G56">
            <v>122050</v>
          </cell>
        </row>
        <row r="57">
          <cell r="A57">
            <v>122051</v>
          </cell>
          <cell r="B57" t="str">
            <v>CH BRACKET-3,DEI,AUTOLATCH</v>
          </cell>
          <cell r="C57" t="str">
            <v>EA</v>
          </cell>
          <cell r="D57" t="str">
            <v>MA100</v>
          </cell>
          <cell r="E57">
            <v>75</v>
          </cell>
          <cell r="G57">
            <v>122051</v>
          </cell>
        </row>
        <row r="58">
          <cell r="A58">
            <v>122053</v>
          </cell>
          <cell r="B58" t="str">
            <v>BASE WELDMENT,RH,DEI,AUTOLATCH</v>
          </cell>
          <cell r="C58" t="str">
            <v>EA</v>
          </cell>
          <cell r="D58" t="str">
            <v>MA100</v>
          </cell>
          <cell r="E58">
            <v>144.066</v>
          </cell>
          <cell r="G58">
            <v>122053</v>
          </cell>
        </row>
        <row r="59">
          <cell r="A59">
            <v>122057</v>
          </cell>
          <cell r="B59" t="str">
            <v>LATCHBAR WELDMENT,RH,DEI,AUTOLATCH</v>
          </cell>
          <cell r="C59" t="str">
            <v>EA</v>
          </cell>
          <cell r="D59" t="str">
            <v>MA100</v>
          </cell>
          <cell r="E59">
            <v>15.342499999999999</v>
          </cell>
          <cell r="G59">
            <v>122057</v>
          </cell>
        </row>
        <row r="60">
          <cell r="A60">
            <v>122117</v>
          </cell>
          <cell r="B60" t="str">
            <v>ASSY,JAMB,DEI,RH,AUTOLATCH</v>
          </cell>
          <cell r="C60" t="str">
            <v>EA</v>
          </cell>
          <cell r="D60" t="str">
            <v>MA100</v>
          </cell>
          <cell r="E60">
            <v>865.10652000000005</v>
          </cell>
          <cell r="G60">
            <v>122117</v>
          </cell>
        </row>
        <row r="61">
          <cell r="A61">
            <v>122137</v>
          </cell>
          <cell r="B61" t="str">
            <v>AUTOLATCH TRIM,DEI</v>
          </cell>
          <cell r="C61" t="str">
            <v>EA</v>
          </cell>
          <cell r="D61" t="str">
            <v>MA100</v>
          </cell>
          <cell r="E61">
            <v>100</v>
          </cell>
          <cell r="G61">
            <v>122137</v>
          </cell>
        </row>
        <row r="62">
          <cell r="A62">
            <v>122138</v>
          </cell>
          <cell r="B62" t="str">
            <v>THREADED INSERT,DEI,AUTOLATCH</v>
          </cell>
          <cell r="C62" t="str">
            <v>EA</v>
          </cell>
          <cell r="D62" t="str">
            <v>MA100</v>
          </cell>
          <cell r="E62">
            <v>50</v>
          </cell>
          <cell r="G62">
            <v>122138</v>
          </cell>
        </row>
        <row r="63">
          <cell r="A63">
            <v>122139</v>
          </cell>
          <cell r="B63" t="str">
            <v>ASSM,DOOR,DEI,AUTOLATCH,3x7</v>
          </cell>
          <cell r="C63" t="str">
            <v>EA</v>
          </cell>
          <cell r="D63" t="str">
            <v>MA100</v>
          </cell>
          <cell r="E63">
            <v>2042.4802199999999</v>
          </cell>
          <cell r="G63">
            <v>122139</v>
          </cell>
        </row>
        <row r="64">
          <cell r="A64">
            <v>122142</v>
          </cell>
          <cell r="B64" t="str">
            <v>AUTOLATCH,ASSY,RH,DEI</v>
          </cell>
          <cell r="C64" t="str">
            <v>EA</v>
          </cell>
          <cell r="D64" t="str">
            <v>MA100</v>
          </cell>
          <cell r="E64">
            <v>2264</v>
          </cell>
          <cell r="G64">
            <v>122142</v>
          </cell>
        </row>
        <row r="65">
          <cell r="A65">
            <v>122143</v>
          </cell>
          <cell r="B65" t="str">
            <v>ASSM, DR/JB,DEI,AUTOLATCH,RH-OS</v>
          </cell>
          <cell r="C65" t="str">
            <v>EA</v>
          </cell>
          <cell r="D65" t="str">
            <v>MA100</v>
          </cell>
          <cell r="E65">
            <v>8121.3189400000001</v>
          </cell>
          <cell r="G65">
            <v>122143</v>
          </cell>
        </row>
        <row r="66">
          <cell r="A66">
            <v>123485</v>
          </cell>
          <cell r="B66" t="str">
            <v>KIT ELECTRICAL DEI AUTOLATCH DOOR</v>
          </cell>
          <cell r="C66" t="str">
            <v>EA</v>
          </cell>
          <cell r="D66" t="str">
            <v>MA100</v>
          </cell>
          <cell r="E66">
            <v>1748.66</v>
          </cell>
          <cell r="G66">
            <v>123485</v>
          </cell>
        </row>
        <row r="67">
          <cell r="A67">
            <v>123495</v>
          </cell>
          <cell r="B67" t="str">
            <v>ASSY DEI AUTOLATCH DOOR CONTROLLER</v>
          </cell>
          <cell r="C67" t="str">
            <v>EA</v>
          </cell>
          <cell r="D67" t="str">
            <v>MA100</v>
          </cell>
          <cell r="E67">
            <v>959.32812000000001</v>
          </cell>
          <cell r="G67">
            <v>123495</v>
          </cell>
        </row>
        <row r="68">
          <cell r="A68">
            <v>123662</v>
          </cell>
          <cell r="B68" t="str">
            <v>BRKT,SENSOR MOUNT,DEI</v>
          </cell>
          <cell r="C68" t="str">
            <v>EA</v>
          </cell>
          <cell r="D68" t="str">
            <v>MA100</v>
          </cell>
          <cell r="E68">
            <v>11.631119999999999</v>
          </cell>
          <cell r="G68">
            <v>123662</v>
          </cell>
        </row>
        <row r="69">
          <cell r="A69">
            <v>123664</v>
          </cell>
          <cell r="B69" t="str">
            <v>BRKT,ASSY,RELAY,DEI</v>
          </cell>
          <cell r="C69" t="str">
            <v>EA</v>
          </cell>
          <cell r="D69" t="str">
            <v>MA100</v>
          </cell>
          <cell r="E69">
            <v>11.88029</v>
          </cell>
          <cell r="G69">
            <v>123664</v>
          </cell>
        </row>
        <row r="70">
          <cell r="A70">
            <v>123752</v>
          </cell>
          <cell r="B70" t="str">
            <v>JAMB HEADER, 42-inch, MOBILE EVO</v>
          </cell>
          <cell r="C70" t="str">
            <v>EA</v>
          </cell>
          <cell r="D70" t="str">
            <v>RM100</v>
          </cell>
          <cell r="E70">
            <v>105.61</v>
          </cell>
          <cell r="G70">
            <v>123752</v>
          </cell>
        </row>
        <row r="71">
          <cell r="A71">
            <v>123753</v>
          </cell>
          <cell r="B71" t="str">
            <v>THRESHOLD,38 CUSTOM,EVO</v>
          </cell>
          <cell r="C71" t="str">
            <v>EA</v>
          </cell>
          <cell r="D71" t="str">
            <v>RM100</v>
          </cell>
          <cell r="E71">
            <v>51.88</v>
          </cell>
          <cell r="G71">
            <v>123753</v>
          </cell>
        </row>
        <row r="72">
          <cell r="A72">
            <v>123754</v>
          </cell>
          <cell r="B72" t="str">
            <v>COVER,FLAT,THRESHOLD,38 MOBILE EVO</v>
          </cell>
          <cell r="C72" t="str">
            <v>EA</v>
          </cell>
          <cell r="D72" t="str">
            <v>RM100</v>
          </cell>
          <cell r="E72">
            <v>19.62</v>
          </cell>
          <cell r="G72">
            <v>123754</v>
          </cell>
        </row>
        <row r="73">
          <cell r="A73">
            <v>123755</v>
          </cell>
          <cell r="B73" t="str">
            <v>COVER,THRESHOLD,38 MOBILE EVO</v>
          </cell>
          <cell r="C73" t="str">
            <v>EA</v>
          </cell>
          <cell r="D73" t="str">
            <v>RM100</v>
          </cell>
          <cell r="E73">
            <v>36.119999999999997</v>
          </cell>
          <cell r="G73">
            <v>123755</v>
          </cell>
        </row>
        <row r="74">
          <cell r="A74">
            <v>123756</v>
          </cell>
          <cell r="B74" t="str">
            <v>BASE,THRESHOLD SUPPORT,38 MOBILE EVO</v>
          </cell>
          <cell r="C74" t="str">
            <v>EA</v>
          </cell>
          <cell r="D74" t="str">
            <v>RM100</v>
          </cell>
          <cell r="E74">
            <v>49.32</v>
          </cell>
          <cell r="G74">
            <v>123756</v>
          </cell>
        </row>
        <row r="75">
          <cell r="A75">
            <v>123757</v>
          </cell>
          <cell r="B75" t="str">
            <v>ASSY,JAMB,EVO-LITE,LH,MANUAL,38 CUSTOM</v>
          </cell>
          <cell r="C75" t="str">
            <v>EA</v>
          </cell>
          <cell r="D75" t="str">
            <v>MA410</v>
          </cell>
          <cell r="E75">
            <v>1095.3518999999999</v>
          </cell>
          <cell r="G75">
            <v>123757</v>
          </cell>
        </row>
        <row r="76">
          <cell r="A76">
            <v>123759</v>
          </cell>
          <cell r="B76" t="str">
            <v>ASSY,DR,CORE,EVO,LH,38 CUSTOM</v>
          </cell>
          <cell r="C76" t="str">
            <v>EA</v>
          </cell>
          <cell r="D76" t="str">
            <v>MA410</v>
          </cell>
          <cell r="E76">
            <v>364.63875999999999</v>
          </cell>
          <cell r="G76">
            <v>123759</v>
          </cell>
        </row>
        <row r="77">
          <cell r="A77">
            <v>123760</v>
          </cell>
          <cell r="B77" t="str">
            <v>ASSY,DR,38 CUSTOM,EVO</v>
          </cell>
          <cell r="C77" t="str">
            <v>EA</v>
          </cell>
          <cell r="D77" t="str">
            <v>MA410</v>
          </cell>
          <cell r="E77">
            <v>2937.2063600000001</v>
          </cell>
          <cell r="G77">
            <v>123760</v>
          </cell>
        </row>
        <row r="78">
          <cell r="A78">
            <v>123764</v>
          </cell>
          <cell r="B78" t="str">
            <v>ASSY,DR &amp; JAMB,38 CUSTOM,EVO, LH-IN</v>
          </cell>
          <cell r="C78" t="str">
            <v>EA</v>
          </cell>
          <cell r="D78" t="str">
            <v>MA410</v>
          </cell>
          <cell r="E78">
            <v>6115.1563100000003</v>
          </cell>
          <cell r="G78">
            <v>123764</v>
          </cell>
        </row>
        <row r="79">
          <cell r="A79">
            <v>123830</v>
          </cell>
          <cell r="B79" t="str">
            <v>BRACKET,EVO,MAG LOCK</v>
          </cell>
          <cell r="C79" t="str">
            <v>EA</v>
          </cell>
          <cell r="D79" t="str">
            <v>RM100</v>
          </cell>
          <cell r="E79">
            <v>39.497</v>
          </cell>
          <cell r="G79">
            <v>123830</v>
          </cell>
        </row>
        <row r="80">
          <cell r="A80">
            <v>123925</v>
          </cell>
          <cell r="B80" t="str">
            <v>FLOAT FLOOR PLATE,EVO</v>
          </cell>
          <cell r="C80" t="str">
            <v>EA</v>
          </cell>
          <cell r="D80" t="str">
            <v>MA100</v>
          </cell>
          <cell r="E80">
            <v>40.830199999999998</v>
          </cell>
          <cell r="G80">
            <v>123925</v>
          </cell>
        </row>
        <row r="81">
          <cell r="A81">
            <v>123926</v>
          </cell>
          <cell r="B81" t="str">
            <v>SHIM,HINGE,EVO</v>
          </cell>
          <cell r="C81" t="str">
            <v>EA</v>
          </cell>
          <cell r="D81" t="str">
            <v>MA410</v>
          </cell>
          <cell r="E81">
            <v>0.49559999999999998</v>
          </cell>
          <cell r="G81">
            <v>123926</v>
          </cell>
        </row>
        <row r="82">
          <cell r="A82">
            <v>124082</v>
          </cell>
          <cell r="B82" t="str">
            <v>5240-48,D/J,45-1/2"x45-1/2",3'x3'C.O. DR</v>
          </cell>
          <cell r="C82" t="str">
            <v>EA</v>
          </cell>
          <cell r="D82" t="str">
            <v>MA100</v>
          </cell>
          <cell r="E82">
            <v>34.930030000000002</v>
          </cell>
          <cell r="G82">
            <v>124082</v>
          </cell>
        </row>
        <row r="83">
          <cell r="A83">
            <v>124083</v>
          </cell>
          <cell r="B83" t="str">
            <v>5240-48,WOOD STRUCTURE,3'x3'C.O. DOOR</v>
          </cell>
          <cell r="C83" t="str">
            <v>EA</v>
          </cell>
          <cell r="D83" t="str">
            <v>MA100</v>
          </cell>
          <cell r="E83">
            <v>125.10513</v>
          </cell>
          <cell r="G83">
            <v>124083</v>
          </cell>
        </row>
        <row r="84">
          <cell r="A84">
            <v>124084</v>
          </cell>
          <cell r="B84" t="str">
            <v>OBSOLETE</v>
          </cell>
          <cell r="C84" t="str">
            <v>EA</v>
          </cell>
          <cell r="D84" t="str">
            <v>MA100</v>
          </cell>
          <cell r="E84">
            <v>8.5500000000000007</v>
          </cell>
          <cell r="G84">
            <v>124084</v>
          </cell>
        </row>
        <row r="85">
          <cell r="A85">
            <v>124107</v>
          </cell>
          <cell r="B85" t="str">
            <v>DOOR LEAF,DEI,3'x3',CORE</v>
          </cell>
          <cell r="C85" t="str">
            <v>EA</v>
          </cell>
          <cell r="D85" t="str">
            <v>MA100</v>
          </cell>
          <cell r="E85">
            <v>99.537499999999994</v>
          </cell>
          <cell r="G85">
            <v>124107</v>
          </cell>
        </row>
        <row r="86">
          <cell r="A86">
            <v>124121</v>
          </cell>
          <cell r="B86" t="str">
            <v>WELDMENT,J FRAM,BRASS,8"X8"</v>
          </cell>
          <cell r="C86" t="str">
            <v>EA</v>
          </cell>
          <cell r="D86" t="str">
            <v>MA470</v>
          </cell>
          <cell r="E86">
            <v>78.568860000000001</v>
          </cell>
          <cell r="G86">
            <v>124121</v>
          </cell>
        </row>
        <row r="87">
          <cell r="A87">
            <v>124222</v>
          </cell>
          <cell r="B87" t="str">
            <v>PLT,CONN,BR,27.5"x27.5"x3/16",BLANK</v>
          </cell>
          <cell r="C87" t="str">
            <v>EA</v>
          </cell>
          <cell r="D87" t="str">
            <v>MA100</v>
          </cell>
          <cell r="E87">
            <v>322.29532</v>
          </cell>
          <cell r="G87">
            <v>124222</v>
          </cell>
        </row>
        <row r="88">
          <cell r="A88">
            <v>124248</v>
          </cell>
          <cell r="B88" t="str">
            <v>5240-30,D/J,28-1/2"x28-1/2",2'x2'C.O. DR</v>
          </cell>
          <cell r="C88" t="str">
            <v>EA</v>
          </cell>
          <cell r="D88" t="str">
            <v>MA420</v>
          </cell>
          <cell r="E88">
            <v>7.57003</v>
          </cell>
          <cell r="G88">
            <v>124248</v>
          </cell>
        </row>
        <row r="89">
          <cell r="A89">
            <v>124249</v>
          </cell>
          <cell r="B89" t="str">
            <v>5240-30,WOOD STRUCTURE,2'x2'C.O. DOOR</v>
          </cell>
          <cell r="C89" t="str">
            <v>EA</v>
          </cell>
          <cell r="D89" t="str">
            <v>MA420</v>
          </cell>
          <cell r="E89">
            <v>43.814779999999999</v>
          </cell>
          <cell r="G89">
            <v>124249</v>
          </cell>
        </row>
        <row r="90">
          <cell r="A90">
            <v>124252</v>
          </cell>
          <cell r="B90" t="str">
            <v>5240-30,D/J,28-1/2"x28-1/2",18"x18" DOOR</v>
          </cell>
          <cell r="C90" t="str">
            <v>EA</v>
          </cell>
          <cell r="D90" t="str">
            <v>MA420</v>
          </cell>
          <cell r="E90">
            <v>14.06803</v>
          </cell>
          <cell r="G90">
            <v>124252</v>
          </cell>
        </row>
        <row r="91">
          <cell r="A91">
            <v>124253</v>
          </cell>
          <cell r="B91" t="str">
            <v>5240-30,WOOD STRUCTURE,18"x18" DOOR</v>
          </cell>
          <cell r="C91" t="str">
            <v>EA</v>
          </cell>
          <cell r="D91" t="str">
            <v>MA420</v>
          </cell>
          <cell r="E91">
            <v>0</v>
          </cell>
          <cell r="G91">
            <v>124253</v>
          </cell>
        </row>
        <row r="92">
          <cell r="A92">
            <v>124302</v>
          </cell>
          <cell r="B92" t="str">
            <v>DOOR LEAF,DEI,2'x2',CORE</v>
          </cell>
          <cell r="C92" t="str">
            <v>EA</v>
          </cell>
          <cell r="D92" t="str">
            <v>MA100</v>
          </cell>
          <cell r="E92">
            <v>50.106250000000003</v>
          </cell>
          <cell r="G92">
            <v>124302</v>
          </cell>
        </row>
        <row r="93">
          <cell r="A93">
            <v>124306</v>
          </cell>
          <cell r="B93" t="str">
            <v>ASSY,5240-30,2'x2'DR,2" DR TRIM</v>
          </cell>
          <cell r="C93" t="str">
            <v>EA</v>
          </cell>
          <cell r="D93" t="str">
            <v>MA420</v>
          </cell>
          <cell r="E93">
            <v>1117.0747200000001</v>
          </cell>
          <cell r="G93">
            <v>124306</v>
          </cell>
        </row>
        <row r="94">
          <cell r="A94">
            <v>124345</v>
          </cell>
          <cell r="B94" t="str">
            <v>KIT,ABSORBER,5240-30,2x2DR,2.25",BLU PT</v>
          </cell>
          <cell r="C94" t="str">
            <v>EA</v>
          </cell>
          <cell r="D94" t="str">
            <v>MA200</v>
          </cell>
          <cell r="E94">
            <v>0</v>
          </cell>
          <cell r="G94">
            <v>124345</v>
          </cell>
        </row>
        <row r="95">
          <cell r="A95">
            <v>124347</v>
          </cell>
          <cell r="B95" t="str">
            <v>ALFBCL,17.25"x17.25"x4.5",BLUE</v>
          </cell>
          <cell r="C95" t="str">
            <v>EA</v>
          </cell>
          <cell r="D95" t="str">
            <v>MA200</v>
          </cell>
          <cell r="E95">
            <v>0</v>
          </cell>
          <cell r="G95">
            <v>124347</v>
          </cell>
        </row>
        <row r="96">
          <cell r="A96">
            <v>124348</v>
          </cell>
          <cell r="B96" t="str">
            <v xml:space="preserve">ALFBCL,18.5"x19.5"x4.5",BLUE </v>
          </cell>
          <cell r="C96" t="str">
            <v>EA</v>
          </cell>
          <cell r="D96" t="str">
            <v>MA200</v>
          </cell>
          <cell r="E96">
            <v>0</v>
          </cell>
          <cell r="G96">
            <v>124348</v>
          </cell>
        </row>
        <row r="97">
          <cell r="A97">
            <v>124349</v>
          </cell>
          <cell r="B97" t="str">
            <v xml:space="preserve">ALFBCL,18.5"x28.5"x4.5",BLUE </v>
          </cell>
          <cell r="C97" t="str">
            <v>EA</v>
          </cell>
          <cell r="D97" t="str">
            <v>MA200</v>
          </cell>
          <cell r="E97">
            <v>0</v>
          </cell>
          <cell r="G97">
            <v>124349</v>
          </cell>
        </row>
        <row r="98">
          <cell r="A98">
            <v>124350</v>
          </cell>
          <cell r="B98" t="str">
            <v xml:space="preserve">ALFBCL,28.5"x28.5"x4.5",BLUE </v>
          </cell>
          <cell r="C98" t="str">
            <v>EA</v>
          </cell>
          <cell r="D98" t="str">
            <v>MA200</v>
          </cell>
          <cell r="E98">
            <v>0</v>
          </cell>
          <cell r="G98">
            <v>124350</v>
          </cell>
        </row>
        <row r="99">
          <cell r="A99">
            <v>124351</v>
          </cell>
          <cell r="B99" t="str">
            <v>ALFBCL,28.5"x28.5"x4.5",SEE DETAIL</v>
          </cell>
          <cell r="C99" t="str">
            <v>EA</v>
          </cell>
          <cell r="D99" t="str">
            <v>MA200</v>
          </cell>
          <cell r="E99">
            <v>0</v>
          </cell>
          <cell r="G99">
            <v>124351</v>
          </cell>
        </row>
        <row r="100">
          <cell r="A100">
            <v>124352</v>
          </cell>
          <cell r="B100" t="str">
            <v>KIT,ABSORBER,5240-30,18x18DR,4.5",BLU PT</v>
          </cell>
          <cell r="C100" t="str">
            <v>EA</v>
          </cell>
          <cell r="D100" t="str">
            <v>MA200</v>
          </cell>
          <cell r="E100">
            <v>373.36</v>
          </cell>
          <cell r="G100">
            <v>124352</v>
          </cell>
        </row>
        <row r="101">
          <cell r="A101">
            <v>124366</v>
          </cell>
          <cell r="B101" t="str">
            <v>PLYWOOD,16-1/2"x18"x3/4",ACX</v>
          </cell>
          <cell r="C101" t="str">
            <v>EA</v>
          </cell>
          <cell r="D101" t="str">
            <v>MA420</v>
          </cell>
          <cell r="E101">
            <v>2.5065599999999999</v>
          </cell>
          <cell r="G101">
            <v>124366</v>
          </cell>
        </row>
        <row r="102">
          <cell r="A102">
            <v>124367</v>
          </cell>
          <cell r="B102" t="str">
            <v>PLYWOOD,16-1/2"x16-1/2"x3/4",ACX</v>
          </cell>
          <cell r="C102" t="str">
            <v>EA</v>
          </cell>
          <cell r="D102" t="str">
            <v>MA420</v>
          </cell>
          <cell r="E102">
            <v>2.5065599999999999</v>
          </cell>
          <cell r="G102">
            <v>124367</v>
          </cell>
        </row>
        <row r="103">
          <cell r="A103">
            <v>124368</v>
          </cell>
          <cell r="B103" t="str">
            <v>D/J LUM,1-3/4"x2-1/4"x16-1/2"</v>
          </cell>
          <cell r="C103" t="str">
            <v>EA</v>
          </cell>
          <cell r="D103" t="str">
            <v>MA420</v>
          </cell>
          <cell r="E103">
            <v>1.026</v>
          </cell>
          <cell r="G103">
            <v>124368</v>
          </cell>
        </row>
        <row r="104">
          <cell r="A104">
            <v>124369</v>
          </cell>
          <cell r="B104" t="str">
            <v>D/J LUM,1-3/4"x2-1/4"x12"</v>
          </cell>
          <cell r="C104" t="str">
            <v>EA</v>
          </cell>
          <cell r="D104" t="str">
            <v>MA420</v>
          </cell>
          <cell r="E104">
            <v>0.68400000000000005</v>
          </cell>
          <cell r="G104">
            <v>124369</v>
          </cell>
        </row>
        <row r="105">
          <cell r="A105">
            <v>124370</v>
          </cell>
          <cell r="B105" t="str">
            <v>5240-18,D/J,16-1/2"x16-1/2",12"x12" DOOR</v>
          </cell>
          <cell r="C105" t="str">
            <v>EA</v>
          </cell>
          <cell r="D105" t="str">
            <v>MA420</v>
          </cell>
          <cell r="E105">
            <v>4.1500300000000001</v>
          </cell>
          <cell r="G105">
            <v>124370</v>
          </cell>
        </row>
        <row r="106">
          <cell r="A106">
            <v>124371</v>
          </cell>
          <cell r="B106" t="str">
            <v>5240-18,WOOD STRUCTURE,12"x12" DOOR</v>
          </cell>
          <cell r="C106" t="str">
            <v>EA</v>
          </cell>
          <cell r="D106" t="str">
            <v>MA420</v>
          </cell>
          <cell r="E106">
            <v>17.010429999999999</v>
          </cell>
          <cell r="G106">
            <v>124371</v>
          </cell>
        </row>
        <row r="107">
          <cell r="A107">
            <v>124372</v>
          </cell>
          <cell r="B107" t="str">
            <v>CU,24OZ,5240-18,SIDES</v>
          </cell>
          <cell r="C107" t="str">
            <v>EA</v>
          </cell>
          <cell r="D107" t="str">
            <v>MA420</v>
          </cell>
          <cell r="E107">
            <v>35.412300000000002</v>
          </cell>
          <cell r="G107">
            <v>124372</v>
          </cell>
        </row>
        <row r="108">
          <cell r="A108">
            <v>124373</v>
          </cell>
          <cell r="B108" t="str">
            <v>CU,24OZ,5240-18,TOP &amp; BOTTOM</v>
          </cell>
          <cell r="C108" t="str">
            <v>EA</v>
          </cell>
          <cell r="D108" t="str">
            <v>MA420</v>
          </cell>
          <cell r="E108">
            <v>16.525739999999999</v>
          </cell>
          <cell r="G108">
            <v>124373</v>
          </cell>
        </row>
        <row r="109">
          <cell r="A109">
            <v>124374</v>
          </cell>
          <cell r="B109" t="str">
            <v>CU,24OZ,12"x12" DOOR JAMB CAP</v>
          </cell>
          <cell r="C109" t="str">
            <v>EA</v>
          </cell>
          <cell r="D109" t="str">
            <v>MA420</v>
          </cell>
          <cell r="E109">
            <v>1.18041</v>
          </cell>
          <cell r="G109">
            <v>124374</v>
          </cell>
        </row>
        <row r="110">
          <cell r="A110">
            <v>124375</v>
          </cell>
          <cell r="B110" t="str">
            <v>5240-18,12"x12"DR,COPPER SKIN ASSEMBLY</v>
          </cell>
          <cell r="C110" t="str">
            <v>EA</v>
          </cell>
          <cell r="D110" t="str">
            <v>MA420</v>
          </cell>
          <cell r="E110">
            <v>126.38191</v>
          </cell>
          <cell r="G110">
            <v>124375</v>
          </cell>
        </row>
        <row r="111">
          <cell r="A111">
            <v>124383</v>
          </cell>
          <cell r="B111" t="str">
            <v>ASSY,5240-18,12"x12"DR,10 GHz TRIM</v>
          </cell>
          <cell r="C111" t="str">
            <v>EA</v>
          </cell>
          <cell r="D111" t="str">
            <v>MA420</v>
          </cell>
          <cell r="E111">
            <v>929.54322999999999</v>
          </cell>
          <cell r="G111">
            <v>124383</v>
          </cell>
        </row>
        <row r="112">
          <cell r="A112">
            <v>124389</v>
          </cell>
          <cell r="B112" t="str">
            <v>TRIM,D/J,1-1/2x13.75",10GHz,1/8"SHT MTL</v>
          </cell>
          <cell r="C112" t="str">
            <v>EA</v>
          </cell>
          <cell r="D112" t="str">
            <v>MA420</v>
          </cell>
          <cell r="E112">
            <v>22.263999999999999</v>
          </cell>
          <cell r="G112">
            <v>124389</v>
          </cell>
        </row>
        <row r="113">
          <cell r="A113">
            <v>124390</v>
          </cell>
          <cell r="B113" t="str">
            <v>PLYWOOD,FAN MOUNT,9"x9"x3/4",6"DIA HOLE</v>
          </cell>
          <cell r="C113" t="str">
            <v>EA</v>
          </cell>
          <cell r="D113" t="str">
            <v>MA100</v>
          </cell>
          <cell r="E113">
            <v>12.24616</v>
          </cell>
          <cell r="G113">
            <v>124390</v>
          </cell>
        </row>
        <row r="114">
          <cell r="A114">
            <v>124488</v>
          </cell>
          <cell r="B114" t="str">
            <v>5240-24,D/J,22-1/2"x22-1/2",18"x18" DOOR</v>
          </cell>
          <cell r="C114" t="str">
            <v>EA</v>
          </cell>
          <cell r="D114" t="str">
            <v>MA420</v>
          </cell>
          <cell r="E114">
            <v>8.7462</v>
          </cell>
          <cell r="G114">
            <v>124488</v>
          </cell>
        </row>
        <row r="115">
          <cell r="A115">
            <v>124489</v>
          </cell>
          <cell r="B115" t="str">
            <v>5240-24,WOOD STRUCTURE,18"x18" DOOR</v>
          </cell>
          <cell r="C115" t="str">
            <v>EA</v>
          </cell>
          <cell r="D115" t="str">
            <v>MA420</v>
          </cell>
          <cell r="E115">
            <v>44.972749999999998</v>
          </cell>
          <cell r="G115">
            <v>124489</v>
          </cell>
        </row>
        <row r="116">
          <cell r="A116">
            <v>124491</v>
          </cell>
          <cell r="B116" t="str">
            <v>CU,24OZ,5240-24,TOP &amp; BOTTOM</v>
          </cell>
          <cell r="C116" t="str">
            <v>EA</v>
          </cell>
          <cell r="D116" t="str">
            <v>MA420</v>
          </cell>
          <cell r="E116">
            <v>0</v>
          </cell>
          <cell r="G116">
            <v>124491</v>
          </cell>
        </row>
        <row r="117">
          <cell r="A117">
            <v>124492</v>
          </cell>
          <cell r="B117" t="str">
            <v>5240-24,18"x18"DR,COPPER SKIN ASSEMBLY</v>
          </cell>
          <cell r="C117" t="str">
            <v>EA</v>
          </cell>
          <cell r="D117" t="str">
            <v>MA420</v>
          </cell>
          <cell r="E117">
            <v>0</v>
          </cell>
          <cell r="G117">
            <v>124492</v>
          </cell>
        </row>
        <row r="118">
          <cell r="A118">
            <v>124493</v>
          </cell>
          <cell r="B118" t="str">
            <v>ASSY,5240-24,18"x18"DR,2" DR TRIM,LHS DR</v>
          </cell>
          <cell r="C118" t="str">
            <v>EA</v>
          </cell>
          <cell r="D118" t="str">
            <v>MA420</v>
          </cell>
          <cell r="E118">
            <v>448.16397000000001</v>
          </cell>
          <cell r="G118">
            <v>124493</v>
          </cell>
        </row>
        <row r="119">
          <cell r="A119">
            <v>124571</v>
          </cell>
          <cell r="B119" t="str">
            <v>PIVOT PLT, LATCH BOLT, S201 DBL DR</v>
          </cell>
          <cell r="C119" t="str">
            <v>EA</v>
          </cell>
          <cell r="D119" t="str">
            <v>MA100</v>
          </cell>
          <cell r="E119">
            <v>87.243200000000002</v>
          </cell>
          <cell r="G119">
            <v>124571</v>
          </cell>
        </row>
        <row r="120">
          <cell r="A120">
            <v>124593</v>
          </cell>
          <cell r="B120" t="str">
            <v>5240-24,D/J,22-1/2"x22-1/2",12"x12" DOOR</v>
          </cell>
          <cell r="C120" t="str">
            <v>EA</v>
          </cell>
          <cell r="D120" t="str">
            <v>MA420</v>
          </cell>
          <cell r="E120">
            <v>8.7462</v>
          </cell>
          <cell r="G120">
            <v>124593</v>
          </cell>
        </row>
        <row r="121">
          <cell r="A121">
            <v>124594</v>
          </cell>
          <cell r="B121" t="str">
            <v>5240-24,WOOD STRUCTURE,12"x12" DOOR</v>
          </cell>
          <cell r="C121" t="str">
            <v>EA</v>
          </cell>
          <cell r="D121" t="str">
            <v>MA420</v>
          </cell>
          <cell r="E121">
            <v>44.972749999999998</v>
          </cell>
          <cell r="G121">
            <v>124594</v>
          </cell>
        </row>
        <row r="122">
          <cell r="A122">
            <v>124602</v>
          </cell>
          <cell r="B122" t="str">
            <v>ASSY,5240-24,12"x12"DR,2" DR TRIM</v>
          </cell>
          <cell r="C122" t="str">
            <v>EA</v>
          </cell>
          <cell r="D122" t="str">
            <v>MA420</v>
          </cell>
          <cell r="E122">
            <v>605.96839999999997</v>
          </cell>
          <cell r="G122">
            <v>124602</v>
          </cell>
        </row>
        <row r="123">
          <cell r="A123">
            <v>124643</v>
          </cell>
          <cell r="B123" t="str">
            <v>DR,DEI,LEAF,29-1/4"x83-1/8"X2"</v>
          </cell>
          <cell r="C123" t="str">
            <v>EA</v>
          </cell>
          <cell r="D123" t="str">
            <v>MA100</v>
          </cell>
          <cell r="E123">
            <v>170.25</v>
          </cell>
          <cell r="G123">
            <v>124643</v>
          </cell>
        </row>
        <row r="124">
          <cell r="A124">
            <v>124644</v>
          </cell>
          <cell r="B124" t="str">
            <v>D/J,DEC,42"x88-7/8"x1-3/4",30"x84"CO</v>
          </cell>
          <cell r="C124" t="str">
            <v>EA</v>
          </cell>
          <cell r="D124" t="str">
            <v>MA100</v>
          </cell>
          <cell r="E124">
            <v>138.50503</v>
          </cell>
          <cell r="G124">
            <v>124644</v>
          </cell>
        </row>
        <row r="125">
          <cell r="A125">
            <v>124653</v>
          </cell>
          <cell r="B125" t="str">
            <v>CP-6x6-B-2S,2D9</v>
          </cell>
          <cell r="C125" t="str">
            <v>EA</v>
          </cell>
          <cell r="D125" t="str">
            <v>MA100</v>
          </cell>
          <cell r="E125">
            <v>61.8065</v>
          </cell>
          <cell r="G125">
            <v>124653</v>
          </cell>
        </row>
        <row r="126">
          <cell r="A126">
            <v>124654</v>
          </cell>
          <cell r="B126" t="str">
            <v>CPA-6x6-B-2S,2D9</v>
          </cell>
          <cell r="C126" t="str">
            <v>EA</v>
          </cell>
          <cell r="D126" t="str">
            <v>MA100</v>
          </cell>
          <cell r="E126">
            <v>217.9785</v>
          </cell>
          <cell r="G126">
            <v>124654</v>
          </cell>
        </row>
        <row r="127">
          <cell r="A127">
            <v>124662</v>
          </cell>
          <cell r="B127" t="str">
            <v>J FRAME,BRASS,12" SIDE</v>
          </cell>
          <cell r="C127" t="str">
            <v>EA</v>
          </cell>
          <cell r="D127" t="str">
            <v>MA410</v>
          </cell>
          <cell r="E127">
            <v>0</v>
          </cell>
          <cell r="G127">
            <v>124662</v>
          </cell>
        </row>
        <row r="128">
          <cell r="A128">
            <v>124665</v>
          </cell>
          <cell r="B128" t="str">
            <v>WLDMNT, CONN. PNL, 12X12, BRASS</v>
          </cell>
          <cell r="C128" t="str">
            <v>EA</v>
          </cell>
          <cell r="D128" t="str">
            <v>MA410</v>
          </cell>
          <cell r="E128">
            <v>95.871399999999994</v>
          </cell>
          <cell r="G128">
            <v>124665</v>
          </cell>
        </row>
        <row r="129">
          <cell r="A129">
            <v>124666</v>
          </cell>
          <cell r="B129" t="str">
            <v>WLDMNT, CONN. PNL, 6X6, BRASS</v>
          </cell>
          <cell r="C129" t="str">
            <v>EA</v>
          </cell>
          <cell r="D129" t="str">
            <v>MA100</v>
          </cell>
          <cell r="E129">
            <v>37.247999999999998</v>
          </cell>
          <cell r="G129">
            <v>124666</v>
          </cell>
        </row>
        <row r="130">
          <cell r="A130">
            <v>124800</v>
          </cell>
          <cell r="B130" t="str">
            <v>D/J,DEC,67-1/4"x61-1/4",DUAL 10GHz DOORS</v>
          </cell>
          <cell r="C130" t="str">
            <v>EA</v>
          </cell>
          <cell r="D130" t="str">
            <v>MA100</v>
          </cell>
          <cell r="E130">
            <v>69.228129999999993</v>
          </cell>
          <cell r="G130">
            <v>124800</v>
          </cell>
        </row>
        <row r="131">
          <cell r="A131">
            <v>124801</v>
          </cell>
          <cell r="B131" t="str">
            <v>DR,DEI,LEAF,23-1/4"x61-1/4"X2"</v>
          </cell>
          <cell r="C131" t="str">
            <v>EA</v>
          </cell>
          <cell r="D131" t="str">
            <v>MA100</v>
          </cell>
          <cell r="E131">
            <v>170.25</v>
          </cell>
          <cell r="G131">
            <v>124801</v>
          </cell>
        </row>
        <row r="132">
          <cell r="A132">
            <v>124859</v>
          </cell>
          <cell r="B132" t="str">
            <v>D/J,DEC,29-1/2"x53-1/2",24"x48"C.O.</v>
          </cell>
          <cell r="C132" t="str">
            <v>EA</v>
          </cell>
          <cell r="D132" t="str">
            <v>MA100</v>
          </cell>
          <cell r="E132">
            <v>34.930030000000002</v>
          </cell>
          <cell r="G132">
            <v>124859</v>
          </cell>
        </row>
        <row r="133">
          <cell r="A133">
            <v>124861</v>
          </cell>
          <cell r="B133" t="str">
            <v>DR,DEI,LEAF,23-1/4"x47-1/4"X2"</v>
          </cell>
          <cell r="C133" t="str">
            <v>EA</v>
          </cell>
          <cell r="D133" t="str">
            <v>MA100</v>
          </cell>
          <cell r="E133">
            <v>42.5625</v>
          </cell>
          <cell r="G133">
            <v>124861</v>
          </cell>
        </row>
        <row r="134">
          <cell r="A134">
            <v>124926</v>
          </cell>
          <cell r="B134" t="str">
            <v>D/J,DEC,35-1/4"x40",24"x24"C.O.</v>
          </cell>
          <cell r="C134" t="str">
            <v>EA</v>
          </cell>
          <cell r="D134" t="str">
            <v>MA100</v>
          </cell>
          <cell r="E134">
            <v>52.030029999999996</v>
          </cell>
          <cell r="G134">
            <v>124926</v>
          </cell>
        </row>
        <row r="135">
          <cell r="A135">
            <v>124930</v>
          </cell>
          <cell r="B135" t="str">
            <v>D/J,DEC,48"x87-1/2",DUAL 36"x36"C.O.</v>
          </cell>
          <cell r="C135" t="str">
            <v>EA</v>
          </cell>
          <cell r="D135" t="str">
            <v>MA100</v>
          </cell>
          <cell r="E135">
            <v>69.228129999999993</v>
          </cell>
          <cell r="G135">
            <v>124930</v>
          </cell>
        </row>
        <row r="136">
          <cell r="A136">
            <v>125055</v>
          </cell>
          <cell r="B136" t="str">
            <v>D/J,DEC,29-1/2"x29-1/2",24"x24"C.O.</v>
          </cell>
          <cell r="C136" t="str">
            <v>EA</v>
          </cell>
          <cell r="D136" t="str">
            <v>MA100</v>
          </cell>
          <cell r="E136">
            <v>66.323400000000007</v>
          </cell>
          <cell r="G136">
            <v>125055</v>
          </cell>
        </row>
        <row r="137">
          <cell r="A137">
            <v>125056</v>
          </cell>
          <cell r="B137" t="str">
            <v>ASSY,D/J,DEC,29-1/2"x29-1/2",24"x24"C.O.</v>
          </cell>
          <cell r="C137" t="str">
            <v>EA</v>
          </cell>
          <cell r="D137" t="str">
            <v>MA100</v>
          </cell>
          <cell r="E137">
            <v>189.95439999999999</v>
          </cell>
          <cell r="G137">
            <v>125056</v>
          </cell>
        </row>
        <row r="138">
          <cell r="A138">
            <v>125131</v>
          </cell>
          <cell r="B138" t="str">
            <v>EVO32,S,48",BA,I,NN,MA</v>
          </cell>
          <cell r="C138" t="str">
            <v>EA</v>
          </cell>
          <cell r="D138" t="str">
            <v>MA410</v>
          </cell>
          <cell r="E138">
            <v>0</v>
          </cell>
          <cell r="G138">
            <v>125131</v>
          </cell>
        </row>
        <row r="139">
          <cell r="A139">
            <v>125132</v>
          </cell>
          <cell r="B139" t="str">
            <v>EVO32,S,48",BA,O,NN,MA</v>
          </cell>
          <cell r="C139" t="str">
            <v>EA</v>
          </cell>
          <cell r="D139" t="str">
            <v>MA410</v>
          </cell>
          <cell r="E139">
            <v>0</v>
          </cell>
          <cell r="G139">
            <v>125132</v>
          </cell>
        </row>
        <row r="140">
          <cell r="A140">
            <v>125133</v>
          </cell>
          <cell r="B140" t="str">
            <v>EVO44 IV JAMB,S,48",LH, MA</v>
          </cell>
          <cell r="C140" t="str">
            <v>EA</v>
          </cell>
          <cell r="D140" t="str">
            <v>MA410</v>
          </cell>
          <cell r="E140">
            <v>0</v>
          </cell>
          <cell r="G140">
            <v>125133</v>
          </cell>
        </row>
        <row r="141">
          <cell r="A141">
            <v>125134</v>
          </cell>
          <cell r="B141" t="str">
            <v>EVO44 IV JAMB,S,48",RH,MA</v>
          </cell>
          <cell r="C141" t="str">
            <v>EA</v>
          </cell>
          <cell r="D141" t="str">
            <v>MA410</v>
          </cell>
          <cell r="E141">
            <v>0</v>
          </cell>
          <cell r="G141">
            <v>125134</v>
          </cell>
        </row>
        <row r="142">
          <cell r="A142">
            <v>125135</v>
          </cell>
          <cell r="B142" t="str">
            <v>EVO44,S,48",IV,OS,RH,WI,AO</v>
          </cell>
          <cell r="C142" t="str">
            <v>EA</v>
          </cell>
          <cell r="D142" t="str">
            <v>FG054</v>
          </cell>
          <cell r="E142">
            <v>5771.1566700000003</v>
          </cell>
          <cell r="G142">
            <v>125135</v>
          </cell>
        </row>
        <row r="143">
          <cell r="A143">
            <v>125136</v>
          </cell>
          <cell r="B143" t="str">
            <v>EVO44 BA JAMB,S,36",MA</v>
          </cell>
          <cell r="C143" t="str">
            <v>EA</v>
          </cell>
          <cell r="D143" t="str">
            <v>MA410</v>
          </cell>
          <cell r="E143">
            <v>1628.80297</v>
          </cell>
          <cell r="G143">
            <v>125136</v>
          </cell>
        </row>
        <row r="144">
          <cell r="A144">
            <v>125137</v>
          </cell>
          <cell r="B144" t="str">
            <v>EVO 44, 48-in DOOR, IV JAMB, OUTSWING</v>
          </cell>
          <cell r="C144" t="str">
            <v>EA</v>
          </cell>
          <cell r="D144" t="str">
            <v>MA410</v>
          </cell>
          <cell r="E144">
            <v>0</v>
          </cell>
          <cell r="G144">
            <v>125137</v>
          </cell>
        </row>
        <row r="145">
          <cell r="A145">
            <v>125138</v>
          </cell>
          <cell r="B145" t="str">
            <v>EVO 44, 48-in DOOR, IV JAMB, INSWING</v>
          </cell>
          <cell r="C145" t="str">
            <v>EA</v>
          </cell>
          <cell r="D145" t="str">
            <v>MA410</v>
          </cell>
          <cell r="E145">
            <v>0</v>
          </cell>
          <cell r="G145">
            <v>125138</v>
          </cell>
        </row>
        <row r="146">
          <cell r="A146">
            <v>125139</v>
          </cell>
          <cell r="B146" t="str">
            <v>EVO44 BA JAMB,S,48",MA</v>
          </cell>
          <cell r="C146" t="str">
            <v>EA</v>
          </cell>
          <cell r="D146" t="str">
            <v>MA410</v>
          </cell>
          <cell r="E146">
            <v>0</v>
          </cell>
          <cell r="G146">
            <v>125139</v>
          </cell>
        </row>
        <row r="147">
          <cell r="A147">
            <v>125140</v>
          </cell>
          <cell r="B147" t="str">
            <v>EVO32 BA JAMB,S,48",MA</v>
          </cell>
          <cell r="C147" t="str">
            <v>EA</v>
          </cell>
          <cell r="D147" t="str">
            <v>MA410</v>
          </cell>
          <cell r="E147">
            <v>0</v>
          </cell>
          <cell r="G147">
            <v>125140</v>
          </cell>
        </row>
        <row r="148">
          <cell r="A148">
            <v>125189</v>
          </cell>
          <cell r="B148" t="str">
            <v>MAIN BASE ANGLE, DROP SEAL, EVO AIR</v>
          </cell>
          <cell r="C148" t="str">
            <v>EA</v>
          </cell>
          <cell r="D148" t="str">
            <v>RM100</v>
          </cell>
          <cell r="E148">
            <v>23.72</v>
          </cell>
          <cell r="G148">
            <v>125189</v>
          </cell>
        </row>
        <row r="149">
          <cell r="A149">
            <v>125193</v>
          </cell>
          <cell r="B149" t="str">
            <v>CP-8x8-B-4SMA</v>
          </cell>
          <cell r="C149" t="str">
            <v>EA</v>
          </cell>
          <cell r="D149" t="str">
            <v>MA410</v>
          </cell>
          <cell r="E149">
            <v>62.101149999999997</v>
          </cell>
          <cell r="G149">
            <v>125193</v>
          </cell>
        </row>
        <row r="150">
          <cell r="A150">
            <v>125194</v>
          </cell>
          <cell r="B150" t="str">
            <v>CPA-8x8-B-4SMA</v>
          </cell>
          <cell r="C150" t="str">
            <v>EA</v>
          </cell>
          <cell r="D150" t="str">
            <v>MA100</v>
          </cell>
          <cell r="E150">
            <v>286.35259000000002</v>
          </cell>
          <cell r="G150">
            <v>125194</v>
          </cell>
        </row>
        <row r="151">
          <cell r="A151">
            <v>125196</v>
          </cell>
          <cell r="B151" t="str">
            <v>TRIM,DR LF,HINGE SIDE,EVO AIR</v>
          </cell>
          <cell r="C151" t="str">
            <v>EA</v>
          </cell>
          <cell r="D151" t="str">
            <v>RM100</v>
          </cell>
          <cell r="E151">
            <v>68.59</v>
          </cell>
          <cell r="G151">
            <v>125196</v>
          </cell>
        </row>
        <row r="152">
          <cell r="A152">
            <v>125212</v>
          </cell>
          <cell r="B152" t="str">
            <v>AIR CYLINDER TYPE T</v>
          </cell>
          <cell r="C152" t="str">
            <v>EA</v>
          </cell>
          <cell r="D152" t="str">
            <v>RM100</v>
          </cell>
          <cell r="E152">
            <v>0</v>
          </cell>
          <cell r="G152">
            <v>125212</v>
          </cell>
        </row>
        <row r="153">
          <cell r="A153">
            <v>125213</v>
          </cell>
          <cell r="B153" t="str">
            <v>AIR CYLINDER TYPE Y</v>
          </cell>
          <cell r="C153" t="str">
            <v>EA</v>
          </cell>
          <cell r="D153" t="str">
            <v>RM100</v>
          </cell>
          <cell r="E153">
            <v>0</v>
          </cell>
          <cell r="G153">
            <v>125213</v>
          </cell>
        </row>
        <row r="154">
          <cell r="A154">
            <v>125214</v>
          </cell>
          <cell r="B154" t="str">
            <v>AIR CYLINDER TYPE B</v>
          </cell>
          <cell r="C154" t="str">
            <v>EA</v>
          </cell>
          <cell r="D154" t="str">
            <v>RM100</v>
          </cell>
          <cell r="E154">
            <v>0</v>
          </cell>
          <cell r="G154">
            <v>125214</v>
          </cell>
        </row>
        <row r="155">
          <cell r="A155">
            <v>125227</v>
          </cell>
          <cell r="B155" t="str">
            <v>D/J,DEC,48"x96"x1-3/4",36"x84"CO</v>
          </cell>
          <cell r="C155" t="str">
            <v>EA</v>
          </cell>
          <cell r="D155" t="str">
            <v>MA410</v>
          </cell>
          <cell r="E155">
            <v>179.64313000000001</v>
          </cell>
          <cell r="G155">
            <v>125227</v>
          </cell>
        </row>
        <row r="156">
          <cell r="A156">
            <v>125232</v>
          </cell>
          <cell r="B156" t="str">
            <v>DR,DEC,LEAF,35.25"x83.13",GALV/4SHEILD</v>
          </cell>
          <cell r="C156" t="str">
            <v>EA</v>
          </cell>
          <cell r="D156" t="str">
            <v>MA410</v>
          </cell>
          <cell r="E156">
            <v>170.25</v>
          </cell>
          <cell r="G156">
            <v>125232</v>
          </cell>
        </row>
        <row r="157">
          <cell r="A157">
            <v>125260</v>
          </cell>
          <cell r="B157" t="str">
            <v>EVO32 DOOR SLAB,S,48",NN</v>
          </cell>
          <cell r="C157" t="str">
            <v>EA</v>
          </cell>
          <cell r="D157" t="str">
            <v>MA410</v>
          </cell>
          <cell r="E157">
            <v>0</v>
          </cell>
          <cell r="G157">
            <v>125260</v>
          </cell>
        </row>
        <row r="158">
          <cell r="A158">
            <v>125263</v>
          </cell>
          <cell r="B158" t="str">
            <v>MTG PLATE, EVO DOOR AIR VALVE</v>
          </cell>
          <cell r="C158" t="str">
            <v>EA</v>
          </cell>
          <cell r="D158" t="str">
            <v>MA410</v>
          </cell>
          <cell r="E158">
            <v>12.07</v>
          </cell>
          <cell r="G158">
            <v>125263</v>
          </cell>
        </row>
        <row r="159">
          <cell r="A159">
            <v>125290</v>
          </cell>
          <cell r="B159" t="str">
            <v>EVO44 DOOR CORE,S,48",NN</v>
          </cell>
          <cell r="C159" t="str">
            <v>EA</v>
          </cell>
          <cell r="D159" t="str">
            <v>MA410</v>
          </cell>
          <cell r="E159">
            <v>0</v>
          </cell>
          <cell r="G159">
            <v>125290</v>
          </cell>
        </row>
        <row r="160">
          <cell r="A160">
            <v>125291</v>
          </cell>
          <cell r="B160" t="str">
            <v>EVO44 DOOR SLAB,S,48",NN</v>
          </cell>
          <cell r="C160" t="str">
            <v>EA</v>
          </cell>
          <cell r="D160" t="str">
            <v>MA410</v>
          </cell>
          <cell r="E160">
            <v>0</v>
          </cell>
          <cell r="G160">
            <v>125291</v>
          </cell>
        </row>
        <row r="161">
          <cell r="A161">
            <v>125292</v>
          </cell>
          <cell r="B161" t="str">
            <v>RETAINER, EVO DOOR LATCH LIMIT SWITCH</v>
          </cell>
          <cell r="C161" t="str">
            <v>EA</v>
          </cell>
          <cell r="D161" t="str">
            <v>MA410</v>
          </cell>
          <cell r="E161">
            <v>7.52</v>
          </cell>
          <cell r="G161">
            <v>125292</v>
          </cell>
        </row>
        <row r="162">
          <cell r="A162">
            <v>125351</v>
          </cell>
          <cell r="B162" t="str">
            <v>JAMB, EVO DOOR, IV WELDMENT, LH</v>
          </cell>
          <cell r="C162" t="str">
            <v>EA</v>
          </cell>
          <cell r="D162" t="str">
            <v>RM100</v>
          </cell>
          <cell r="E162">
            <v>323.92</v>
          </cell>
          <cell r="G162">
            <v>125351</v>
          </cell>
        </row>
        <row r="163">
          <cell r="A163">
            <v>125352</v>
          </cell>
          <cell r="B163" t="str">
            <v>JAMB, EVO DOOR, IV WELDMENT, RH</v>
          </cell>
          <cell r="C163" t="str">
            <v>EA</v>
          </cell>
          <cell r="D163" t="str">
            <v>RM100</v>
          </cell>
          <cell r="E163">
            <v>341.17</v>
          </cell>
          <cell r="G163">
            <v>125352</v>
          </cell>
        </row>
        <row r="164">
          <cell r="A164">
            <v>125359</v>
          </cell>
          <cell r="B164" t="str">
            <v>COVER, SMALL, IV JAMB, LOCK SIDE RH</v>
          </cell>
          <cell r="C164" t="str">
            <v>EA</v>
          </cell>
          <cell r="D164" t="str">
            <v>RM100</v>
          </cell>
          <cell r="E164">
            <v>43.87</v>
          </cell>
          <cell r="G164">
            <v>125359</v>
          </cell>
        </row>
        <row r="165">
          <cell r="A165">
            <v>125360</v>
          </cell>
          <cell r="B165" t="str">
            <v>COVER, SMALL, IV JAMB, LOCK SIDE LH</v>
          </cell>
          <cell r="C165" t="str">
            <v>EA</v>
          </cell>
          <cell r="D165" t="str">
            <v>RM100</v>
          </cell>
          <cell r="E165">
            <v>43.33</v>
          </cell>
          <cell r="G165">
            <v>125360</v>
          </cell>
        </row>
        <row r="166">
          <cell r="A166">
            <v>125361</v>
          </cell>
          <cell r="B166" t="str">
            <v>COVER, LARGE, IV JAMB, LOCK SIDE RH</v>
          </cell>
          <cell r="C166" t="str">
            <v>EA</v>
          </cell>
          <cell r="D166" t="str">
            <v>RM100</v>
          </cell>
          <cell r="E166">
            <v>59.91</v>
          </cell>
          <cell r="G166">
            <v>125361</v>
          </cell>
        </row>
        <row r="167">
          <cell r="A167">
            <v>125362</v>
          </cell>
          <cell r="B167" t="str">
            <v>COVER, LARGE, IV JAMB, LOCK SIDE LH</v>
          </cell>
          <cell r="C167" t="str">
            <v>EA</v>
          </cell>
          <cell r="D167" t="str">
            <v>RM100</v>
          </cell>
          <cell r="E167">
            <v>59.2</v>
          </cell>
          <cell r="G167">
            <v>125362</v>
          </cell>
        </row>
        <row r="168">
          <cell r="A168">
            <v>125418</v>
          </cell>
          <cell r="B168" t="str">
            <v>EVO44,S,48",BA,I,NN,MA</v>
          </cell>
          <cell r="C168" t="str">
            <v>EA</v>
          </cell>
          <cell r="D168" t="str">
            <v>MA100</v>
          </cell>
          <cell r="E168">
            <v>0</v>
          </cell>
          <cell r="G168">
            <v>125418</v>
          </cell>
        </row>
        <row r="169">
          <cell r="A169">
            <v>125419</v>
          </cell>
          <cell r="B169" t="str">
            <v>EVO44,S,48",BA,O,NN,MA</v>
          </cell>
          <cell r="C169" t="str">
            <v>EA</v>
          </cell>
          <cell r="D169" t="str">
            <v>MA100</v>
          </cell>
          <cell r="E169">
            <v>0</v>
          </cell>
          <cell r="G169">
            <v>125419</v>
          </cell>
        </row>
        <row r="170">
          <cell r="A170">
            <v>125472</v>
          </cell>
          <cell r="B170" t="str">
            <v>MDF,45.825"x76.180",EVO</v>
          </cell>
          <cell r="C170" t="str">
            <v>EA</v>
          </cell>
          <cell r="D170" t="str">
            <v>MA100</v>
          </cell>
          <cell r="E170">
            <v>0</v>
          </cell>
          <cell r="G170">
            <v>125472</v>
          </cell>
        </row>
        <row r="171">
          <cell r="A171">
            <v>125473</v>
          </cell>
          <cell r="B171" t="str">
            <v>MLV,45.825"x76.180",EVO</v>
          </cell>
          <cell r="C171" t="str">
            <v>EA</v>
          </cell>
          <cell r="D171" t="str">
            <v>MA100</v>
          </cell>
          <cell r="E171">
            <v>0</v>
          </cell>
          <cell r="G171">
            <v>125473</v>
          </cell>
        </row>
        <row r="172">
          <cell r="A172">
            <v>125474</v>
          </cell>
          <cell r="B172" t="str">
            <v>MLV,47.864"x78.825",EVO</v>
          </cell>
          <cell r="C172" t="str">
            <v>EA</v>
          </cell>
          <cell r="D172" t="str">
            <v>MA100</v>
          </cell>
          <cell r="E172">
            <v>0</v>
          </cell>
          <cell r="G172">
            <v>125474</v>
          </cell>
        </row>
        <row r="173">
          <cell r="A173">
            <v>125475</v>
          </cell>
          <cell r="B173" t="str">
            <v>MASONITE,47.864"x78.825",EVO</v>
          </cell>
          <cell r="C173" t="str">
            <v>EA</v>
          </cell>
          <cell r="D173" t="str">
            <v>MA100</v>
          </cell>
          <cell r="E173">
            <v>0</v>
          </cell>
          <cell r="G173">
            <v>125475</v>
          </cell>
        </row>
        <row r="174">
          <cell r="A174">
            <v>125485</v>
          </cell>
          <cell r="B174" t="str">
            <v>DOOR LEAF,DEC,18"x36",CORE</v>
          </cell>
          <cell r="C174" t="str">
            <v>EA</v>
          </cell>
          <cell r="D174" t="str">
            <v>MA100</v>
          </cell>
          <cell r="E174">
            <v>129.03749999999999</v>
          </cell>
          <cell r="G174">
            <v>125485</v>
          </cell>
        </row>
        <row r="175">
          <cell r="A175">
            <v>125531</v>
          </cell>
          <cell r="B175" t="str">
            <v>EVO44,S,48",IV,I,NN,MA</v>
          </cell>
          <cell r="C175" t="str">
            <v>EA</v>
          </cell>
          <cell r="D175" t="str">
            <v>MA100</v>
          </cell>
          <cell r="E175">
            <v>0</v>
          </cell>
          <cell r="G175">
            <v>125531</v>
          </cell>
        </row>
        <row r="176">
          <cell r="A176">
            <v>125532</v>
          </cell>
          <cell r="B176" t="str">
            <v>EVO44,S,48",IV,O,NN,MA</v>
          </cell>
          <cell r="C176" t="str">
            <v>EA</v>
          </cell>
          <cell r="D176" t="str">
            <v>MA100</v>
          </cell>
          <cell r="E176">
            <v>0</v>
          </cell>
          <cell r="G176">
            <v>125532</v>
          </cell>
        </row>
        <row r="177">
          <cell r="A177">
            <v>125553</v>
          </cell>
          <cell r="B177" t="str">
            <v>EDGE GUARD, EVO 48"</v>
          </cell>
          <cell r="C177" t="str">
            <v>EA</v>
          </cell>
          <cell r="D177" t="str">
            <v>RM100</v>
          </cell>
          <cell r="E177">
            <v>10.130000000000001</v>
          </cell>
          <cell r="G177">
            <v>125553</v>
          </cell>
        </row>
        <row r="178">
          <cell r="A178">
            <v>125566</v>
          </cell>
          <cell r="B178" t="str">
            <v>RD,7/16DIA,SS,25.5", PNEU, EVO IV JAMB</v>
          </cell>
          <cell r="C178" t="str">
            <v>EA</v>
          </cell>
          <cell r="D178" t="str">
            <v>RM100</v>
          </cell>
          <cell r="E178">
            <v>21.14</v>
          </cell>
          <cell r="G178">
            <v>125566</v>
          </cell>
        </row>
        <row r="179">
          <cell r="A179">
            <v>125567</v>
          </cell>
          <cell r="B179" t="str">
            <v>PRESS BAR, LONG, PNEU, EVO IV JAMB</v>
          </cell>
          <cell r="C179" t="str">
            <v>EA</v>
          </cell>
          <cell r="D179" t="str">
            <v>RM100</v>
          </cell>
          <cell r="E179">
            <v>33.93</v>
          </cell>
          <cell r="G179">
            <v>125567</v>
          </cell>
        </row>
        <row r="180">
          <cell r="A180">
            <v>125575</v>
          </cell>
          <cell r="B180" t="str">
            <v>HANDLE ROD,NON-ACTIVE,S201</v>
          </cell>
          <cell r="C180" t="str">
            <v>EA</v>
          </cell>
          <cell r="D180" t="str">
            <v>MA100</v>
          </cell>
          <cell r="E180">
            <v>62.319200000000002</v>
          </cell>
          <cell r="G180">
            <v>125575</v>
          </cell>
        </row>
        <row r="181">
          <cell r="A181">
            <v>125582</v>
          </cell>
          <cell r="B181" t="str">
            <v>CP-12x12-B-10B,2D9,2D15,1D25,3U,6WG 1/2</v>
          </cell>
          <cell r="C181" t="str">
            <v>EA</v>
          </cell>
          <cell r="D181" t="str">
            <v>MA100</v>
          </cell>
          <cell r="E181">
            <v>0</v>
          </cell>
          <cell r="G181">
            <v>125582</v>
          </cell>
        </row>
        <row r="182">
          <cell r="A182">
            <v>125585</v>
          </cell>
          <cell r="B182" t="str">
            <v>CAM LEVER,6-32,SS,15MM,EXT</v>
          </cell>
          <cell r="C182" t="str">
            <v>EA</v>
          </cell>
          <cell r="D182" t="str">
            <v>RM100</v>
          </cell>
          <cell r="E182">
            <v>13.98</v>
          </cell>
          <cell r="G182">
            <v>125585</v>
          </cell>
        </row>
        <row r="183">
          <cell r="A183">
            <v>125586</v>
          </cell>
          <cell r="B183" t="str">
            <v>BAR, RF SEAL HOLDER, SHORT, IV JAMB</v>
          </cell>
          <cell r="C183" t="str">
            <v>EA</v>
          </cell>
          <cell r="D183" t="str">
            <v>RM100</v>
          </cell>
          <cell r="E183">
            <v>3.17</v>
          </cell>
          <cell r="G183">
            <v>125586</v>
          </cell>
        </row>
        <row r="184">
          <cell r="A184">
            <v>125587</v>
          </cell>
          <cell r="B184" t="str">
            <v>BAR, RF SEAL HOLDER, LONG, IV JAMB</v>
          </cell>
          <cell r="C184" t="str">
            <v>EA</v>
          </cell>
          <cell r="D184" t="str">
            <v>RM100</v>
          </cell>
          <cell r="E184">
            <v>4.99</v>
          </cell>
          <cell r="G184">
            <v>125587</v>
          </cell>
        </row>
        <row r="185">
          <cell r="A185">
            <v>125602</v>
          </cell>
          <cell r="B185" t="str">
            <v>PLATE,ACCESSORY,CONNECTOR PANEL</v>
          </cell>
          <cell r="C185" t="str">
            <v>EA</v>
          </cell>
          <cell r="D185" t="str">
            <v>MA100</v>
          </cell>
          <cell r="E185">
            <v>64.434200000000004</v>
          </cell>
          <cell r="G185">
            <v>125602</v>
          </cell>
        </row>
        <row r="186">
          <cell r="A186">
            <v>125605</v>
          </cell>
          <cell r="B186" t="str">
            <v>ENDPLATE, EVO AIR JAMB, LEGACY GSKT</v>
          </cell>
          <cell r="C186" t="str">
            <v>EA</v>
          </cell>
          <cell r="D186" t="str">
            <v>MA100</v>
          </cell>
          <cell r="E186">
            <v>0.56518999999999997</v>
          </cell>
          <cell r="G186">
            <v>125605</v>
          </cell>
        </row>
        <row r="187">
          <cell r="A187">
            <v>125607</v>
          </cell>
          <cell r="B187" t="str">
            <v>DOOR LEAF,DOUBLE DEC, 24"X84", CORE</v>
          </cell>
          <cell r="C187" t="str">
            <v>EA</v>
          </cell>
          <cell r="D187" t="str">
            <v>MA410</v>
          </cell>
          <cell r="E187">
            <v>128.36250000000001</v>
          </cell>
          <cell r="G187">
            <v>125607</v>
          </cell>
        </row>
        <row r="188">
          <cell r="A188">
            <v>125680</v>
          </cell>
          <cell r="B188" t="str">
            <v>D/J,DEC,72"X96",DBL 60"X84"C.O.</v>
          </cell>
          <cell r="C188" t="str">
            <v>EA</v>
          </cell>
          <cell r="D188" t="str">
            <v>MA410</v>
          </cell>
          <cell r="E188">
            <v>218.09620000000001</v>
          </cell>
          <cell r="G188">
            <v>125680</v>
          </cell>
        </row>
        <row r="189">
          <cell r="A189">
            <v>125835</v>
          </cell>
          <cell r="B189" t="str">
            <v>LATCH RECEIVER BLOCK, 1.5"X3.5"</v>
          </cell>
          <cell r="C189" t="str">
            <v>EA</v>
          </cell>
          <cell r="D189" t="str">
            <v>MA410</v>
          </cell>
          <cell r="E189">
            <v>74</v>
          </cell>
          <cell r="G189">
            <v>125835</v>
          </cell>
        </row>
        <row r="190">
          <cell r="A190">
            <v>125836</v>
          </cell>
          <cell r="B190" t="str">
            <v>HANDLE ROD, .625"X1.5"X16.25"</v>
          </cell>
          <cell r="C190" t="str">
            <v>EA</v>
          </cell>
          <cell r="D190" t="str">
            <v>MA410</v>
          </cell>
          <cell r="E190">
            <v>198</v>
          </cell>
          <cell r="G190">
            <v>125836</v>
          </cell>
        </row>
        <row r="191">
          <cell r="A191">
            <v>125837</v>
          </cell>
          <cell r="B191" t="str">
            <v>HDL,ASSY,INSIDE, 16.25" ALUM</v>
          </cell>
          <cell r="C191" t="str">
            <v>EA</v>
          </cell>
          <cell r="D191" t="str">
            <v>MA410</v>
          </cell>
          <cell r="E191">
            <v>0</v>
          </cell>
          <cell r="G191">
            <v>125837</v>
          </cell>
        </row>
        <row r="192">
          <cell r="A192">
            <v>125839</v>
          </cell>
          <cell r="B192" t="str">
            <v>LATCH ROD, 38-INCH</v>
          </cell>
          <cell r="C192" t="str">
            <v>EA</v>
          </cell>
          <cell r="D192" t="str">
            <v>MA410</v>
          </cell>
          <cell r="E192">
            <v>95</v>
          </cell>
          <cell r="G192">
            <v>125839</v>
          </cell>
        </row>
        <row r="193">
          <cell r="A193">
            <v>125847</v>
          </cell>
          <cell r="B193" t="str">
            <v>CU,24OZ,5240-24,T/B,24"X25"</v>
          </cell>
          <cell r="C193" t="str">
            <v>EA</v>
          </cell>
          <cell r="D193" t="str">
            <v>MA410</v>
          </cell>
          <cell r="E193">
            <v>0</v>
          </cell>
          <cell r="G193">
            <v>125847</v>
          </cell>
        </row>
        <row r="194">
          <cell r="A194">
            <v>125848</v>
          </cell>
          <cell r="B194" t="str">
            <v>CU,24OZ,5240-24,SIDES</v>
          </cell>
          <cell r="C194" t="str">
            <v>EA</v>
          </cell>
          <cell r="D194" t="str">
            <v>MA410</v>
          </cell>
          <cell r="E194">
            <v>0</v>
          </cell>
          <cell r="G194">
            <v>125848</v>
          </cell>
        </row>
        <row r="195">
          <cell r="A195">
            <v>125849</v>
          </cell>
          <cell r="B195" t="str">
            <v>PLYWD BOX, SIDE DJ, 1.75"x2.75"x22.5"</v>
          </cell>
          <cell r="C195" t="str">
            <v>EA</v>
          </cell>
          <cell r="D195" t="str">
            <v>MA410</v>
          </cell>
          <cell r="E195">
            <v>0</v>
          </cell>
          <cell r="G195">
            <v>125849</v>
          </cell>
        </row>
        <row r="196">
          <cell r="A196">
            <v>125850</v>
          </cell>
          <cell r="B196" t="str">
            <v>PLYWD BOX, T/B PANEL, 24"x25"x.75"</v>
          </cell>
          <cell r="C196" t="str">
            <v>EA</v>
          </cell>
          <cell r="D196" t="str">
            <v>MA410</v>
          </cell>
          <cell r="E196">
            <v>0</v>
          </cell>
          <cell r="G196">
            <v>125850</v>
          </cell>
        </row>
        <row r="197">
          <cell r="A197">
            <v>125858</v>
          </cell>
          <cell r="B197" t="str">
            <v>PLYWD BOX, REAR PANEL, 22.5"x23.5"x0.75"</v>
          </cell>
          <cell r="C197" t="str">
            <v>EA</v>
          </cell>
          <cell r="D197" t="str">
            <v>MA410</v>
          </cell>
          <cell r="E197">
            <v>0</v>
          </cell>
          <cell r="G197">
            <v>125858</v>
          </cell>
        </row>
        <row r="198">
          <cell r="A198">
            <v>125859</v>
          </cell>
          <cell r="B198" t="str">
            <v>PLYWD BOX, T/B DJ PIECE, 1.75"X2.25"X18"</v>
          </cell>
          <cell r="C198" t="str">
            <v>EA</v>
          </cell>
          <cell r="D198" t="str">
            <v>MA410</v>
          </cell>
          <cell r="E198">
            <v>0</v>
          </cell>
          <cell r="G198">
            <v>125859</v>
          </cell>
        </row>
        <row r="199">
          <cell r="A199">
            <v>125860</v>
          </cell>
          <cell r="B199" t="str">
            <v>5240-24,D/J,22.5"x23.5",18"x18" 10GZ DR</v>
          </cell>
          <cell r="C199" t="str">
            <v>EA</v>
          </cell>
          <cell r="D199" t="str">
            <v>MA410</v>
          </cell>
          <cell r="E199">
            <v>0</v>
          </cell>
          <cell r="G199">
            <v>125860</v>
          </cell>
        </row>
        <row r="200">
          <cell r="A200">
            <v>125861</v>
          </cell>
          <cell r="B200" t="str">
            <v>5240-24,WOOD STRUCTURE,18"x18" 10GZ DR</v>
          </cell>
          <cell r="C200" t="str">
            <v>EA</v>
          </cell>
          <cell r="D200" t="str">
            <v>MA410</v>
          </cell>
          <cell r="E200">
            <v>0.43680000000000002</v>
          </cell>
          <cell r="G200">
            <v>125861</v>
          </cell>
        </row>
        <row r="201">
          <cell r="A201">
            <v>125862</v>
          </cell>
          <cell r="B201" t="str">
            <v>5240-24,18"x18"DR,CU SKIN ASSY, 10GZ</v>
          </cell>
          <cell r="C201" t="str">
            <v>EA</v>
          </cell>
          <cell r="D201" t="str">
            <v>MA410</v>
          </cell>
          <cell r="E201">
            <v>0</v>
          </cell>
          <cell r="G201">
            <v>125862</v>
          </cell>
        </row>
        <row r="202">
          <cell r="A202">
            <v>125863</v>
          </cell>
          <cell r="B202" t="str">
            <v>ASSY,5240-24,18"x18"DR, 10GZ</v>
          </cell>
          <cell r="C202" t="str">
            <v>EA</v>
          </cell>
          <cell r="D202" t="str">
            <v>MA410</v>
          </cell>
          <cell r="E202">
            <v>1174.04547</v>
          </cell>
          <cell r="G202">
            <v>125863</v>
          </cell>
        </row>
        <row r="203">
          <cell r="A203">
            <v>125868</v>
          </cell>
          <cell r="B203" t="str">
            <v>PLYWD BOX, SIDE PANEL, 22.5"x24"x0.75"</v>
          </cell>
          <cell r="C203" t="str">
            <v>EA</v>
          </cell>
          <cell r="D203" t="str">
            <v>MA410</v>
          </cell>
          <cell r="E203">
            <v>0</v>
          </cell>
          <cell r="G203">
            <v>125868</v>
          </cell>
        </row>
        <row r="204">
          <cell r="A204">
            <v>125872</v>
          </cell>
          <cell r="B204" t="str">
            <v>TRIM,D/J,1-1/2x19.75,10GHz,1/8"SHT MTL</v>
          </cell>
          <cell r="C204" t="str">
            <v>EA</v>
          </cell>
          <cell r="D204" t="str">
            <v>MA410</v>
          </cell>
          <cell r="E204">
            <v>0</v>
          </cell>
          <cell r="G204">
            <v>125872</v>
          </cell>
        </row>
        <row r="205">
          <cell r="A205">
            <v>125924</v>
          </cell>
          <cell r="B205" t="str">
            <v>PLYWOOD,FAN MOUNT,8"x8"x3/4",4"DIA HOLE</v>
          </cell>
          <cell r="C205" t="str">
            <v>EA</v>
          </cell>
          <cell r="D205" t="str">
            <v>MA420</v>
          </cell>
          <cell r="E205">
            <v>3.3479999999999999</v>
          </cell>
          <cell r="G205">
            <v>125924</v>
          </cell>
        </row>
        <row r="206">
          <cell r="A206">
            <v>125932</v>
          </cell>
          <cell r="B206" t="str">
            <v>CPA-12x12-B-2TNC,1(1" DIA)WGFT</v>
          </cell>
          <cell r="C206" t="str">
            <v>EA</v>
          </cell>
          <cell r="D206" t="str">
            <v>MA410</v>
          </cell>
          <cell r="E206">
            <v>149.28882999999999</v>
          </cell>
          <cell r="G206">
            <v>125932</v>
          </cell>
        </row>
        <row r="207">
          <cell r="A207">
            <v>125933</v>
          </cell>
          <cell r="B207" t="str">
            <v>CP-12x12-B-2TNC,1(1"DIA)WGFT</v>
          </cell>
          <cell r="C207" t="str">
            <v>EA</v>
          </cell>
          <cell r="D207" t="str">
            <v>MA410</v>
          </cell>
          <cell r="E207">
            <v>48.621429999999997</v>
          </cell>
          <cell r="G207">
            <v>125933</v>
          </cell>
        </row>
        <row r="208">
          <cell r="A208">
            <v>125956</v>
          </cell>
          <cell r="B208" t="str">
            <v>INTERLOCK SWITCH BRACKET</v>
          </cell>
          <cell r="C208" t="str">
            <v>EA</v>
          </cell>
          <cell r="D208" t="str">
            <v>MA100</v>
          </cell>
          <cell r="E208">
            <v>128.22999999999999</v>
          </cell>
          <cell r="G208">
            <v>125956</v>
          </cell>
        </row>
        <row r="209">
          <cell r="A209">
            <v>125957</v>
          </cell>
          <cell r="B209" t="str">
            <v>INTERLOCK SWITCH PLATE</v>
          </cell>
          <cell r="C209" t="str">
            <v>EA</v>
          </cell>
          <cell r="D209" t="str">
            <v>MA100</v>
          </cell>
          <cell r="E209">
            <v>0</v>
          </cell>
          <cell r="G209">
            <v>125957</v>
          </cell>
        </row>
        <row r="210">
          <cell r="A210">
            <v>125958</v>
          </cell>
          <cell r="B210" t="str">
            <v>SWITCH, BASIC, ROLLER, SCREW TERM</v>
          </cell>
          <cell r="C210" t="str">
            <v>EA</v>
          </cell>
          <cell r="D210" t="str">
            <v>MA100</v>
          </cell>
          <cell r="E210">
            <v>13.37</v>
          </cell>
          <cell r="G210">
            <v>125958</v>
          </cell>
        </row>
        <row r="211">
          <cell r="A211">
            <v>126068</v>
          </cell>
          <cell r="B211" t="str">
            <v>VENT CORE STL,3/16",18.0 X 18.0</v>
          </cell>
          <cell r="C211" t="str">
            <v>EA</v>
          </cell>
          <cell r="D211" t="str">
            <v>MA100</v>
          </cell>
          <cell r="E211">
            <v>0</v>
          </cell>
          <cell r="G211">
            <v>126068</v>
          </cell>
        </row>
        <row r="212">
          <cell r="A212">
            <v>126116</v>
          </cell>
          <cell r="B212" t="str">
            <v>VENT,WG,W/FLG (BRS) 6.0X6.0</v>
          </cell>
          <cell r="C212" t="str">
            <v>EA</v>
          </cell>
          <cell r="D212" t="str">
            <v>MA100</v>
          </cell>
          <cell r="E212">
            <v>69.885940000000005</v>
          </cell>
          <cell r="G212">
            <v>126116</v>
          </cell>
        </row>
        <row r="213">
          <cell r="A213">
            <v>126157</v>
          </cell>
          <cell r="B213" t="str">
            <v>3'X7' FRNT SKIN,DEI DBL DR,ACTV LEAF</v>
          </cell>
          <cell r="C213" t="str">
            <v>EA</v>
          </cell>
          <cell r="D213" t="str">
            <v>MA410</v>
          </cell>
          <cell r="E213">
            <v>0</v>
          </cell>
          <cell r="G213">
            <v>126157</v>
          </cell>
        </row>
        <row r="214">
          <cell r="A214">
            <v>126158</v>
          </cell>
          <cell r="B214" t="str">
            <v>3'X7' FRNT SKIN,DEI DBL DR,IACTV LEAF</v>
          </cell>
          <cell r="C214" t="str">
            <v>EA</v>
          </cell>
          <cell r="D214" t="str">
            <v>MA410</v>
          </cell>
          <cell r="E214">
            <v>0</v>
          </cell>
          <cell r="G214">
            <v>126158</v>
          </cell>
        </row>
        <row r="215">
          <cell r="A215">
            <v>126159</v>
          </cell>
          <cell r="B215" t="str">
            <v>3'X7' BACK SKIN,DEI DBL DR,ACTV LEAF</v>
          </cell>
          <cell r="C215" t="str">
            <v>EA</v>
          </cell>
          <cell r="D215" t="str">
            <v>MA410</v>
          </cell>
          <cell r="E215">
            <v>0</v>
          </cell>
          <cell r="G215">
            <v>126159</v>
          </cell>
        </row>
        <row r="216">
          <cell r="A216">
            <v>126160</v>
          </cell>
          <cell r="B216" t="str">
            <v>3'X7' BACK SKIN,DEI DBL DR,IACTV LEAF</v>
          </cell>
          <cell r="C216" t="str">
            <v>EA</v>
          </cell>
          <cell r="D216" t="str">
            <v>MA410</v>
          </cell>
          <cell r="E216">
            <v>0</v>
          </cell>
          <cell r="G216">
            <v>126160</v>
          </cell>
        </row>
        <row r="217">
          <cell r="A217">
            <v>126161</v>
          </cell>
          <cell r="B217" t="str">
            <v>3'X7' DEI DOOR CORE, INACTIVE LEAF</v>
          </cell>
          <cell r="C217" t="str">
            <v>EA</v>
          </cell>
          <cell r="D217" t="str">
            <v>MA410</v>
          </cell>
          <cell r="E217">
            <v>0</v>
          </cell>
          <cell r="G217">
            <v>126161</v>
          </cell>
        </row>
        <row r="218">
          <cell r="A218">
            <v>126166</v>
          </cell>
          <cell r="B218" t="str">
            <v>3'X7' DEI STD DOOR LEAF ASSY,ACTIVE</v>
          </cell>
          <cell r="C218" t="str">
            <v>EA</v>
          </cell>
          <cell r="D218" t="str">
            <v>MA410</v>
          </cell>
          <cell r="E218">
            <v>0</v>
          </cell>
          <cell r="G218">
            <v>126166</v>
          </cell>
        </row>
        <row r="219">
          <cell r="A219">
            <v>126167</v>
          </cell>
          <cell r="B219" t="str">
            <v>3'X7' DEI STD DOOR LEAF ASSY,INACTIVE</v>
          </cell>
          <cell r="C219" t="str">
            <v>EA</v>
          </cell>
          <cell r="D219" t="str">
            <v>MA410</v>
          </cell>
          <cell r="E219">
            <v>0</v>
          </cell>
          <cell r="G219">
            <v>126167</v>
          </cell>
        </row>
        <row r="220">
          <cell r="A220">
            <v>126185</v>
          </cell>
          <cell r="B220" t="str">
            <v>VENT,WG,W/FLG (BRS) 10.0X12.0</v>
          </cell>
          <cell r="C220" t="str">
            <v>EA</v>
          </cell>
          <cell r="D220" t="str">
            <v>MA100</v>
          </cell>
          <cell r="E220">
            <v>199.27188000000001</v>
          </cell>
          <cell r="G220">
            <v>126185</v>
          </cell>
        </row>
        <row r="221">
          <cell r="A221">
            <v>126186</v>
          </cell>
          <cell r="B221" t="str">
            <v>VENT,WG,W/FLG (BRS) 10.0X14.0</v>
          </cell>
          <cell r="C221" t="str">
            <v>EA</v>
          </cell>
          <cell r="D221" t="str">
            <v>MA100</v>
          </cell>
          <cell r="E221">
            <v>199.27188000000001</v>
          </cell>
          <cell r="G221">
            <v>126186</v>
          </cell>
        </row>
        <row r="222">
          <cell r="A222">
            <v>126187</v>
          </cell>
          <cell r="B222" t="str">
            <v>VENT,WG,W/FLG (BRS) 12.0X16.0</v>
          </cell>
          <cell r="C222" t="str">
            <v>EA</v>
          </cell>
          <cell r="D222" t="str">
            <v>MA100</v>
          </cell>
          <cell r="E222">
            <v>242.35485</v>
          </cell>
          <cell r="G222">
            <v>126187</v>
          </cell>
        </row>
        <row r="223">
          <cell r="A223">
            <v>126188</v>
          </cell>
          <cell r="B223" t="str">
            <v>VENT,WG,W/FLG (BRS) 14.0X16.0</v>
          </cell>
          <cell r="C223" t="str">
            <v>EA</v>
          </cell>
          <cell r="D223" t="str">
            <v>MA100</v>
          </cell>
          <cell r="E223">
            <v>242.35485</v>
          </cell>
          <cell r="G223">
            <v>126188</v>
          </cell>
        </row>
        <row r="224">
          <cell r="A224">
            <v>126189</v>
          </cell>
          <cell r="B224" t="str">
            <v>VENT,WG,W/FLG (BRS) 16.0X20.0</v>
          </cell>
          <cell r="C224" t="str">
            <v>EA</v>
          </cell>
          <cell r="D224" t="str">
            <v>MA100</v>
          </cell>
          <cell r="E224">
            <v>327.46656999999999</v>
          </cell>
          <cell r="G224">
            <v>126189</v>
          </cell>
        </row>
        <row r="225">
          <cell r="A225">
            <v>126190</v>
          </cell>
          <cell r="B225" t="str">
            <v>VENT,WG,W/FLG (BRS) 20.0X20.0</v>
          </cell>
          <cell r="C225" t="str">
            <v>EA</v>
          </cell>
          <cell r="D225" t="str">
            <v>MA100</v>
          </cell>
          <cell r="E225">
            <v>364.74876</v>
          </cell>
          <cell r="G225">
            <v>126190</v>
          </cell>
        </row>
        <row r="226">
          <cell r="A226">
            <v>126197</v>
          </cell>
          <cell r="B226" t="str">
            <v>VENT,WG,W/FLG (BRS) 12.0X14.0</v>
          </cell>
          <cell r="C226" t="str">
            <v>EA</v>
          </cell>
          <cell r="D226" t="str">
            <v>MA100</v>
          </cell>
          <cell r="E226">
            <v>216.85485</v>
          </cell>
          <cell r="G226">
            <v>126197</v>
          </cell>
        </row>
        <row r="227">
          <cell r="A227">
            <v>126238</v>
          </cell>
          <cell r="B227" t="str">
            <v>Flange Reinforcement, 12GA .375"x.375"</v>
          </cell>
          <cell r="C227" t="str">
            <v>EA</v>
          </cell>
          <cell r="D227" t="str">
            <v>MA410</v>
          </cell>
          <cell r="E227">
            <v>1.7295</v>
          </cell>
          <cell r="G227">
            <v>126238</v>
          </cell>
        </row>
        <row r="228">
          <cell r="A228">
            <v>126239</v>
          </cell>
          <cell r="B228" t="str">
            <v>DEI-DJ-HEADER-1.75"X9"X72"</v>
          </cell>
          <cell r="C228" t="str">
            <v>EA</v>
          </cell>
          <cell r="D228" t="str">
            <v>MA410</v>
          </cell>
          <cell r="E228">
            <v>0</v>
          </cell>
          <cell r="G228">
            <v>126239</v>
          </cell>
        </row>
        <row r="229">
          <cell r="A229">
            <v>126240</v>
          </cell>
          <cell r="B229" t="str">
            <v>DEI-DJ-FOOTER-1.75"X3"X72"</v>
          </cell>
          <cell r="C229" t="str">
            <v>EA</v>
          </cell>
          <cell r="D229" t="str">
            <v>MA410</v>
          </cell>
          <cell r="E229">
            <v>0</v>
          </cell>
          <cell r="G229">
            <v>126240</v>
          </cell>
        </row>
        <row r="230">
          <cell r="A230">
            <v>126241</v>
          </cell>
          <cell r="B230" t="str">
            <v>DEI-DJ-L/RAIL-1.75"X6"X96"</v>
          </cell>
          <cell r="C230" t="str">
            <v>EA</v>
          </cell>
          <cell r="D230" t="str">
            <v>MA410</v>
          </cell>
          <cell r="E230">
            <v>0</v>
          </cell>
          <cell r="G230">
            <v>126241</v>
          </cell>
        </row>
        <row r="231">
          <cell r="A231">
            <v>126242</v>
          </cell>
          <cell r="B231" t="str">
            <v>DEI-DJ-R/RAIL-1.75"X6"X96"</v>
          </cell>
          <cell r="C231" t="str">
            <v>EA</v>
          </cell>
          <cell r="D231" t="str">
            <v>MA410</v>
          </cell>
          <cell r="E231">
            <v>0</v>
          </cell>
          <cell r="G231">
            <v>126242</v>
          </cell>
        </row>
        <row r="232">
          <cell r="A232">
            <v>126243</v>
          </cell>
          <cell r="B232" t="str">
            <v>D/J,DEI,84"X96",DBL 72"X84"C.O.</v>
          </cell>
          <cell r="C232" t="str">
            <v>EA</v>
          </cell>
          <cell r="D232" t="str">
            <v>MA410</v>
          </cell>
          <cell r="E232">
            <v>0.19620000000000001</v>
          </cell>
          <cell r="G232">
            <v>126243</v>
          </cell>
        </row>
        <row r="233">
          <cell r="A233">
            <v>126244</v>
          </cell>
          <cell r="B233" t="str">
            <v>FRONT THRESHOLD TRIM, BRZ 84"</v>
          </cell>
          <cell r="C233" t="str">
            <v>EA</v>
          </cell>
          <cell r="D233" t="str">
            <v>MA410</v>
          </cell>
          <cell r="E233">
            <v>17.54522</v>
          </cell>
          <cell r="G233">
            <v>126244</v>
          </cell>
        </row>
        <row r="234">
          <cell r="A234">
            <v>126245</v>
          </cell>
          <cell r="B234" t="str">
            <v>TOP THRESHOLD TRIM, BRZ 79"</v>
          </cell>
          <cell r="C234" t="str">
            <v>EA</v>
          </cell>
          <cell r="D234" t="str">
            <v>MA410</v>
          </cell>
          <cell r="E234">
            <v>16.793279999999999</v>
          </cell>
          <cell r="G234">
            <v>126245</v>
          </cell>
        </row>
        <row r="235">
          <cell r="A235">
            <v>126246</v>
          </cell>
          <cell r="B235" t="str">
            <v>DEI,D/J SKIN,GALV,84"X96",72"X84"C.O.</v>
          </cell>
          <cell r="C235" t="str">
            <v>EA</v>
          </cell>
          <cell r="D235" t="str">
            <v>MA410</v>
          </cell>
          <cell r="E235">
            <v>45.45</v>
          </cell>
          <cell r="G235">
            <v>126246</v>
          </cell>
        </row>
        <row r="236">
          <cell r="A236">
            <v>126247</v>
          </cell>
          <cell r="B236" t="str">
            <v>DEI,D/J SKIN,CU,84"X96",72"X84"C.O.</v>
          </cell>
          <cell r="C236" t="str">
            <v>EA</v>
          </cell>
          <cell r="D236" t="str">
            <v>MA410</v>
          </cell>
          <cell r="E236">
            <v>62.295000000000002</v>
          </cell>
          <cell r="G236">
            <v>126247</v>
          </cell>
        </row>
        <row r="237">
          <cell r="A237">
            <v>126248</v>
          </cell>
          <cell r="B237" t="str">
            <v>ASSY,D/J,DEI,84"X96",DBL72"X84"C.O.</v>
          </cell>
          <cell r="C237" t="str">
            <v>EA</v>
          </cell>
          <cell r="D237" t="str">
            <v>MA410</v>
          </cell>
          <cell r="E237">
            <v>144.20570000000001</v>
          </cell>
          <cell r="G237">
            <v>126248</v>
          </cell>
        </row>
        <row r="238">
          <cell r="A238">
            <v>126249</v>
          </cell>
          <cell r="B238" t="str">
            <v>DOOR LATCH, 86", LOWERED</v>
          </cell>
          <cell r="C238" t="str">
            <v>EA</v>
          </cell>
          <cell r="D238" t="str">
            <v>MA410</v>
          </cell>
          <cell r="E238">
            <v>0</v>
          </cell>
          <cell r="G238">
            <v>126249</v>
          </cell>
        </row>
        <row r="239">
          <cell r="A239">
            <v>126250</v>
          </cell>
          <cell r="B239" t="str">
            <v>ASSY,DR,DEI,84"X96",DBL</v>
          </cell>
          <cell r="C239" t="str">
            <v>EA</v>
          </cell>
          <cell r="D239" t="str">
            <v>FG011</v>
          </cell>
          <cell r="E239">
            <v>0</v>
          </cell>
          <cell r="G239">
            <v>126250</v>
          </cell>
        </row>
        <row r="240">
          <cell r="A240">
            <v>126256</v>
          </cell>
          <cell r="B240" t="str">
            <v>BRS PLT,CP-8X8-B-6N</v>
          </cell>
          <cell r="C240" t="str">
            <v>EA</v>
          </cell>
          <cell r="D240" t="str">
            <v>MA410</v>
          </cell>
          <cell r="E240">
            <v>47.970500000000001</v>
          </cell>
          <cell r="G240">
            <v>126256</v>
          </cell>
        </row>
        <row r="241">
          <cell r="A241">
            <v>126257</v>
          </cell>
          <cell r="B241" t="str">
            <v>BRS PLT ASSY,CPA-8X8-B-6N</v>
          </cell>
          <cell r="C241" t="str">
            <v>EA</v>
          </cell>
          <cell r="D241" t="str">
            <v>MA410</v>
          </cell>
          <cell r="E241">
            <v>203.95536000000001</v>
          </cell>
          <cell r="G241">
            <v>126257</v>
          </cell>
        </row>
        <row r="242">
          <cell r="A242">
            <v>126269</v>
          </cell>
          <cell r="B242" t="str">
            <v>VENT,WG,W/FLG (BRS) 8.0X22.0</v>
          </cell>
          <cell r="C242" t="str">
            <v>EA</v>
          </cell>
          <cell r="D242" t="str">
            <v>MA100</v>
          </cell>
          <cell r="E242">
            <v>216.85485</v>
          </cell>
          <cell r="G242">
            <v>126269</v>
          </cell>
        </row>
        <row r="243">
          <cell r="A243">
            <v>126300</v>
          </cell>
          <cell r="B243" t="str">
            <v>DEC DOOR LEAF ASSY, 18X36, CU</v>
          </cell>
          <cell r="C243" t="str">
            <v>EA</v>
          </cell>
          <cell r="D243" t="str">
            <v>MA100</v>
          </cell>
          <cell r="E243">
            <v>0</v>
          </cell>
          <cell r="G243">
            <v>126300</v>
          </cell>
        </row>
        <row r="244">
          <cell r="A244">
            <v>126334</v>
          </cell>
          <cell r="B244" t="str">
            <v>5240-2442,D/J,22-1/2"x40-1/2",18"x36" DR</v>
          </cell>
          <cell r="C244" t="str">
            <v>EA</v>
          </cell>
          <cell r="D244" t="str">
            <v>MA420</v>
          </cell>
          <cell r="E244">
            <v>17.296199999999999</v>
          </cell>
          <cell r="G244">
            <v>126334</v>
          </cell>
        </row>
        <row r="245">
          <cell r="A245">
            <v>126335</v>
          </cell>
          <cell r="B245" t="str">
            <v>5240-2442,WOOD STRUCTURE,18"x36" DR</v>
          </cell>
          <cell r="C245" t="str">
            <v>EA</v>
          </cell>
          <cell r="D245" t="str">
            <v>MA420</v>
          </cell>
          <cell r="E245">
            <v>53.613750000000003</v>
          </cell>
          <cell r="G245">
            <v>126335</v>
          </cell>
        </row>
        <row r="246">
          <cell r="A246">
            <v>126336</v>
          </cell>
          <cell r="B246" t="str">
            <v>CU,24OZ,5240-2442,SIDES</v>
          </cell>
          <cell r="C246" t="str">
            <v>EA</v>
          </cell>
          <cell r="D246" t="str">
            <v>MA420</v>
          </cell>
          <cell r="E246">
            <v>130.4075</v>
          </cell>
          <cell r="G246">
            <v>126336</v>
          </cell>
        </row>
        <row r="247">
          <cell r="A247">
            <v>126337</v>
          </cell>
          <cell r="B247" t="str">
            <v>5240-2442,18"x36"DR,COPPER SKIN ASSEMBLY</v>
          </cell>
          <cell r="C247" t="str">
            <v>EA</v>
          </cell>
          <cell r="D247" t="str">
            <v>MA420</v>
          </cell>
          <cell r="E247">
            <v>1163.0326700000001</v>
          </cell>
          <cell r="G247">
            <v>126337</v>
          </cell>
        </row>
        <row r="248">
          <cell r="A248">
            <v>126338</v>
          </cell>
          <cell r="B248" t="str">
            <v>ASSY,5240-2442,18"x36"DR,2" DR TRIM</v>
          </cell>
          <cell r="C248" t="str">
            <v>EA</v>
          </cell>
          <cell r="D248" t="str">
            <v>MA420</v>
          </cell>
          <cell r="E248">
            <v>1163.67587</v>
          </cell>
          <cell r="G248">
            <v>126338</v>
          </cell>
        </row>
        <row r="249">
          <cell r="A249">
            <v>126375</v>
          </cell>
          <cell r="B249" t="str">
            <v>KIT, EVO (I.S.) DOOR HANDLE W/KEYPAD</v>
          </cell>
          <cell r="C249" t="str">
            <v>EA</v>
          </cell>
          <cell r="D249" t="str">
            <v>MA100</v>
          </cell>
          <cell r="E249">
            <v>821.57470999999998</v>
          </cell>
          <cell r="G249">
            <v>126375</v>
          </cell>
        </row>
        <row r="250">
          <cell r="A250">
            <v>126376</v>
          </cell>
          <cell r="B250" t="str">
            <v>KIT, EVO (O.S.) DOOR HANDLE W/KEYPAD</v>
          </cell>
          <cell r="C250" t="str">
            <v>EA</v>
          </cell>
          <cell r="D250" t="str">
            <v>MA100</v>
          </cell>
          <cell r="E250">
            <v>821.57470999999998</v>
          </cell>
          <cell r="G250">
            <v>126376</v>
          </cell>
        </row>
        <row r="251">
          <cell r="A251">
            <v>126380</v>
          </cell>
          <cell r="B251" t="str">
            <v>KIT, AS2 DOOR HANDLE W/KEYPAD</v>
          </cell>
          <cell r="C251" t="str">
            <v>EA</v>
          </cell>
          <cell r="D251" t="str">
            <v>MA410</v>
          </cell>
          <cell r="E251">
            <v>706.99711000000002</v>
          </cell>
          <cell r="G251">
            <v>126380</v>
          </cell>
        </row>
        <row r="252">
          <cell r="A252">
            <v>126392</v>
          </cell>
          <cell r="B252" t="str">
            <v>KIT, CONTACT SWITCH, DOORS</v>
          </cell>
          <cell r="C252" t="str">
            <v>EA</v>
          </cell>
          <cell r="D252" t="str">
            <v>MA100</v>
          </cell>
          <cell r="E252">
            <v>199.44800000000001</v>
          </cell>
          <cell r="G252">
            <v>126392</v>
          </cell>
        </row>
        <row r="253">
          <cell r="A253">
            <v>126442</v>
          </cell>
          <cell r="B253" t="str">
            <v>VENT,WG,W/FLG (BRS) 6.0X30.0</v>
          </cell>
          <cell r="C253" t="str">
            <v>EA</v>
          </cell>
          <cell r="D253" t="str">
            <v>MA100</v>
          </cell>
          <cell r="E253">
            <v>226.22932</v>
          </cell>
          <cell r="G253">
            <v>126442</v>
          </cell>
        </row>
        <row r="254">
          <cell r="A254">
            <v>126515</v>
          </cell>
          <cell r="B254" t="str">
            <v>DOOR LEAF CORE; 24"X78"X2"</v>
          </cell>
          <cell r="C254" t="str">
            <v>EA</v>
          </cell>
          <cell r="D254" t="str">
            <v>MA100</v>
          </cell>
          <cell r="E254">
            <v>143.928</v>
          </cell>
          <cell r="G254">
            <v>126515</v>
          </cell>
        </row>
        <row r="255">
          <cell r="A255">
            <v>126585</v>
          </cell>
          <cell r="B255" t="str">
            <v>FILLER PLATE, EVO JAMB, IV OPTION</v>
          </cell>
          <cell r="C255" t="str">
            <v>EA</v>
          </cell>
          <cell r="D255" t="str">
            <v>MA410</v>
          </cell>
          <cell r="E255">
            <v>0</v>
          </cell>
          <cell r="G255">
            <v>126585</v>
          </cell>
        </row>
        <row r="256">
          <cell r="A256">
            <v>126588</v>
          </cell>
          <cell r="B256" t="str">
            <v>CPA-12x12-B-6S</v>
          </cell>
          <cell r="C256" t="str">
            <v>EA</v>
          </cell>
          <cell r="D256" t="str">
            <v>MA410</v>
          </cell>
          <cell r="E256">
            <v>221.11879999999999</v>
          </cell>
          <cell r="G256">
            <v>126588</v>
          </cell>
        </row>
        <row r="257">
          <cell r="A257">
            <v>126589</v>
          </cell>
          <cell r="B257" t="str">
            <v>CP-12x12-B-6S</v>
          </cell>
          <cell r="C257" t="str">
            <v>EA</v>
          </cell>
          <cell r="D257" t="str">
            <v>MA410</v>
          </cell>
          <cell r="E257">
            <v>94.787999999999997</v>
          </cell>
          <cell r="G257">
            <v>126589</v>
          </cell>
        </row>
        <row r="258">
          <cell r="A258">
            <v>126591</v>
          </cell>
          <cell r="B258" t="str">
            <v>FLOAT FLOOR PLATE,EVO36</v>
          </cell>
          <cell r="C258" t="str">
            <v>EA</v>
          </cell>
          <cell r="D258" t="str">
            <v>MA410</v>
          </cell>
          <cell r="E258">
            <v>46.180520000000001</v>
          </cell>
          <cell r="G258">
            <v>126591</v>
          </cell>
        </row>
        <row r="259">
          <cell r="A259">
            <v>126607</v>
          </cell>
          <cell r="B259" t="str">
            <v>D/J HEADER/FOOTER, 1.75"X2.75"X24"</v>
          </cell>
          <cell r="C259" t="str">
            <v>EA</v>
          </cell>
          <cell r="D259" t="str">
            <v>MA410</v>
          </cell>
          <cell r="E259">
            <v>0</v>
          </cell>
          <cell r="G259">
            <v>126607</v>
          </cell>
        </row>
        <row r="260">
          <cell r="A260">
            <v>126608</v>
          </cell>
          <cell r="B260" t="str">
            <v>D/J RAIL, 1.75"X2.75"X83.5"</v>
          </cell>
          <cell r="C260" t="str">
            <v>EA</v>
          </cell>
          <cell r="D260" t="str">
            <v>MA410</v>
          </cell>
          <cell r="E260">
            <v>0</v>
          </cell>
          <cell r="G260">
            <v>126608</v>
          </cell>
        </row>
        <row r="261">
          <cell r="A261">
            <v>126609</v>
          </cell>
          <cell r="B261" t="str">
            <v>D/J,DEC,24"x78" C.O. WD ASSY</v>
          </cell>
          <cell r="C261" t="str">
            <v>EA</v>
          </cell>
          <cell r="D261" t="str">
            <v>MA100</v>
          </cell>
          <cell r="E261">
            <v>211.1026</v>
          </cell>
          <cell r="G261">
            <v>126609</v>
          </cell>
        </row>
        <row r="262">
          <cell r="A262">
            <v>126620</v>
          </cell>
          <cell r="B262" t="str">
            <v>SEAL, RF, SHORT, IV JAMB, RH</v>
          </cell>
          <cell r="C262" t="str">
            <v>EA</v>
          </cell>
          <cell r="D262" t="str">
            <v>MA470</v>
          </cell>
          <cell r="E262">
            <v>0</v>
          </cell>
          <cell r="G262">
            <v>126620</v>
          </cell>
        </row>
        <row r="263">
          <cell r="A263">
            <v>126621</v>
          </cell>
          <cell r="B263" t="str">
            <v>SEAL, RF, LONG, IV JAMB, RH</v>
          </cell>
          <cell r="C263" t="str">
            <v>EA</v>
          </cell>
          <cell r="D263" t="str">
            <v>MA470</v>
          </cell>
          <cell r="E263">
            <v>0</v>
          </cell>
          <cell r="G263">
            <v>126621</v>
          </cell>
        </row>
        <row r="264">
          <cell r="A264">
            <v>126640</v>
          </cell>
          <cell r="B264" t="str">
            <v>PANEL,S81,4'x8'</v>
          </cell>
          <cell r="C264" t="str">
            <v>EA</v>
          </cell>
          <cell r="D264" t="str">
            <v>MA100</v>
          </cell>
          <cell r="E264">
            <v>90.4</v>
          </cell>
          <cell r="G264">
            <v>126640</v>
          </cell>
        </row>
        <row r="265">
          <cell r="A265">
            <v>126643</v>
          </cell>
          <cell r="B265" t="str">
            <v>PANEL,S81,4'x10' (28/28 GALV.)</v>
          </cell>
          <cell r="C265" t="str">
            <v>EA</v>
          </cell>
          <cell r="D265" t="str">
            <v>MA100</v>
          </cell>
          <cell r="E265">
            <v>103.85</v>
          </cell>
          <cell r="G265">
            <v>126643</v>
          </cell>
        </row>
        <row r="266">
          <cell r="A266">
            <v>126814</v>
          </cell>
          <cell r="B266" t="str">
            <v>CLAMP,S81,STD,118-3/4</v>
          </cell>
          <cell r="C266" t="str">
            <v>EA</v>
          </cell>
          <cell r="D266" t="str">
            <v>MA100</v>
          </cell>
          <cell r="E266">
            <v>31.45</v>
          </cell>
          <cell r="G266">
            <v>126814</v>
          </cell>
        </row>
        <row r="267">
          <cell r="A267">
            <v>126828</v>
          </cell>
          <cell r="B267" t="str">
            <v>CLAMP,S81,STD,94-3/4</v>
          </cell>
          <cell r="C267" t="str">
            <v>EA</v>
          </cell>
          <cell r="D267" t="str">
            <v>MA100</v>
          </cell>
          <cell r="E267">
            <v>26.91</v>
          </cell>
          <cell r="G267">
            <v>126828</v>
          </cell>
        </row>
        <row r="268">
          <cell r="A268">
            <v>126870</v>
          </cell>
          <cell r="B268" t="str">
            <v>CLAMP,S81,CSK,118-3/4</v>
          </cell>
          <cell r="C268" t="str">
            <v>EA</v>
          </cell>
          <cell r="D268" t="str">
            <v>MA100</v>
          </cell>
          <cell r="E268">
            <v>33.520000000000003</v>
          </cell>
          <cell r="G268">
            <v>126870</v>
          </cell>
        </row>
        <row r="269">
          <cell r="A269">
            <v>126914</v>
          </cell>
          <cell r="B269" t="str">
            <v>CLAMP,S81,CORNER,118-3/4</v>
          </cell>
          <cell r="C269" t="str">
            <v>EA</v>
          </cell>
          <cell r="D269" t="str">
            <v>MA100</v>
          </cell>
          <cell r="E269">
            <v>37.07</v>
          </cell>
          <cell r="G269">
            <v>126914</v>
          </cell>
        </row>
        <row r="270">
          <cell r="A270">
            <v>126930</v>
          </cell>
          <cell r="B270" t="str">
            <v>ASSY,5240-24,18"x18"DR,2" DR TRIM,RHS DR</v>
          </cell>
          <cell r="C270" t="str">
            <v>EA</v>
          </cell>
          <cell r="D270" t="str">
            <v>MA420</v>
          </cell>
          <cell r="E270">
            <v>4125.4399999999996</v>
          </cell>
          <cell r="G270">
            <v>126930</v>
          </cell>
        </row>
        <row r="271">
          <cell r="A271">
            <v>126934</v>
          </cell>
          <cell r="B271" t="str">
            <v>KIT,ABSORBER,5240-24,18x18DR,IG43110</v>
          </cell>
          <cell r="C271" t="str">
            <v>EA</v>
          </cell>
          <cell r="D271" t="str">
            <v>MA200</v>
          </cell>
          <cell r="E271">
            <v>0</v>
          </cell>
          <cell r="G271">
            <v>126934</v>
          </cell>
        </row>
        <row r="272">
          <cell r="A272">
            <v>126950</v>
          </cell>
          <cell r="B272" t="str">
            <v>EVO 3' AIR FRAME W/ 40MMx80MM PROFILE</v>
          </cell>
          <cell r="C272" t="str">
            <v>EA</v>
          </cell>
          <cell r="D272" t="str">
            <v>RM100</v>
          </cell>
          <cell r="E272">
            <v>430.31599999999997</v>
          </cell>
          <cell r="G272">
            <v>126950</v>
          </cell>
        </row>
        <row r="273">
          <cell r="A273">
            <v>126966</v>
          </cell>
          <cell r="B273" t="str">
            <v>EVO, LATCH SUPPORT BLOCK</v>
          </cell>
          <cell r="C273" t="str">
            <v>EA</v>
          </cell>
          <cell r="D273" t="str">
            <v>RM100</v>
          </cell>
          <cell r="E273">
            <v>20.675999999999998</v>
          </cell>
          <cell r="G273">
            <v>126966</v>
          </cell>
        </row>
        <row r="274">
          <cell r="A274">
            <v>126970</v>
          </cell>
          <cell r="B274" t="str">
            <v>EVO44 DOOR SLAB,48",OS,RH,WI</v>
          </cell>
          <cell r="C274" t="str">
            <v>EA</v>
          </cell>
          <cell r="D274" t="str">
            <v>MA100</v>
          </cell>
          <cell r="E274">
            <v>0</v>
          </cell>
          <cell r="G274">
            <v>126970</v>
          </cell>
        </row>
        <row r="275">
          <cell r="A275">
            <v>126999</v>
          </cell>
          <cell r="B275" t="str">
            <v>VENT,WG,W/FLG (BRS) 12.0X18.0</v>
          </cell>
          <cell r="C275" t="str">
            <v>EA</v>
          </cell>
          <cell r="D275" t="str">
            <v>MA100</v>
          </cell>
          <cell r="E275">
            <v>242.35485</v>
          </cell>
          <cell r="G275">
            <v>126999</v>
          </cell>
        </row>
        <row r="276">
          <cell r="A276">
            <v>127000</v>
          </cell>
          <cell r="B276" t="str">
            <v>VENT,WG,W/FLG (BRS) 12.0X20.0</v>
          </cell>
          <cell r="C276" t="str">
            <v>EA</v>
          </cell>
          <cell r="D276" t="str">
            <v>MA100</v>
          </cell>
          <cell r="E276">
            <v>262.05407000000002</v>
          </cell>
          <cell r="G276">
            <v>127000</v>
          </cell>
        </row>
        <row r="277">
          <cell r="A277">
            <v>127050</v>
          </cell>
          <cell r="B277" t="str">
            <v>DOOR JAMB,DEC,19-1/4x53,LOW PROFILE,WOOD</v>
          </cell>
          <cell r="C277" t="str">
            <v>EA</v>
          </cell>
          <cell r="D277" t="str">
            <v>MA100</v>
          </cell>
          <cell r="E277">
            <v>212.22825</v>
          </cell>
          <cell r="G277">
            <v>127050</v>
          </cell>
        </row>
        <row r="278">
          <cell r="A278">
            <v>127059</v>
          </cell>
          <cell r="B278" t="str">
            <v>DOOR LEAF,DEC,19-1/4x53,WOOD CORE</v>
          </cell>
          <cell r="C278" t="str">
            <v>EA</v>
          </cell>
          <cell r="D278" t="str">
            <v>MA100</v>
          </cell>
          <cell r="E278">
            <v>347.39940000000001</v>
          </cell>
          <cell r="G278">
            <v>127059</v>
          </cell>
        </row>
        <row r="279">
          <cell r="A279">
            <v>127077</v>
          </cell>
          <cell r="B279" t="str">
            <v>WINDOW FRAME SPACER,WELDMENT</v>
          </cell>
          <cell r="C279" t="str">
            <v>EA</v>
          </cell>
          <cell r="D279" t="str">
            <v>RM100</v>
          </cell>
          <cell r="E279">
            <v>142.63</v>
          </cell>
          <cell r="G279">
            <v>127077</v>
          </cell>
        </row>
        <row r="280">
          <cell r="A280">
            <v>127079</v>
          </cell>
          <cell r="B280" t="str">
            <v>PLATE,TOP/BOTTOM,AIR CYL SUPPORT,48" NOM</v>
          </cell>
          <cell r="C280" t="str">
            <v>EA</v>
          </cell>
          <cell r="D280" t="str">
            <v>RM100</v>
          </cell>
          <cell r="E280">
            <v>19.75</v>
          </cell>
          <cell r="G280">
            <v>127079</v>
          </cell>
        </row>
        <row r="281">
          <cell r="A281">
            <v>127144</v>
          </cell>
          <cell r="B281" t="str">
            <v>DOOR ASSY, IOSD, 6’6, RH</v>
          </cell>
          <cell r="C281" t="str">
            <v>EA</v>
          </cell>
          <cell r="D281" t="str">
            <v>MA100</v>
          </cell>
          <cell r="E281">
            <v>0</v>
          </cell>
          <cell r="G281">
            <v>127144</v>
          </cell>
        </row>
        <row r="282">
          <cell r="A282">
            <v>127145</v>
          </cell>
          <cell r="B282" t="str">
            <v>EXTRUSION, NUT BAR, AFP-1081</v>
          </cell>
          <cell r="C282" t="str">
            <v>EA</v>
          </cell>
          <cell r="D282" t="str">
            <v>MA100</v>
          </cell>
          <cell r="E282">
            <v>0</v>
          </cell>
          <cell r="G282">
            <v>127145</v>
          </cell>
        </row>
        <row r="283">
          <cell r="A283">
            <v>127149</v>
          </cell>
          <cell r="B283" t="str">
            <v>NUT BAR, T-SLOT, 10-24, 4”SPC, 32-INCH</v>
          </cell>
          <cell r="C283" t="str">
            <v>EA</v>
          </cell>
          <cell r="D283" t="str">
            <v>MA100</v>
          </cell>
          <cell r="E283">
            <v>0</v>
          </cell>
          <cell r="G283">
            <v>127149</v>
          </cell>
        </row>
        <row r="284">
          <cell r="A284">
            <v>127163</v>
          </cell>
          <cell r="B284" t="str">
            <v>NUT BAR, T-SLOT, 10-24, 4" SPC, 77-INCH</v>
          </cell>
          <cell r="C284" t="str">
            <v>EA</v>
          </cell>
          <cell r="D284" t="str">
            <v>MA100</v>
          </cell>
          <cell r="E284">
            <v>0</v>
          </cell>
          <cell r="G284">
            <v>127163</v>
          </cell>
        </row>
        <row r="285">
          <cell r="A285">
            <v>127164</v>
          </cell>
          <cell r="B285" t="str">
            <v>SPACER, FRAME, IOSD, 32-INCH</v>
          </cell>
          <cell r="C285" t="str">
            <v>EA</v>
          </cell>
          <cell r="D285" t="str">
            <v>MA100</v>
          </cell>
          <cell r="E285">
            <v>0</v>
          </cell>
          <cell r="G285">
            <v>127164</v>
          </cell>
        </row>
        <row r="286">
          <cell r="A286">
            <v>127165</v>
          </cell>
          <cell r="B286" t="str">
            <v>SPACER, FRAME, IOSD, 77-INCH</v>
          </cell>
          <cell r="C286" t="str">
            <v>EA</v>
          </cell>
          <cell r="D286" t="str">
            <v>MA100</v>
          </cell>
          <cell r="E286">
            <v>0</v>
          </cell>
          <cell r="G286">
            <v>127165</v>
          </cell>
        </row>
        <row r="287">
          <cell r="A287">
            <v>127176</v>
          </cell>
          <cell r="B287" t="str">
            <v>PANEL,S81,3oz Cu/GALV,4'x10'</v>
          </cell>
          <cell r="C287" t="str">
            <v>EA</v>
          </cell>
          <cell r="D287" t="str">
            <v>MA100</v>
          </cell>
          <cell r="E287">
            <v>288.02400999999998</v>
          </cell>
          <cell r="G287">
            <v>127176</v>
          </cell>
        </row>
        <row r="288">
          <cell r="A288">
            <v>127179</v>
          </cell>
          <cell r="B288" t="str">
            <v>EVO44 DOOR SLAB,48:,RH,NO</v>
          </cell>
          <cell r="C288" t="str">
            <v>EA</v>
          </cell>
          <cell r="D288" t="str">
            <v>MA100</v>
          </cell>
          <cell r="E288">
            <v>0</v>
          </cell>
          <cell r="G288">
            <v>127179</v>
          </cell>
        </row>
        <row r="289">
          <cell r="A289">
            <v>127180</v>
          </cell>
          <cell r="B289" t="str">
            <v>EVO44 DOOR SLAB,36",LH,NO</v>
          </cell>
          <cell r="C289" t="str">
            <v>EA</v>
          </cell>
          <cell r="D289" t="str">
            <v>MA100</v>
          </cell>
          <cell r="E289">
            <v>0</v>
          </cell>
          <cell r="G289">
            <v>127180</v>
          </cell>
        </row>
        <row r="290">
          <cell r="A290">
            <v>127194</v>
          </cell>
          <cell r="B290" t="str">
            <v>JAMB ASSY,IOSD,84'HX78"W</v>
          </cell>
          <cell r="C290" t="str">
            <v>EA</v>
          </cell>
          <cell r="D290" t="str">
            <v>MA100</v>
          </cell>
          <cell r="E290">
            <v>8363.4854300000006</v>
          </cell>
          <cell r="G290">
            <v>127194</v>
          </cell>
        </row>
        <row r="291">
          <cell r="A291">
            <v>127196</v>
          </cell>
          <cell r="B291" t="str">
            <v>ASSY,DR&amp;JB,DBL SLDG INTERV,78"X84",IOSD</v>
          </cell>
          <cell r="C291" t="str">
            <v>EA</v>
          </cell>
          <cell r="D291" t="str">
            <v>FG054</v>
          </cell>
          <cell r="E291">
            <v>20605.121220000001</v>
          </cell>
          <cell r="G291">
            <v>127196</v>
          </cell>
        </row>
        <row r="292">
          <cell r="A292">
            <v>127197</v>
          </cell>
          <cell r="B292" t="str">
            <v>DOOR THRESHOLD,78",IOSD</v>
          </cell>
          <cell r="C292" t="str">
            <v>EA</v>
          </cell>
          <cell r="D292" t="str">
            <v>MA100</v>
          </cell>
          <cell r="E292">
            <v>456.94</v>
          </cell>
          <cell r="G292">
            <v>127197</v>
          </cell>
        </row>
        <row r="293">
          <cell r="A293">
            <v>127198</v>
          </cell>
          <cell r="B293" t="str">
            <v>DOOR TRESHOLD ISOLATOR,LH,78"</v>
          </cell>
          <cell r="C293" t="str">
            <v>EA</v>
          </cell>
          <cell r="D293" t="str">
            <v>MA100</v>
          </cell>
          <cell r="E293">
            <v>0</v>
          </cell>
          <cell r="G293">
            <v>127198</v>
          </cell>
        </row>
        <row r="294">
          <cell r="A294">
            <v>127200</v>
          </cell>
          <cell r="B294" t="str">
            <v>DOOR THRESHOLD ISOLATOR,RH,78",W/ INSERT</v>
          </cell>
          <cell r="C294" t="str">
            <v>EA</v>
          </cell>
          <cell r="D294" t="str">
            <v>MA100</v>
          </cell>
          <cell r="E294">
            <v>189.77</v>
          </cell>
          <cell r="G294">
            <v>127200</v>
          </cell>
        </row>
        <row r="295">
          <cell r="A295">
            <v>127207</v>
          </cell>
          <cell r="B295" t="str">
            <v>DOOR TRESHOLD ISOLATOR,LH,78",W/ INSERTS</v>
          </cell>
          <cell r="C295" t="str">
            <v>EA</v>
          </cell>
          <cell r="D295" t="str">
            <v>MA100</v>
          </cell>
          <cell r="E295">
            <v>189.77</v>
          </cell>
          <cell r="G295">
            <v>127207</v>
          </cell>
        </row>
        <row r="296">
          <cell r="A296">
            <v>127208</v>
          </cell>
          <cell r="B296" t="str">
            <v>DOOR TRESHOLD ISOLATOR CVR (SHORT),78"</v>
          </cell>
          <cell r="C296" t="str">
            <v>EA</v>
          </cell>
          <cell r="D296" t="str">
            <v>MA100</v>
          </cell>
          <cell r="E296">
            <v>28.9</v>
          </cell>
          <cell r="G296">
            <v>127208</v>
          </cell>
        </row>
        <row r="297">
          <cell r="A297">
            <v>127209</v>
          </cell>
          <cell r="B297" t="str">
            <v>DOOR TRESHOLD ISOLATOR CVR (LONG),78"</v>
          </cell>
          <cell r="C297" t="str">
            <v>EA</v>
          </cell>
          <cell r="D297" t="str">
            <v>MA100</v>
          </cell>
          <cell r="E297">
            <v>29.1</v>
          </cell>
          <cell r="G297">
            <v>127209</v>
          </cell>
        </row>
        <row r="298">
          <cell r="A298">
            <v>127210</v>
          </cell>
          <cell r="B298" t="str">
            <v>HEADER,IOSD,LEFT,78"</v>
          </cell>
          <cell r="C298" t="str">
            <v>EA</v>
          </cell>
          <cell r="D298" t="str">
            <v>MA100</v>
          </cell>
          <cell r="E298">
            <v>670.03300000000002</v>
          </cell>
          <cell r="G298">
            <v>127210</v>
          </cell>
        </row>
        <row r="299">
          <cell r="A299" t="str">
            <v>127210-OP</v>
          </cell>
          <cell r="B299" t="str">
            <v>OUTSIDE PROCESS MACHINING OF 127210</v>
          </cell>
          <cell r="C299" t="str">
            <v>EA</v>
          </cell>
          <cell r="D299" t="str">
            <v>MA100</v>
          </cell>
          <cell r="E299">
            <v>496</v>
          </cell>
          <cell r="G299" t="str">
            <v>127210-OP</v>
          </cell>
        </row>
        <row r="300">
          <cell r="A300">
            <v>127212</v>
          </cell>
          <cell r="B300" t="str">
            <v>SEAL,JAMB,EVO BASIC,RF,LEFT/RIGHT, 8-FT</v>
          </cell>
          <cell r="C300" t="str">
            <v>EA</v>
          </cell>
          <cell r="D300" t="str">
            <v>RM100</v>
          </cell>
          <cell r="E300">
            <v>85.65</v>
          </cell>
          <cell r="G300">
            <v>127212</v>
          </cell>
        </row>
        <row r="301">
          <cell r="A301">
            <v>127213</v>
          </cell>
          <cell r="B301" t="str">
            <v>HEADER,IOSD,RIGHT,78"</v>
          </cell>
          <cell r="C301" t="str">
            <v>EA</v>
          </cell>
          <cell r="D301" t="str">
            <v>MA100</v>
          </cell>
          <cell r="E301">
            <v>670.03300000000002</v>
          </cell>
          <cell r="G301">
            <v>127213</v>
          </cell>
        </row>
        <row r="302">
          <cell r="A302" t="str">
            <v>127213-OP</v>
          </cell>
          <cell r="B302" t="str">
            <v>OUTSIDE PROCESS MACHINING OF 127213</v>
          </cell>
          <cell r="C302" t="str">
            <v>EA</v>
          </cell>
          <cell r="D302" t="str">
            <v>MA100</v>
          </cell>
          <cell r="E302">
            <v>496</v>
          </cell>
          <cell r="G302" t="str">
            <v>127213-OP</v>
          </cell>
        </row>
        <row r="303">
          <cell r="A303">
            <v>127214</v>
          </cell>
          <cell r="B303" t="str">
            <v>ANGLE,ALUM,SLDG DR HDR,78"</v>
          </cell>
          <cell r="C303" t="str">
            <v>EA</v>
          </cell>
          <cell r="D303" t="str">
            <v>MA100</v>
          </cell>
          <cell r="E303">
            <v>216.24</v>
          </cell>
          <cell r="G303">
            <v>127214</v>
          </cell>
        </row>
        <row r="304">
          <cell r="A304">
            <v>127215</v>
          </cell>
          <cell r="B304" t="str">
            <v>SPACER,ALUM,IOSD,78"</v>
          </cell>
          <cell r="C304" t="str">
            <v>EA</v>
          </cell>
          <cell r="D304" t="str">
            <v>MA100</v>
          </cell>
          <cell r="E304">
            <v>26.49</v>
          </cell>
          <cell r="G304">
            <v>127215</v>
          </cell>
        </row>
        <row r="305">
          <cell r="A305">
            <v>127216</v>
          </cell>
          <cell r="B305" t="str">
            <v>RAIL,LINEAR,REDI-RAIL,IOSD</v>
          </cell>
          <cell r="C305" t="str">
            <v>EA</v>
          </cell>
          <cell r="D305" t="str">
            <v>MA100</v>
          </cell>
          <cell r="E305">
            <v>314.29000000000002</v>
          </cell>
          <cell r="G305">
            <v>127216</v>
          </cell>
        </row>
        <row r="306">
          <cell r="A306">
            <v>127217</v>
          </cell>
          <cell r="B306" t="str">
            <v>SHIM,ALU,REDI-RAIL,IOSD,78"</v>
          </cell>
          <cell r="C306" t="str">
            <v>EA</v>
          </cell>
          <cell r="D306" t="str">
            <v>MA100</v>
          </cell>
          <cell r="E306">
            <v>4.9049800000000001</v>
          </cell>
          <cell r="G306">
            <v>127217</v>
          </cell>
        </row>
        <row r="307">
          <cell r="A307">
            <v>127227</v>
          </cell>
          <cell r="B307" t="str">
            <v>FRAME ASSY,MAYTEC,77.425"X38.8"</v>
          </cell>
          <cell r="C307" t="str">
            <v>EA</v>
          </cell>
          <cell r="D307" t="str">
            <v>RM100</v>
          </cell>
          <cell r="E307">
            <v>784.58</v>
          </cell>
          <cell r="G307">
            <v>127227</v>
          </cell>
        </row>
        <row r="308">
          <cell r="A308">
            <v>127228</v>
          </cell>
          <cell r="B308" t="str">
            <v>SKIN,RF SHIELD,SLDG DR,ALUM,78"</v>
          </cell>
          <cell r="C308" t="str">
            <v>EA</v>
          </cell>
          <cell r="D308" t="str">
            <v>MA100</v>
          </cell>
          <cell r="E308">
            <v>156.38999999999999</v>
          </cell>
          <cell r="G308">
            <v>127228</v>
          </cell>
        </row>
        <row r="309">
          <cell r="A309">
            <v>127229</v>
          </cell>
          <cell r="B309" t="str">
            <v>DOOR R,IOSD</v>
          </cell>
          <cell r="C309" t="str">
            <v>EA</v>
          </cell>
          <cell r="D309" t="str">
            <v>MA100</v>
          </cell>
          <cell r="E309">
            <v>5196.2400600000001</v>
          </cell>
          <cell r="G309">
            <v>127229</v>
          </cell>
        </row>
        <row r="310">
          <cell r="A310">
            <v>127231</v>
          </cell>
          <cell r="B310" t="str">
            <v>NUT,BAR,STL,IOSD,UPPER/LOWER</v>
          </cell>
          <cell r="C310" t="str">
            <v>EA</v>
          </cell>
          <cell r="D310" t="str">
            <v>MA100</v>
          </cell>
          <cell r="E310">
            <v>33.46</v>
          </cell>
          <cell r="G310">
            <v>127231</v>
          </cell>
        </row>
        <row r="311">
          <cell r="A311">
            <v>127232</v>
          </cell>
          <cell r="B311" t="str">
            <v>AC PANEL,IOSD</v>
          </cell>
          <cell r="C311" t="str">
            <v>EA</v>
          </cell>
          <cell r="D311" t="str">
            <v>MA100</v>
          </cell>
          <cell r="E311">
            <v>32.101750000000003</v>
          </cell>
          <cell r="G311">
            <v>127232</v>
          </cell>
        </row>
        <row r="312">
          <cell r="A312">
            <v>127274</v>
          </cell>
          <cell r="B312" t="str">
            <v>VENT,WG,W/FLG (BRS) 10.0X24.0</v>
          </cell>
          <cell r="C312" t="str">
            <v>EA</v>
          </cell>
          <cell r="D312" t="str">
            <v>MA100</v>
          </cell>
          <cell r="E312">
            <v>268.40282000000002</v>
          </cell>
          <cell r="G312">
            <v>127274</v>
          </cell>
        </row>
        <row r="313">
          <cell r="A313">
            <v>127276</v>
          </cell>
          <cell r="B313" t="str">
            <v>EVO44 JAMB,D,72",BA,MA</v>
          </cell>
          <cell r="C313" t="str">
            <v>EA</v>
          </cell>
          <cell r="D313" t="str">
            <v>MA100</v>
          </cell>
          <cell r="E313">
            <v>0</v>
          </cell>
          <cell r="G313">
            <v>127276</v>
          </cell>
        </row>
        <row r="314">
          <cell r="A314">
            <v>127277</v>
          </cell>
          <cell r="B314" t="str">
            <v>JAMB HEADER, 72-inch, EVO</v>
          </cell>
          <cell r="C314" t="str">
            <v>EA</v>
          </cell>
          <cell r="D314" t="str">
            <v>RM100</v>
          </cell>
          <cell r="E314">
            <v>141.53380000000001</v>
          </cell>
          <cell r="G314">
            <v>127277</v>
          </cell>
        </row>
        <row r="315">
          <cell r="A315">
            <v>127280</v>
          </cell>
          <cell r="B315" t="str">
            <v>NON RF,SKIN,ISOD 78"</v>
          </cell>
          <cell r="C315" t="str">
            <v>EA</v>
          </cell>
          <cell r="D315" t="str">
            <v>MA100</v>
          </cell>
          <cell r="E315">
            <v>136.66999999999999</v>
          </cell>
          <cell r="G315">
            <v>127280</v>
          </cell>
        </row>
        <row r="316">
          <cell r="A316">
            <v>127281</v>
          </cell>
          <cell r="B316" t="str">
            <v>NUT,BAR,STL,IOSD,BASE</v>
          </cell>
          <cell r="C316" t="str">
            <v>EA</v>
          </cell>
          <cell r="D316" t="str">
            <v>MA100</v>
          </cell>
          <cell r="E316">
            <v>30.64</v>
          </cell>
          <cell r="G316">
            <v>127281</v>
          </cell>
        </row>
        <row r="317">
          <cell r="A317">
            <v>127282</v>
          </cell>
          <cell r="B317" t="str">
            <v>ALUM EXTRU,RF SEAL,MACHINED,IOSD</v>
          </cell>
          <cell r="C317" t="str">
            <v>EA</v>
          </cell>
          <cell r="D317" t="str">
            <v>MA100</v>
          </cell>
          <cell r="E317">
            <v>195.292</v>
          </cell>
          <cell r="G317">
            <v>127282</v>
          </cell>
        </row>
        <row r="318">
          <cell r="A318">
            <v>127283</v>
          </cell>
          <cell r="B318" t="str">
            <v>PANEL,FILLER,BLADDER,IOSD</v>
          </cell>
          <cell r="C318" t="str">
            <v>EA</v>
          </cell>
          <cell r="D318" t="str">
            <v>MA100</v>
          </cell>
          <cell r="E318">
            <v>25.3</v>
          </cell>
          <cell r="G318">
            <v>127283</v>
          </cell>
        </row>
        <row r="319">
          <cell r="A319">
            <v>127284</v>
          </cell>
          <cell r="B319" t="str">
            <v>CLMP,RF SEAL,TOP&amp;BTM,ISOD 78"</v>
          </cell>
          <cell r="C319" t="str">
            <v>EA</v>
          </cell>
          <cell r="D319" t="str">
            <v>MA100</v>
          </cell>
          <cell r="E319">
            <v>24.8</v>
          </cell>
          <cell r="G319">
            <v>127284</v>
          </cell>
        </row>
        <row r="320">
          <cell r="A320">
            <v>127285</v>
          </cell>
          <cell r="B320" t="str">
            <v>SEAL,RF,TOP&amp;BTM,IOSD (do not buy)</v>
          </cell>
          <cell r="C320" t="str">
            <v>EA</v>
          </cell>
          <cell r="D320" t="str">
            <v>MA100</v>
          </cell>
          <cell r="E320">
            <v>0</v>
          </cell>
          <cell r="G320">
            <v>127285</v>
          </cell>
        </row>
        <row r="321">
          <cell r="A321">
            <v>127286</v>
          </cell>
          <cell r="B321" t="str">
            <v>VENT,WG,W/FLG (BRS) 8.0X16.0</v>
          </cell>
          <cell r="C321" t="str">
            <v>EA</v>
          </cell>
          <cell r="D321" t="str">
            <v>MA100</v>
          </cell>
          <cell r="E321">
            <v>199.27188000000001</v>
          </cell>
          <cell r="G321">
            <v>127286</v>
          </cell>
        </row>
        <row r="322">
          <cell r="A322">
            <v>127291</v>
          </cell>
          <cell r="B322" t="str">
            <v>VENT,WG,W/FLG (BRS) 14.0X24.0</v>
          </cell>
          <cell r="C322" t="str">
            <v>EA</v>
          </cell>
          <cell r="D322" t="str">
            <v>MA100</v>
          </cell>
          <cell r="E322">
            <v>324.25328999999999</v>
          </cell>
          <cell r="G322">
            <v>127291</v>
          </cell>
        </row>
        <row r="323">
          <cell r="A323">
            <v>127293</v>
          </cell>
          <cell r="B323" t="str">
            <v>EVO44,S,24",RH,NO</v>
          </cell>
          <cell r="C323" t="str">
            <v>EA</v>
          </cell>
          <cell r="D323" t="str">
            <v>MA100</v>
          </cell>
          <cell r="E323">
            <v>0</v>
          </cell>
          <cell r="G323">
            <v>127293</v>
          </cell>
        </row>
        <row r="324">
          <cell r="A324">
            <v>127294</v>
          </cell>
          <cell r="B324" t="str">
            <v>EVO44,D,72",BA,IS,LH,NO,AO</v>
          </cell>
          <cell r="C324" t="str">
            <v>EA</v>
          </cell>
          <cell r="D324" t="str">
            <v>MA100</v>
          </cell>
          <cell r="E324">
            <v>0</v>
          </cell>
          <cell r="G324">
            <v>127294</v>
          </cell>
        </row>
        <row r="325">
          <cell r="A325">
            <v>127295</v>
          </cell>
          <cell r="B325" t="str">
            <v>EVO LATCH BLOCK TEMPLATE</v>
          </cell>
          <cell r="C325" t="str">
            <v>EA</v>
          </cell>
          <cell r="D325" t="str">
            <v>MA100</v>
          </cell>
          <cell r="E325">
            <v>0</v>
          </cell>
          <cell r="G325">
            <v>127295</v>
          </cell>
        </row>
        <row r="326">
          <cell r="A326">
            <v>127296</v>
          </cell>
          <cell r="B326" t="str">
            <v>VENT,WG,W/FLG (BRS) 6.0X20.0</v>
          </cell>
          <cell r="C326" t="str">
            <v>EA</v>
          </cell>
          <cell r="D326" t="str">
            <v>MA100</v>
          </cell>
          <cell r="E326">
            <v>151.9136</v>
          </cell>
          <cell r="G326">
            <v>127296</v>
          </cell>
        </row>
        <row r="327">
          <cell r="A327">
            <v>127298</v>
          </cell>
          <cell r="B327" t="str">
            <v>VENT,WG,W/FLG (BRS) 12.0X30.0</v>
          </cell>
          <cell r="C327" t="str">
            <v>EA</v>
          </cell>
          <cell r="D327" t="str">
            <v>MA100</v>
          </cell>
          <cell r="E327">
            <v>347.16579000000002</v>
          </cell>
          <cell r="G327">
            <v>127298</v>
          </cell>
        </row>
        <row r="328">
          <cell r="A328">
            <v>127301</v>
          </cell>
          <cell r="B328" t="str">
            <v>COVER,TOP/BTM RF SEAL,IOSD</v>
          </cell>
          <cell r="C328" t="str">
            <v>EA</v>
          </cell>
          <cell r="D328" t="str">
            <v>MA100</v>
          </cell>
          <cell r="E328">
            <v>40.67</v>
          </cell>
          <cell r="G328">
            <v>127301</v>
          </cell>
        </row>
        <row r="329">
          <cell r="A329">
            <v>127302</v>
          </cell>
          <cell r="B329" t="str">
            <v>PRESSURE PLATE,IOSD</v>
          </cell>
          <cell r="C329" t="str">
            <v>EA</v>
          </cell>
          <cell r="D329" t="str">
            <v>MA100</v>
          </cell>
          <cell r="E329">
            <v>0</v>
          </cell>
          <cell r="G329">
            <v>127302</v>
          </cell>
        </row>
        <row r="330">
          <cell r="A330">
            <v>127303</v>
          </cell>
          <cell r="B330" t="str">
            <v>WELDMENT,PRESSURE PLATE,IOSD</v>
          </cell>
          <cell r="C330" t="str">
            <v>EA</v>
          </cell>
          <cell r="D330" t="str">
            <v>MA100</v>
          </cell>
          <cell r="E330">
            <v>90.16</v>
          </cell>
          <cell r="G330">
            <v>127303</v>
          </cell>
        </row>
        <row r="331">
          <cell r="A331">
            <v>127304</v>
          </cell>
          <cell r="B331" t="str">
            <v>ASSY,PRESSURE PLT,IOSD</v>
          </cell>
          <cell r="C331" t="str">
            <v>EA</v>
          </cell>
          <cell r="D331" t="str">
            <v>MA100</v>
          </cell>
          <cell r="E331">
            <v>153.81809999999999</v>
          </cell>
          <cell r="G331">
            <v>127304</v>
          </cell>
        </row>
        <row r="332">
          <cell r="A332">
            <v>127305</v>
          </cell>
          <cell r="B332" t="str">
            <v>DOOR L,IOSD</v>
          </cell>
          <cell r="C332" t="str">
            <v>EA</v>
          </cell>
          <cell r="D332" t="str">
            <v>MA100</v>
          </cell>
          <cell r="E332">
            <v>5314.63472</v>
          </cell>
          <cell r="G332">
            <v>127305</v>
          </cell>
        </row>
        <row r="333">
          <cell r="A333">
            <v>127307</v>
          </cell>
          <cell r="B333" t="str">
            <v>COVER, JAMB HEADER,EVO, 72"</v>
          </cell>
          <cell r="C333" t="str">
            <v>EA</v>
          </cell>
          <cell r="D333" t="str">
            <v>RM100</v>
          </cell>
          <cell r="E333">
            <v>104.54</v>
          </cell>
          <cell r="G333">
            <v>127307</v>
          </cell>
        </row>
        <row r="334">
          <cell r="A334">
            <v>127310</v>
          </cell>
          <cell r="B334" t="str">
            <v>CYL,9/16BORE 1/2"STR BIMBA#020.5-NRQ</v>
          </cell>
          <cell r="C334" t="str">
            <v>EA</v>
          </cell>
          <cell r="D334" t="str">
            <v>RM100</v>
          </cell>
          <cell r="E334">
            <v>20.149999999999999</v>
          </cell>
          <cell r="G334">
            <v>127310</v>
          </cell>
        </row>
        <row r="335">
          <cell r="A335">
            <v>127312</v>
          </cell>
          <cell r="B335" t="str">
            <v>SPACER,COMPRESSION SEAL,EVO40</v>
          </cell>
          <cell r="C335" t="str">
            <v>EA</v>
          </cell>
          <cell r="D335" t="str">
            <v>MA100</v>
          </cell>
          <cell r="E335">
            <v>12.19</v>
          </cell>
          <cell r="G335">
            <v>127312</v>
          </cell>
        </row>
        <row r="336">
          <cell r="A336">
            <v>127313</v>
          </cell>
          <cell r="B336" t="str">
            <v>DOOR CORE, 2"X21.25"X35.5"</v>
          </cell>
          <cell r="C336" t="str">
            <v>EA</v>
          </cell>
          <cell r="D336" t="str">
            <v>MA410</v>
          </cell>
          <cell r="E336">
            <v>87.745500000000007</v>
          </cell>
          <cell r="G336">
            <v>127313</v>
          </cell>
        </row>
        <row r="337">
          <cell r="A337">
            <v>127314</v>
          </cell>
          <cell r="B337" t="str">
            <v>DJ, HEADER, 1.75"X2.5"X22"</v>
          </cell>
          <cell r="C337" t="str">
            <v>EA</v>
          </cell>
          <cell r="D337" t="str">
            <v>MA410</v>
          </cell>
          <cell r="E337">
            <v>0</v>
          </cell>
          <cell r="G337">
            <v>127314</v>
          </cell>
        </row>
        <row r="338">
          <cell r="A338">
            <v>127315</v>
          </cell>
          <cell r="B338" t="str">
            <v>DJ, RAIL LEFT, 1.75"X3.125"X41.25"</v>
          </cell>
          <cell r="C338" t="str">
            <v>EA</v>
          </cell>
          <cell r="D338" t="str">
            <v>MA410</v>
          </cell>
          <cell r="E338">
            <v>0</v>
          </cell>
          <cell r="G338">
            <v>127315</v>
          </cell>
        </row>
        <row r="339">
          <cell r="A339">
            <v>127316</v>
          </cell>
          <cell r="B339" t="str">
            <v>DJ ASSY, WOOD, 21X35.25 CO</v>
          </cell>
          <cell r="C339" t="str">
            <v>EA</v>
          </cell>
          <cell r="D339" t="str">
            <v>MA410</v>
          </cell>
          <cell r="E339">
            <v>117.7294</v>
          </cell>
          <cell r="G339">
            <v>127316</v>
          </cell>
        </row>
        <row r="340">
          <cell r="A340">
            <v>127329</v>
          </cell>
          <cell r="B340" t="str">
            <v>PANEL,NRF,DOOR 24" NOM,EVO</v>
          </cell>
          <cell r="C340" t="str">
            <v>EA</v>
          </cell>
          <cell r="D340" t="str">
            <v>MA100</v>
          </cell>
          <cell r="E340">
            <v>0</v>
          </cell>
          <cell r="G340">
            <v>127329</v>
          </cell>
        </row>
        <row r="341">
          <cell r="A341">
            <v>127333</v>
          </cell>
          <cell r="B341" t="str">
            <v>BOLTED ASSY,VENT,HIGH HAT,24"X24" BRS.</v>
          </cell>
          <cell r="C341" t="str">
            <v>EA</v>
          </cell>
          <cell r="D341" t="str">
            <v>MA100</v>
          </cell>
          <cell r="E341">
            <v>968.73320000000001</v>
          </cell>
          <cell r="G341">
            <v>127333</v>
          </cell>
        </row>
        <row r="342">
          <cell r="A342">
            <v>127334</v>
          </cell>
          <cell r="B342" t="str">
            <v>BRKT,THR CAM,MAIN R,IOSD</v>
          </cell>
          <cell r="C342" t="str">
            <v>EA</v>
          </cell>
          <cell r="D342" t="str">
            <v>MA100</v>
          </cell>
          <cell r="E342">
            <v>0</v>
          </cell>
          <cell r="G342">
            <v>127334</v>
          </cell>
        </row>
        <row r="343">
          <cell r="A343">
            <v>127335</v>
          </cell>
          <cell r="B343" t="str">
            <v>ENDCAP,IOSD</v>
          </cell>
          <cell r="C343" t="str">
            <v>EA</v>
          </cell>
          <cell r="D343" t="str">
            <v>MA100</v>
          </cell>
          <cell r="E343">
            <v>0</v>
          </cell>
          <cell r="G343">
            <v>127335</v>
          </cell>
        </row>
        <row r="344">
          <cell r="A344">
            <v>127336</v>
          </cell>
          <cell r="B344" t="str">
            <v>ASSY,H-BRKT,THLD CAM,RH,CCA</v>
          </cell>
          <cell r="C344" t="str">
            <v>EA</v>
          </cell>
          <cell r="D344" t="str">
            <v>MA100</v>
          </cell>
          <cell r="E344">
            <v>222.24404000000001</v>
          </cell>
          <cell r="G344">
            <v>127336</v>
          </cell>
        </row>
        <row r="345">
          <cell r="A345" t="str">
            <v>127336-OP</v>
          </cell>
          <cell r="B345" t="str">
            <v>OUTSIDE PROCESS,MACH,WELD,CCA</v>
          </cell>
          <cell r="C345" t="str">
            <v>EA</v>
          </cell>
          <cell r="D345" t="str">
            <v>MA100</v>
          </cell>
          <cell r="E345">
            <v>175.62</v>
          </cell>
          <cell r="G345" t="str">
            <v>127336-OP</v>
          </cell>
        </row>
        <row r="346">
          <cell r="A346">
            <v>127337</v>
          </cell>
          <cell r="B346" t="str">
            <v>LAMINATE,SS, IOSD</v>
          </cell>
          <cell r="C346" t="str">
            <v>EA</v>
          </cell>
          <cell r="D346" t="str">
            <v>MA100</v>
          </cell>
          <cell r="E346">
            <v>213.96299999999999</v>
          </cell>
          <cell r="G346">
            <v>127337</v>
          </cell>
        </row>
        <row r="347">
          <cell r="A347">
            <v>127338</v>
          </cell>
          <cell r="B347" t="str">
            <v>BRKT,THR CAM,MAIN L,IOSD</v>
          </cell>
          <cell r="C347" t="str">
            <v>EA</v>
          </cell>
          <cell r="D347" t="str">
            <v>MA100</v>
          </cell>
          <cell r="E347">
            <v>0</v>
          </cell>
          <cell r="G347">
            <v>127338</v>
          </cell>
        </row>
        <row r="348">
          <cell r="A348">
            <v>127339</v>
          </cell>
          <cell r="B348" t="str">
            <v>ASSY,H-BRKT,THLD CAM,LH,CCA</v>
          </cell>
          <cell r="C348" t="str">
            <v>EA</v>
          </cell>
          <cell r="D348" t="str">
            <v>MA100</v>
          </cell>
          <cell r="E348">
            <v>222.24404000000001</v>
          </cell>
          <cell r="G348">
            <v>127339</v>
          </cell>
        </row>
        <row r="349">
          <cell r="A349" t="str">
            <v>127339-OP</v>
          </cell>
          <cell r="B349" t="str">
            <v>OUTSIDE PROCESS,MACH,WELD,CCA</v>
          </cell>
          <cell r="C349" t="str">
            <v>EA</v>
          </cell>
          <cell r="D349" t="str">
            <v>MA100</v>
          </cell>
          <cell r="E349">
            <v>175.62</v>
          </cell>
          <cell r="G349" t="str">
            <v>127339-OP</v>
          </cell>
        </row>
        <row r="350">
          <cell r="A350">
            <v>127340</v>
          </cell>
          <cell r="B350" t="str">
            <v>DJ, RAIL RIGHT, 1.75"X4"X41.25"</v>
          </cell>
          <cell r="C350" t="str">
            <v>EA</v>
          </cell>
          <cell r="D350" t="str">
            <v>MA410</v>
          </cell>
          <cell r="E350">
            <v>0</v>
          </cell>
          <cell r="G350">
            <v>127340</v>
          </cell>
        </row>
        <row r="351">
          <cell r="A351">
            <v>127363</v>
          </cell>
          <cell r="B351" t="str">
            <v>COVER, MIDDLE, RIGHT STATIONARY,SS</v>
          </cell>
          <cell r="C351" t="str">
            <v>EA</v>
          </cell>
          <cell r="D351" t="str">
            <v>MA100</v>
          </cell>
          <cell r="E351">
            <v>97.593000000000004</v>
          </cell>
          <cell r="G351">
            <v>127363</v>
          </cell>
        </row>
        <row r="352">
          <cell r="A352">
            <v>127364</v>
          </cell>
          <cell r="B352" t="str">
            <v>COVER, MIDDLE, LEFT STATIONARY,SS</v>
          </cell>
          <cell r="C352" t="str">
            <v>EA</v>
          </cell>
          <cell r="D352" t="str">
            <v>MA100</v>
          </cell>
          <cell r="E352">
            <v>97.593000000000004</v>
          </cell>
          <cell r="G352">
            <v>127364</v>
          </cell>
        </row>
        <row r="353">
          <cell r="A353">
            <v>127365</v>
          </cell>
          <cell r="B353" t="str">
            <v>COVER, DR MNT, IOSD,SS</v>
          </cell>
          <cell r="C353" t="str">
            <v>EA</v>
          </cell>
          <cell r="D353" t="str">
            <v>MA100</v>
          </cell>
          <cell r="E353">
            <v>166.11850000000001</v>
          </cell>
          <cell r="G353">
            <v>127365</v>
          </cell>
        </row>
        <row r="354">
          <cell r="A354">
            <v>127366</v>
          </cell>
          <cell r="B354" t="str">
            <v>PNUEMATIC SCHEMATIC, IOSD</v>
          </cell>
          <cell r="C354" t="str">
            <v>EA</v>
          </cell>
          <cell r="D354" t="str">
            <v>MA100</v>
          </cell>
          <cell r="E354">
            <v>0</v>
          </cell>
          <cell r="G354">
            <v>127366</v>
          </cell>
        </row>
        <row r="355">
          <cell r="A355">
            <v>127370</v>
          </cell>
          <cell r="B355" t="str">
            <v>EVO44 JAMB,S,48",LH,BA,MA, 8-FT</v>
          </cell>
          <cell r="C355" t="str">
            <v>EA</v>
          </cell>
          <cell r="D355" t="str">
            <v>MA100</v>
          </cell>
          <cell r="E355">
            <v>2344.6484999999998</v>
          </cell>
          <cell r="G355">
            <v>127370</v>
          </cell>
        </row>
        <row r="356">
          <cell r="A356">
            <v>127371</v>
          </cell>
          <cell r="B356" t="str">
            <v>JAMB, VERTICAL, EVO, 8-FT</v>
          </cell>
          <cell r="C356" t="str">
            <v>EA</v>
          </cell>
          <cell r="D356" t="str">
            <v>RM100</v>
          </cell>
          <cell r="E356">
            <v>195.49</v>
          </cell>
          <cell r="G356">
            <v>127371</v>
          </cell>
        </row>
        <row r="357">
          <cell r="A357">
            <v>127372</v>
          </cell>
          <cell r="B357" t="str">
            <v>COVER, BIG, JAMB, EVO</v>
          </cell>
          <cell r="C357" t="str">
            <v>EA</v>
          </cell>
          <cell r="D357" t="str">
            <v>RM100</v>
          </cell>
          <cell r="E357">
            <v>64.599999999999994</v>
          </cell>
          <cell r="G357">
            <v>127372</v>
          </cell>
        </row>
        <row r="358">
          <cell r="A358">
            <v>127373</v>
          </cell>
          <cell r="B358" t="str">
            <v>COVER, SMALL, JAMB, EVO, HINGE SIDE,8-FT</v>
          </cell>
          <cell r="C358" t="str">
            <v>EA</v>
          </cell>
          <cell r="D358" t="str">
            <v>RM100</v>
          </cell>
          <cell r="E358">
            <v>49.55</v>
          </cell>
          <cell r="G358">
            <v>127373</v>
          </cell>
        </row>
        <row r="359">
          <cell r="A359">
            <v>127390</v>
          </cell>
          <cell r="B359" t="str">
            <v>CVR, EVO, JAMB, SMALL, LATCH, LH,8-FT</v>
          </cell>
          <cell r="C359" t="str">
            <v>EA</v>
          </cell>
          <cell r="D359" t="str">
            <v>RM100</v>
          </cell>
          <cell r="E359">
            <v>39.4</v>
          </cell>
          <cell r="G359">
            <v>127390</v>
          </cell>
        </row>
        <row r="360">
          <cell r="A360">
            <v>127397</v>
          </cell>
          <cell r="B360" t="str">
            <v>EVO32,S,24",RH,IS,NO,DBL LF</v>
          </cell>
          <cell r="C360" t="str">
            <v>EA</v>
          </cell>
          <cell r="D360" t="str">
            <v>MA100</v>
          </cell>
          <cell r="E360">
            <v>0</v>
          </cell>
          <cell r="G360">
            <v>127397</v>
          </cell>
        </row>
        <row r="361">
          <cell r="A361">
            <v>127398</v>
          </cell>
          <cell r="B361" t="str">
            <v>EVO AIR 2' CYLINDER ANGLE COVER</v>
          </cell>
          <cell r="C361" t="str">
            <v>EA</v>
          </cell>
          <cell r="D361" t="str">
            <v>MA100</v>
          </cell>
          <cell r="E361">
            <v>0</v>
          </cell>
          <cell r="G361">
            <v>127398</v>
          </cell>
        </row>
        <row r="362">
          <cell r="A362">
            <v>127399</v>
          </cell>
          <cell r="B362" t="str">
            <v>EVO AIR 2' ROD SEAL</v>
          </cell>
          <cell r="C362" t="str">
            <v>EA</v>
          </cell>
          <cell r="D362" t="str">
            <v>MA100</v>
          </cell>
          <cell r="E362">
            <v>38.198309999999999</v>
          </cell>
          <cell r="G362">
            <v>127399</v>
          </cell>
        </row>
        <row r="363">
          <cell r="A363">
            <v>127400</v>
          </cell>
          <cell r="B363" t="str">
            <v>40MM CARTRIDGE FOR EVO AIR DOUBLE</v>
          </cell>
          <cell r="C363" t="str">
            <v>EA</v>
          </cell>
          <cell r="D363" t="str">
            <v>MA100</v>
          </cell>
          <cell r="E363">
            <v>0</v>
          </cell>
          <cell r="G363">
            <v>127400</v>
          </cell>
        </row>
        <row r="364">
          <cell r="A364">
            <v>127402</v>
          </cell>
          <cell r="B364" t="str">
            <v>EDGE GUARD,EVO AIR,2'</v>
          </cell>
          <cell r="C364" t="str">
            <v>EA</v>
          </cell>
          <cell r="D364" t="str">
            <v>RM100</v>
          </cell>
          <cell r="E364">
            <v>38.1875</v>
          </cell>
          <cell r="G364">
            <v>127402</v>
          </cell>
        </row>
        <row r="365">
          <cell r="A365">
            <v>127404</v>
          </cell>
          <cell r="B365" t="str">
            <v>2' INACTIVE RF SEAL HOLDER</v>
          </cell>
          <cell r="C365" t="str">
            <v>EA</v>
          </cell>
          <cell r="D365" t="str">
            <v>RM100</v>
          </cell>
          <cell r="E365">
            <v>20.12</v>
          </cell>
          <cell r="G365">
            <v>127404</v>
          </cell>
        </row>
        <row r="366">
          <cell r="A366">
            <v>127405</v>
          </cell>
          <cell r="B366" t="str">
            <v>BAR,RF SEAL HOLDER,JB,EVO, 8-FT</v>
          </cell>
          <cell r="C366" t="str">
            <v>EA</v>
          </cell>
          <cell r="D366" t="str">
            <v>RM100</v>
          </cell>
          <cell r="E366">
            <v>8.58</v>
          </cell>
          <cell r="G366">
            <v>127405</v>
          </cell>
        </row>
        <row r="367">
          <cell r="A367">
            <v>127407</v>
          </cell>
          <cell r="B367" t="str">
            <v>PANEL,4'x8',PB,3oz/POLYBAK</v>
          </cell>
          <cell r="C367" t="str">
            <v>EA</v>
          </cell>
          <cell r="D367" t="str">
            <v>MA100</v>
          </cell>
          <cell r="E367">
            <v>91.344350000000006</v>
          </cell>
          <cell r="G367">
            <v>127407</v>
          </cell>
        </row>
        <row r="368">
          <cell r="A368">
            <v>127408</v>
          </cell>
          <cell r="B368" t="str">
            <v>PANEL,4'x8',PB,3oz/POLYBAK,CUT</v>
          </cell>
          <cell r="C368" t="str">
            <v>EA</v>
          </cell>
          <cell r="D368" t="str">
            <v>MA100</v>
          </cell>
          <cell r="E368">
            <v>102.87435000000001</v>
          </cell>
          <cell r="G368">
            <v>127408</v>
          </cell>
        </row>
        <row r="369">
          <cell r="A369">
            <v>127409</v>
          </cell>
          <cell r="B369" t="str">
            <v>PANEL,4'x8',PB,3oz/POLYBAK,W/ VENT</v>
          </cell>
          <cell r="C369" t="str">
            <v>EA</v>
          </cell>
          <cell r="D369" t="str">
            <v>MA100</v>
          </cell>
          <cell r="E369">
            <v>120.16934999999999</v>
          </cell>
          <cell r="G369">
            <v>127409</v>
          </cell>
        </row>
        <row r="370">
          <cell r="A370">
            <v>127410</v>
          </cell>
          <cell r="B370" t="str">
            <v>PANEL,4'x10',PB,3oz/POLYBAK</v>
          </cell>
          <cell r="C370" t="str">
            <v>EA</v>
          </cell>
          <cell r="D370" t="str">
            <v>MA100</v>
          </cell>
          <cell r="E370">
            <v>109.24781</v>
          </cell>
          <cell r="G370">
            <v>127410</v>
          </cell>
        </row>
        <row r="371">
          <cell r="A371">
            <v>127411</v>
          </cell>
          <cell r="B371" t="str">
            <v>PANEL,4'x10',PB,3oz/POLYBAK,CUT</v>
          </cell>
          <cell r="C371" t="str">
            <v>EA</v>
          </cell>
          <cell r="D371" t="str">
            <v>MA100</v>
          </cell>
          <cell r="E371">
            <v>120.77781</v>
          </cell>
          <cell r="G371">
            <v>127411</v>
          </cell>
        </row>
        <row r="372">
          <cell r="A372">
            <v>127412</v>
          </cell>
          <cell r="B372" t="str">
            <v>PANEL,4'x10',PB,3oz/POLYBAK,W/ VENT</v>
          </cell>
          <cell r="C372" t="str">
            <v>EA</v>
          </cell>
          <cell r="D372" t="str">
            <v>MA100</v>
          </cell>
          <cell r="E372">
            <v>138.07281</v>
          </cell>
          <cell r="G372">
            <v>127412</v>
          </cell>
        </row>
        <row r="373">
          <cell r="A373">
            <v>127414</v>
          </cell>
          <cell r="B373" t="str">
            <v>COVER PLATE,EVO AIR 2'</v>
          </cell>
          <cell r="C373" t="str">
            <v>EA</v>
          </cell>
          <cell r="D373" t="str">
            <v>RM100</v>
          </cell>
          <cell r="E373">
            <v>50.676000000000002</v>
          </cell>
          <cell r="G373">
            <v>127414</v>
          </cell>
        </row>
        <row r="374">
          <cell r="A374">
            <v>127419</v>
          </cell>
          <cell r="B374" t="str">
            <v>CLAMP,S81,ALUM,CSK,118-3/4</v>
          </cell>
          <cell r="C374" t="str">
            <v>EA</v>
          </cell>
          <cell r="D374" t="str">
            <v>MA100</v>
          </cell>
          <cell r="E374">
            <v>46.802500000000002</v>
          </cell>
          <cell r="G374">
            <v>127419</v>
          </cell>
        </row>
        <row r="375">
          <cell r="A375">
            <v>127420</v>
          </cell>
          <cell r="B375" t="str">
            <v>CLAMP,S81,ALUM,CSK,118-3/4,CUT</v>
          </cell>
          <cell r="C375" t="str">
            <v>EA</v>
          </cell>
          <cell r="D375" t="str">
            <v>MA100</v>
          </cell>
          <cell r="E375">
            <v>46.802500000000002</v>
          </cell>
          <cell r="G375">
            <v>127420</v>
          </cell>
        </row>
        <row r="376">
          <cell r="A376">
            <v>127421</v>
          </cell>
          <cell r="B376" t="str">
            <v>CLAMP,S81,ALUM,CSK,94-3/4</v>
          </cell>
          <cell r="C376" t="str">
            <v>EA</v>
          </cell>
          <cell r="D376" t="str">
            <v>MA100</v>
          </cell>
          <cell r="E376">
            <v>39.842500000000001</v>
          </cell>
          <cell r="G376">
            <v>127421</v>
          </cell>
        </row>
        <row r="377">
          <cell r="A377">
            <v>127422</v>
          </cell>
          <cell r="B377" t="str">
            <v>CLAMP,S81,ALUM,CSK,94-3/4,CUT</v>
          </cell>
          <cell r="C377" t="str">
            <v>EA</v>
          </cell>
          <cell r="D377" t="str">
            <v>MA100</v>
          </cell>
          <cell r="E377">
            <v>39.842500000000001</v>
          </cell>
          <cell r="G377">
            <v>127422</v>
          </cell>
        </row>
        <row r="378">
          <cell r="A378">
            <v>127423</v>
          </cell>
          <cell r="B378" t="str">
            <v>CLAMP,S81,ALUM,CSK,46-3/4</v>
          </cell>
          <cell r="C378" t="str">
            <v>EA</v>
          </cell>
          <cell r="D378" t="str">
            <v>MA100</v>
          </cell>
          <cell r="E378">
            <v>24.9925</v>
          </cell>
          <cell r="G378">
            <v>127423</v>
          </cell>
        </row>
        <row r="379">
          <cell r="A379">
            <v>127424</v>
          </cell>
          <cell r="B379" t="str">
            <v>CLAMP,S81,ALUM,CSK,46-3/4,CUT</v>
          </cell>
          <cell r="C379" t="str">
            <v>EA</v>
          </cell>
          <cell r="D379" t="str">
            <v>MA100</v>
          </cell>
          <cell r="E379">
            <v>24.9925</v>
          </cell>
          <cell r="G379">
            <v>127424</v>
          </cell>
        </row>
        <row r="380">
          <cell r="A380">
            <v>127428</v>
          </cell>
          <cell r="B380" t="str">
            <v>EVO32,D,48",LH,IS,NO</v>
          </cell>
          <cell r="C380" t="str">
            <v>EA</v>
          </cell>
          <cell r="D380" t="str">
            <v>MA100</v>
          </cell>
          <cell r="E380">
            <v>0</v>
          </cell>
          <cell r="G380">
            <v>127428</v>
          </cell>
        </row>
        <row r="381">
          <cell r="A381">
            <v>127434</v>
          </cell>
          <cell r="B381" t="str">
            <v>ROD, EVO, JAMB, SEAL PRESS, LATCH 8-FT</v>
          </cell>
          <cell r="C381" t="str">
            <v>EA</v>
          </cell>
          <cell r="D381" t="str">
            <v>RM100</v>
          </cell>
          <cell r="E381">
            <v>27.48</v>
          </cell>
          <cell r="G381">
            <v>127434</v>
          </cell>
        </row>
        <row r="382">
          <cell r="A382">
            <v>127498</v>
          </cell>
          <cell r="B382" t="str">
            <v>ROD, EVO, JAMB, SEAL PRESS, HINGE 8-FT</v>
          </cell>
          <cell r="C382" t="str">
            <v>EA</v>
          </cell>
          <cell r="D382" t="str">
            <v>RM100</v>
          </cell>
          <cell r="E382">
            <v>27.48</v>
          </cell>
          <cell r="G382">
            <v>127498</v>
          </cell>
        </row>
        <row r="383">
          <cell r="A383">
            <v>127627</v>
          </cell>
          <cell r="B383" t="str">
            <v>VENT,WG,W/FLG (BRS) 10.0X32.0</v>
          </cell>
          <cell r="C383" t="str">
            <v>EA</v>
          </cell>
          <cell r="D383" t="str">
            <v>MA100</v>
          </cell>
          <cell r="E383">
            <v>330.16579000000002</v>
          </cell>
          <cell r="G383">
            <v>127627</v>
          </cell>
        </row>
        <row r="384">
          <cell r="A384">
            <v>127628</v>
          </cell>
          <cell r="B384" t="str">
            <v>VENT,WG,W/FLG (BRS) 8.0X18.0</v>
          </cell>
          <cell r="C384" t="str">
            <v>EA</v>
          </cell>
          <cell r="D384" t="str">
            <v>MA100</v>
          </cell>
          <cell r="E384">
            <v>199.85485</v>
          </cell>
          <cell r="G384">
            <v>127628</v>
          </cell>
        </row>
        <row r="385">
          <cell r="A385">
            <v>127629</v>
          </cell>
          <cell r="B385" t="str">
            <v>VENT,WG,W/FLG (BRS) 8.0X24.0</v>
          </cell>
          <cell r="C385" t="str">
            <v>EA</v>
          </cell>
          <cell r="D385" t="str">
            <v>MA100</v>
          </cell>
          <cell r="E385">
            <v>236.55407</v>
          </cell>
          <cell r="G385">
            <v>127629</v>
          </cell>
        </row>
        <row r="386">
          <cell r="A386">
            <v>127630</v>
          </cell>
          <cell r="B386" t="str">
            <v>VENT,WG,W/FLG (BRS) 10.0X20.0</v>
          </cell>
          <cell r="C386" t="str">
            <v>EA</v>
          </cell>
          <cell r="D386" t="str">
            <v>MA100</v>
          </cell>
          <cell r="E386">
            <v>233.85485</v>
          </cell>
          <cell r="G386">
            <v>127630</v>
          </cell>
        </row>
        <row r="387">
          <cell r="A387">
            <v>127631</v>
          </cell>
          <cell r="B387" t="str">
            <v>VENT,WG,W/FLG (BRS) 12.0X22.0</v>
          </cell>
          <cell r="C387" t="str">
            <v>EA</v>
          </cell>
          <cell r="D387" t="str">
            <v>MA100</v>
          </cell>
          <cell r="E387">
            <v>279.05407000000002</v>
          </cell>
          <cell r="G387">
            <v>127631</v>
          </cell>
        </row>
        <row r="388">
          <cell r="A388">
            <v>127688</v>
          </cell>
          <cell r="B388" t="str">
            <v>LAM,WILSONART,#7919K-78,AMBER CHERRY</v>
          </cell>
          <cell r="C388" t="str">
            <v>EA</v>
          </cell>
          <cell r="D388" t="str">
            <v>RM100</v>
          </cell>
          <cell r="E388">
            <v>94.08</v>
          </cell>
          <cell r="G388">
            <v>127688</v>
          </cell>
        </row>
        <row r="389">
          <cell r="A389">
            <v>127689</v>
          </cell>
          <cell r="B389" t="str">
            <v>LAM,FORMICA,#932-58,ANTIQUE WHITE</v>
          </cell>
          <cell r="C389" t="str">
            <v>EA</v>
          </cell>
          <cell r="D389" t="str">
            <v>RM100</v>
          </cell>
          <cell r="E389">
            <v>81.52</v>
          </cell>
          <cell r="G389">
            <v>127689</v>
          </cell>
        </row>
        <row r="390">
          <cell r="A390">
            <v>127690</v>
          </cell>
          <cell r="B390" t="str">
            <v>LAM,WILSONART,#7924K-07,BILTMORE CHERRY</v>
          </cell>
          <cell r="C390" t="str">
            <v>EA</v>
          </cell>
          <cell r="D390" t="str">
            <v>RM100</v>
          </cell>
          <cell r="E390">
            <v>94.08</v>
          </cell>
          <cell r="G390">
            <v>127690</v>
          </cell>
        </row>
        <row r="391">
          <cell r="A391">
            <v>127691</v>
          </cell>
          <cell r="B391" t="str">
            <v>LAM,WILSONART,#10745-60,FONTHILL PEAR</v>
          </cell>
          <cell r="C391" t="str">
            <v>EA</v>
          </cell>
          <cell r="D391" t="str">
            <v>RM100</v>
          </cell>
          <cell r="E391">
            <v>81.28</v>
          </cell>
          <cell r="G391">
            <v>127691</v>
          </cell>
        </row>
        <row r="392">
          <cell r="A392">
            <v>127692</v>
          </cell>
          <cell r="B392" t="str">
            <v>LAM,WILSONART,#7909-60,FUSION MAPLE</v>
          </cell>
          <cell r="C392" t="str">
            <v>EA</v>
          </cell>
          <cell r="D392" t="str">
            <v>RM100</v>
          </cell>
          <cell r="E392">
            <v>81.28</v>
          </cell>
          <cell r="G392">
            <v>127692</v>
          </cell>
        </row>
        <row r="393">
          <cell r="A393">
            <v>127693</v>
          </cell>
          <cell r="B393" t="str">
            <v>LAM,WILSONART,#10776-60,KENSINGTON MAPLE</v>
          </cell>
          <cell r="C393" t="str">
            <v>EA</v>
          </cell>
          <cell r="D393" t="str">
            <v>RM100</v>
          </cell>
          <cell r="E393">
            <v>81.28</v>
          </cell>
          <cell r="G393">
            <v>127693</v>
          </cell>
        </row>
        <row r="394">
          <cell r="A394">
            <v>127694</v>
          </cell>
          <cell r="B394" t="str">
            <v>LAM,WILSONART,#D427-60,LINEN</v>
          </cell>
          <cell r="C394" t="str">
            <v>EA</v>
          </cell>
          <cell r="D394" t="str">
            <v>RM100</v>
          </cell>
          <cell r="E394">
            <v>81.28</v>
          </cell>
          <cell r="G394">
            <v>127694</v>
          </cell>
        </row>
        <row r="395">
          <cell r="A395">
            <v>127695</v>
          </cell>
          <cell r="B395" t="str">
            <v>LAM,FORMICA,#756-58,NATURAL MAPLE</v>
          </cell>
          <cell r="C395" t="str">
            <v>EA</v>
          </cell>
          <cell r="D395" t="str">
            <v>RM100</v>
          </cell>
          <cell r="E395">
            <v>81.52</v>
          </cell>
          <cell r="G395">
            <v>127695</v>
          </cell>
        </row>
        <row r="396">
          <cell r="A396">
            <v>127696</v>
          </cell>
          <cell r="B396" t="str">
            <v>LAM,WILSONART,#7965K-12,WALNUT HEIGHTS</v>
          </cell>
          <cell r="C396" t="str">
            <v>EA</v>
          </cell>
          <cell r="D396" t="str">
            <v>RM100</v>
          </cell>
          <cell r="E396">
            <v>94.08</v>
          </cell>
          <cell r="G396">
            <v>127696</v>
          </cell>
        </row>
        <row r="397">
          <cell r="A397">
            <v>127697</v>
          </cell>
          <cell r="B397" t="str">
            <v>LAM,WILSONART,#7054-60,WILD CHERRY</v>
          </cell>
          <cell r="C397" t="str">
            <v>EA</v>
          </cell>
          <cell r="D397" t="str">
            <v>RM100</v>
          </cell>
          <cell r="E397">
            <v>81.28</v>
          </cell>
          <cell r="G397">
            <v>127697</v>
          </cell>
        </row>
        <row r="398">
          <cell r="A398">
            <v>127713</v>
          </cell>
          <cell r="B398" t="str">
            <v>SPACER, EVO JAMB THRESHOLD</v>
          </cell>
          <cell r="C398" t="str">
            <v>EA</v>
          </cell>
          <cell r="D398" t="str">
            <v>RM100</v>
          </cell>
          <cell r="E398">
            <v>4.8</v>
          </cell>
          <cell r="G398">
            <v>127713</v>
          </cell>
        </row>
        <row r="399">
          <cell r="A399">
            <v>127720</v>
          </cell>
          <cell r="B399" t="str">
            <v>FLAT THRESHOLD, EVO AIR 48"</v>
          </cell>
          <cell r="C399" t="str">
            <v>EA</v>
          </cell>
          <cell r="D399" t="str">
            <v>RM100</v>
          </cell>
          <cell r="E399">
            <v>65.48</v>
          </cell>
          <cell r="G399">
            <v>127720</v>
          </cell>
        </row>
        <row r="400">
          <cell r="A400">
            <v>127721</v>
          </cell>
          <cell r="B400" t="str">
            <v>FLAT THRESHOLD ISOLATOR, EVO AIR 48"</v>
          </cell>
          <cell r="C400" t="str">
            <v>EA</v>
          </cell>
          <cell r="D400" t="str">
            <v>RM100</v>
          </cell>
          <cell r="E400">
            <v>76.89</v>
          </cell>
          <cell r="G400">
            <v>127721</v>
          </cell>
        </row>
        <row r="401">
          <cell r="A401" t="str">
            <v>127721-36</v>
          </cell>
          <cell r="B401" t="str">
            <v>FLAT THRESHOLD ISOLATOR, EVO AIR 36"</v>
          </cell>
          <cell r="C401" t="str">
            <v>EA</v>
          </cell>
          <cell r="D401" t="str">
            <v>MA100</v>
          </cell>
          <cell r="E401">
            <v>76.89</v>
          </cell>
          <cell r="G401" t="str">
            <v>127721-36</v>
          </cell>
        </row>
        <row r="402">
          <cell r="A402">
            <v>127722</v>
          </cell>
          <cell r="B402" t="str">
            <v>FLAT THRESHOLD,FLOAT PLATE,EVO AIR 48"</v>
          </cell>
          <cell r="C402" t="str">
            <v>EA</v>
          </cell>
          <cell r="D402" t="str">
            <v>RM100</v>
          </cell>
          <cell r="E402">
            <v>37.065519999999999</v>
          </cell>
          <cell r="G402">
            <v>127722</v>
          </cell>
        </row>
        <row r="403">
          <cell r="A403">
            <v>127727</v>
          </cell>
          <cell r="B403" t="str">
            <v>LAM,WILSONART,#7953-38,HARVEST MAPLE</v>
          </cell>
          <cell r="C403" t="str">
            <v>EA</v>
          </cell>
          <cell r="D403" t="str">
            <v>RM100</v>
          </cell>
          <cell r="E403">
            <v>81.28</v>
          </cell>
          <cell r="G403">
            <v>127727</v>
          </cell>
        </row>
        <row r="404">
          <cell r="A404">
            <v>127728</v>
          </cell>
          <cell r="B404" t="str">
            <v>SEAL,RF,LATCH SIDE,EVO, TIN PLATED,7-FT</v>
          </cell>
          <cell r="C404" t="str">
            <v>EA</v>
          </cell>
          <cell r="D404" t="str">
            <v>RM100</v>
          </cell>
          <cell r="E404">
            <v>42.78</v>
          </cell>
          <cell r="G404">
            <v>127728</v>
          </cell>
        </row>
        <row r="405">
          <cell r="A405">
            <v>127730</v>
          </cell>
          <cell r="B405" t="str">
            <v>NUTBAR,RF SIDE, 8'T EVO</v>
          </cell>
          <cell r="C405" t="str">
            <v>EA</v>
          </cell>
          <cell r="D405" t="str">
            <v>RM100</v>
          </cell>
          <cell r="E405">
            <v>33.299999999999997</v>
          </cell>
          <cell r="G405">
            <v>127730</v>
          </cell>
        </row>
        <row r="406">
          <cell r="A406">
            <v>127731</v>
          </cell>
          <cell r="B406" t="str">
            <v>LH RF PANEL FOR 8'T EVO</v>
          </cell>
          <cell r="C406" t="str">
            <v>EA</v>
          </cell>
          <cell r="D406" t="str">
            <v>RM100</v>
          </cell>
          <cell r="E406">
            <v>156.11000000000001</v>
          </cell>
          <cell r="G406">
            <v>127731</v>
          </cell>
        </row>
        <row r="407">
          <cell r="A407">
            <v>127732</v>
          </cell>
          <cell r="B407" t="str">
            <v>RH RF PANEL FOR 8'T EVO</v>
          </cell>
          <cell r="C407" t="str">
            <v>EA</v>
          </cell>
          <cell r="D407" t="str">
            <v>RM100</v>
          </cell>
          <cell r="E407">
            <v>128.61000000000001</v>
          </cell>
          <cell r="G407">
            <v>127732</v>
          </cell>
        </row>
        <row r="408">
          <cell r="A408">
            <v>127739</v>
          </cell>
          <cell r="B408" t="str">
            <v>FLAT THRESHOLD, EVO AIR 36"</v>
          </cell>
          <cell r="C408" t="str">
            <v>EA</v>
          </cell>
          <cell r="D408" t="str">
            <v>RM100</v>
          </cell>
          <cell r="E408">
            <v>63.8</v>
          </cell>
          <cell r="G408">
            <v>127739</v>
          </cell>
        </row>
        <row r="409">
          <cell r="A409">
            <v>127741</v>
          </cell>
          <cell r="B409" t="str">
            <v>FLAT THRESHOLD,FLOAT PLATE,EVO AIR 36"</v>
          </cell>
          <cell r="C409" t="str">
            <v>EA</v>
          </cell>
          <cell r="D409" t="str">
            <v>RM100</v>
          </cell>
          <cell r="E409">
            <v>18.532769999999999</v>
          </cell>
          <cell r="G409">
            <v>127741</v>
          </cell>
        </row>
        <row r="410">
          <cell r="A410">
            <v>127746</v>
          </cell>
          <cell r="B410" t="str">
            <v>EVO44,S,48",BA,LH,NO,8-FT</v>
          </cell>
          <cell r="C410" t="str">
            <v>EA</v>
          </cell>
          <cell r="D410" t="str">
            <v>MA100</v>
          </cell>
          <cell r="E410">
            <v>2568.1836600000001</v>
          </cell>
          <cell r="G410">
            <v>127746</v>
          </cell>
        </row>
        <row r="411">
          <cell r="A411">
            <v>127751</v>
          </cell>
          <cell r="B411" t="str">
            <v>LAM,WILSON ART #6257 4x8 NAT.BRSHD.ALUM</v>
          </cell>
          <cell r="C411" t="str">
            <v>EA</v>
          </cell>
          <cell r="D411" t="str">
            <v>MA100</v>
          </cell>
          <cell r="E411">
            <v>208</v>
          </cell>
          <cell r="G411">
            <v>127751</v>
          </cell>
        </row>
        <row r="412">
          <cell r="A412">
            <v>127754</v>
          </cell>
          <cell r="B412" t="str">
            <v>EVO44LH,IN,AUTO48x8'</v>
          </cell>
          <cell r="C412" t="str">
            <v>EA</v>
          </cell>
          <cell r="D412" t="str">
            <v>FG055</v>
          </cell>
          <cell r="E412">
            <v>5328.8321599999999</v>
          </cell>
          <cell r="G412">
            <v>127754</v>
          </cell>
        </row>
        <row r="413">
          <cell r="A413">
            <v>127757</v>
          </cell>
          <cell r="B413" t="str">
            <v>EVO 4'X8' AIR FRAME W/ 40MMx80MM PROFILE</v>
          </cell>
          <cell r="C413" t="str">
            <v>EA</v>
          </cell>
          <cell r="D413" t="str">
            <v>RM100</v>
          </cell>
          <cell r="E413">
            <v>691.69</v>
          </cell>
          <cell r="G413">
            <v>127757</v>
          </cell>
        </row>
        <row r="414">
          <cell r="A414">
            <v>127758</v>
          </cell>
          <cell r="B414" t="str">
            <v>EDGE CAP SPACER,HINGE,8'T EVO AIR</v>
          </cell>
          <cell r="C414" t="str">
            <v>EA</v>
          </cell>
          <cell r="D414" t="str">
            <v>RM100</v>
          </cell>
          <cell r="E414">
            <v>92.92</v>
          </cell>
          <cell r="G414">
            <v>127758</v>
          </cell>
        </row>
        <row r="415">
          <cell r="A415">
            <v>127759</v>
          </cell>
          <cell r="B415" t="str">
            <v>EDGE CAP SPACER,LATCH,8'T EVO AIR</v>
          </cell>
          <cell r="C415" t="str">
            <v>EA</v>
          </cell>
          <cell r="D415" t="str">
            <v>RM100</v>
          </cell>
          <cell r="E415">
            <v>86.01</v>
          </cell>
          <cell r="G415">
            <v>127759</v>
          </cell>
        </row>
        <row r="416">
          <cell r="A416">
            <v>127760</v>
          </cell>
          <cell r="B416" t="str">
            <v>NRF PANEL FOR 8'T EVO AIR</v>
          </cell>
          <cell r="C416" t="str">
            <v>EA</v>
          </cell>
          <cell r="D416" t="str">
            <v>RM100</v>
          </cell>
          <cell r="E416">
            <v>169.17</v>
          </cell>
          <cell r="G416">
            <v>127760</v>
          </cell>
        </row>
        <row r="417">
          <cell r="A417">
            <v>127761</v>
          </cell>
          <cell r="B417" t="str">
            <v>EDGE CAP,LATCH,LH,8'T EVO AIR</v>
          </cell>
          <cell r="C417" t="str">
            <v>EA</v>
          </cell>
          <cell r="D417" t="str">
            <v>RM100</v>
          </cell>
          <cell r="E417">
            <v>127.94</v>
          </cell>
          <cell r="G417">
            <v>127761</v>
          </cell>
        </row>
        <row r="418">
          <cell r="A418">
            <v>127762</v>
          </cell>
          <cell r="B418" t="str">
            <v>EDGE CAP,LATCH,RH,8'T EVO AIR</v>
          </cell>
          <cell r="C418" t="str">
            <v>EA</v>
          </cell>
          <cell r="D418" t="str">
            <v>RM100</v>
          </cell>
          <cell r="E418">
            <v>135.4</v>
          </cell>
          <cell r="G418">
            <v>127762</v>
          </cell>
        </row>
        <row r="419">
          <cell r="A419">
            <v>127763</v>
          </cell>
          <cell r="B419" t="str">
            <v>EDGE CAP,HINGE,8'T EVO AIR</v>
          </cell>
          <cell r="C419" t="str">
            <v>EA</v>
          </cell>
          <cell r="D419" t="str">
            <v>RM100</v>
          </cell>
          <cell r="E419">
            <v>108.36</v>
          </cell>
          <cell r="G419">
            <v>127763</v>
          </cell>
        </row>
        <row r="420">
          <cell r="A420">
            <v>127766</v>
          </cell>
          <cell r="B420" t="str">
            <v>WLDMNT, CONN. PNL, 12X24, BRASS</v>
          </cell>
          <cell r="C420" t="str">
            <v>EA</v>
          </cell>
          <cell r="D420" t="str">
            <v>MA410</v>
          </cell>
          <cell r="E420">
            <v>89.395200000000003</v>
          </cell>
          <cell r="G420">
            <v>127766</v>
          </cell>
        </row>
        <row r="421">
          <cell r="A421">
            <v>127767</v>
          </cell>
          <cell r="B421" t="str">
            <v>J FRAME,BRASS,24" SIDE</v>
          </cell>
          <cell r="C421" t="str">
            <v>EA</v>
          </cell>
          <cell r="D421" t="str">
            <v>MA410</v>
          </cell>
          <cell r="E421">
            <v>0</v>
          </cell>
          <cell r="G421">
            <v>127767</v>
          </cell>
        </row>
        <row r="422">
          <cell r="A422">
            <v>127778</v>
          </cell>
          <cell r="B422" t="str">
            <v>BRKT, EVO AIR DOOR, Z, RF AND ACOUSTIC</v>
          </cell>
          <cell r="C422" t="str">
            <v>EA</v>
          </cell>
          <cell r="D422" t="str">
            <v>MA100</v>
          </cell>
          <cell r="E422">
            <v>38.39</v>
          </cell>
          <cell r="G422">
            <v>127778</v>
          </cell>
        </row>
        <row r="423">
          <cell r="A423">
            <v>127783</v>
          </cell>
          <cell r="B423" t="str">
            <v>EVO44RH,IN,AUTO48x8'</v>
          </cell>
          <cell r="C423" t="str">
            <v>EA</v>
          </cell>
          <cell r="D423" t="str">
            <v>FG055</v>
          </cell>
          <cell r="E423">
            <v>5564.1461600000002</v>
          </cell>
          <cell r="G423">
            <v>127783</v>
          </cell>
        </row>
        <row r="424">
          <cell r="A424">
            <v>127784</v>
          </cell>
          <cell r="B424" t="str">
            <v>EVO44,S,48",BA,RH,NO,8-FT</v>
          </cell>
          <cell r="C424" t="str">
            <v>EA</v>
          </cell>
          <cell r="D424" t="str">
            <v>MA100</v>
          </cell>
          <cell r="E424">
            <v>2550.23486</v>
          </cell>
          <cell r="G424">
            <v>127784</v>
          </cell>
        </row>
        <row r="425">
          <cell r="A425">
            <v>127785</v>
          </cell>
          <cell r="B425" t="str">
            <v>GSKT, LEGACY#770AA, 8-FT</v>
          </cell>
          <cell r="C425" t="str">
            <v>EA</v>
          </cell>
          <cell r="D425" t="str">
            <v>RM100</v>
          </cell>
          <cell r="E425">
            <v>104.68</v>
          </cell>
          <cell r="G425">
            <v>127785</v>
          </cell>
        </row>
        <row r="426">
          <cell r="A426">
            <v>127885</v>
          </cell>
          <cell r="B426" t="str">
            <v>CVR, EVO, JAMB, SMALL, LATCH, RH,8-FT</v>
          </cell>
          <cell r="C426" t="str">
            <v>EA</v>
          </cell>
          <cell r="D426" t="str">
            <v>RM100</v>
          </cell>
          <cell r="E426">
            <v>39.4</v>
          </cell>
          <cell r="G426">
            <v>127885</v>
          </cell>
        </row>
        <row r="427">
          <cell r="A427">
            <v>127909</v>
          </cell>
          <cell r="B427" t="str">
            <v>EVO44 JAMB,S,48",RH,BA,MA, 8-FT</v>
          </cell>
          <cell r="C427" t="str">
            <v>EA</v>
          </cell>
          <cell r="D427" t="str">
            <v>FG055</v>
          </cell>
          <cell r="E427">
            <v>2597.9113000000002</v>
          </cell>
          <cell r="G427">
            <v>127909</v>
          </cell>
        </row>
        <row r="428">
          <cell r="A428">
            <v>127914</v>
          </cell>
          <cell r="B428" t="str">
            <v>PNEUMATIC SYSTEM CARTRIDGE EVO AIR</v>
          </cell>
          <cell r="C428" t="str">
            <v>EA</v>
          </cell>
          <cell r="D428" t="str">
            <v>MA100</v>
          </cell>
          <cell r="E428">
            <v>0</v>
          </cell>
          <cell r="G428">
            <v>127914</v>
          </cell>
        </row>
        <row r="429">
          <cell r="A429">
            <v>127926</v>
          </cell>
          <cell r="B429" t="str">
            <v>5240-CUST,18x19x36,12x24DR,CU SKIN ASSY</v>
          </cell>
          <cell r="C429" t="str">
            <v>EA</v>
          </cell>
          <cell r="D429" t="str">
            <v>MA420</v>
          </cell>
          <cell r="E429">
            <v>1732.3168000000001</v>
          </cell>
          <cell r="G429">
            <v>127926</v>
          </cell>
        </row>
        <row r="430">
          <cell r="A430">
            <v>127927</v>
          </cell>
          <cell r="B430" t="str">
            <v>5240-CUSTOM,18x19x36,WOOD ASSY,12x24DR</v>
          </cell>
          <cell r="C430" t="str">
            <v>EA</v>
          </cell>
          <cell r="D430" t="str">
            <v>MA420</v>
          </cell>
          <cell r="E430">
            <v>17.010429999999999</v>
          </cell>
          <cell r="G430">
            <v>127927</v>
          </cell>
        </row>
        <row r="431">
          <cell r="A431">
            <v>127931</v>
          </cell>
          <cell r="B431" t="str">
            <v>5240-CUSTOM,D/J,17-1/2x34-1/2,12x24DR</v>
          </cell>
          <cell r="C431" t="str">
            <v>EA</v>
          </cell>
          <cell r="D431" t="str">
            <v>MA420</v>
          </cell>
          <cell r="E431">
            <v>4.1500300000000001</v>
          </cell>
          <cell r="G431">
            <v>127931</v>
          </cell>
        </row>
        <row r="432">
          <cell r="A432">
            <v>127937</v>
          </cell>
          <cell r="B432" t="str">
            <v>FERRITE TILE KIT,5240-CUSTOM,18x19x36</v>
          </cell>
          <cell r="C432" t="str">
            <v>EA</v>
          </cell>
          <cell r="D432" t="str">
            <v>MA200</v>
          </cell>
          <cell r="E432">
            <v>312.02159999999998</v>
          </cell>
          <cell r="G432">
            <v>127937</v>
          </cell>
        </row>
        <row r="433">
          <cell r="A433">
            <v>127938</v>
          </cell>
          <cell r="B433" t="str">
            <v>EDGE GUARD BRACKET EVO AIR</v>
          </cell>
          <cell r="C433" t="str">
            <v>EA</v>
          </cell>
          <cell r="D433" t="str">
            <v>RM100</v>
          </cell>
          <cell r="E433">
            <v>4.51</v>
          </cell>
          <cell r="G433">
            <v>127938</v>
          </cell>
        </row>
        <row r="434">
          <cell r="A434">
            <v>127939</v>
          </cell>
          <cell r="B434" t="str">
            <v>ASSY,5240-CUSTOM,18x19x36,12x24DR,10GHz</v>
          </cell>
          <cell r="C434" t="str">
            <v>EA</v>
          </cell>
          <cell r="D434" t="str">
            <v>FG460</v>
          </cell>
          <cell r="E434">
            <v>3456.97867</v>
          </cell>
          <cell r="G434">
            <v>127939</v>
          </cell>
        </row>
        <row r="435">
          <cell r="A435">
            <v>127940</v>
          </cell>
          <cell r="B435" t="str">
            <v>ASSY,DR DEI 12X24 10GHZ 24OZ CU TGL LTCH</v>
          </cell>
          <cell r="C435" t="str">
            <v>EA</v>
          </cell>
          <cell r="D435" t="str">
            <v>MA100</v>
          </cell>
          <cell r="E435">
            <v>1490.1256800000001</v>
          </cell>
          <cell r="G435">
            <v>127940</v>
          </cell>
        </row>
        <row r="436">
          <cell r="A436">
            <v>127944</v>
          </cell>
          <cell r="B436" t="str">
            <v>TRIM,TOP/BTM,10GHz,14-1/4X3X1/8 CRS</v>
          </cell>
          <cell r="C436" t="str">
            <v>EA</v>
          </cell>
          <cell r="D436" t="str">
            <v>MA100</v>
          </cell>
          <cell r="E436">
            <v>80.75</v>
          </cell>
          <cell r="G436">
            <v>127944</v>
          </cell>
        </row>
        <row r="437">
          <cell r="A437">
            <v>127945</v>
          </cell>
          <cell r="B437" t="str">
            <v>TRIM,LTCH 10GHz 20-1/4X3X1/8 CRS</v>
          </cell>
          <cell r="C437" t="str">
            <v>EA</v>
          </cell>
          <cell r="D437" t="str">
            <v>MA100</v>
          </cell>
          <cell r="E437">
            <v>113.79</v>
          </cell>
          <cell r="G437">
            <v>127945</v>
          </cell>
        </row>
        <row r="438">
          <cell r="A438">
            <v>127946</v>
          </cell>
          <cell r="B438" t="str">
            <v>TRIM,HNG 10GHz 20-1/4X3X1/8 CRS</v>
          </cell>
          <cell r="C438" t="str">
            <v>EA</v>
          </cell>
          <cell r="D438" t="str">
            <v>MA100</v>
          </cell>
          <cell r="E438">
            <v>154.97999999999999</v>
          </cell>
          <cell r="G438">
            <v>127946</v>
          </cell>
        </row>
        <row r="439">
          <cell r="A439">
            <v>127950</v>
          </cell>
          <cell r="B439" t="str">
            <v>VENT,WG,W/FLG (BRS) 18.0X24.0</v>
          </cell>
          <cell r="C439" t="str">
            <v>EA</v>
          </cell>
          <cell r="D439" t="str">
            <v>MA100</v>
          </cell>
          <cell r="E439">
            <v>390.24876</v>
          </cell>
          <cell r="G439">
            <v>127950</v>
          </cell>
        </row>
        <row r="440">
          <cell r="A440">
            <v>127951</v>
          </cell>
          <cell r="B440" t="str">
            <v>VENT,WG,W/FLG (BRS) 18.0X28.0</v>
          </cell>
          <cell r="C440" t="str">
            <v>EA</v>
          </cell>
          <cell r="D440" t="str">
            <v>MA100</v>
          </cell>
          <cell r="E440">
            <v>432.74876</v>
          </cell>
          <cell r="G440">
            <v>127951</v>
          </cell>
        </row>
        <row r="441">
          <cell r="A441">
            <v>127953</v>
          </cell>
          <cell r="B441" t="str">
            <v>CPA-12x24-B-16N,18HN,(3)1/2"WGFT</v>
          </cell>
          <cell r="C441" t="str">
            <v>EA</v>
          </cell>
          <cell r="D441" t="str">
            <v>MA100</v>
          </cell>
          <cell r="E441">
            <v>152.43397999999999</v>
          </cell>
          <cell r="G441">
            <v>127953</v>
          </cell>
        </row>
        <row r="442">
          <cell r="A442">
            <v>127954</v>
          </cell>
          <cell r="B442" t="str">
            <v>CP-12x24-B-16N,18HN,(3)1/2"WGFT</v>
          </cell>
          <cell r="C442" t="str">
            <v>EA</v>
          </cell>
          <cell r="D442" t="str">
            <v>MA100</v>
          </cell>
          <cell r="E442">
            <v>61.404380000000003</v>
          </cell>
          <cell r="G442">
            <v>127954</v>
          </cell>
        </row>
        <row r="443">
          <cell r="A443">
            <v>127955</v>
          </cell>
          <cell r="B443" t="str">
            <v>WLDMNT, CONN. PNL, 12X24, BRASS</v>
          </cell>
          <cell r="C443" t="str">
            <v>EA</v>
          </cell>
          <cell r="D443" t="str">
            <v>MA100</v>
          </cell>
          <cell r="E443">
            <v>89.395200000000003</v>
          </cell>
          <cell r="G443">
            <v>127955</v>
          </cell>
        </row>
        <row r="444">
          <cell r="A444">
            <v>127972</v>
          </cell>
          <cell r="B444" t="str">
            <v>VENT,WG,W/FLG (BRS) 14.0X30.0</v>
          </cell>
          <cell r="C444" t="str">
            <v>EA</v>
          </cell>
          <cell r="D444" t="str">
            <v>MA100</v>
          </cell>
          <cell r="E444">
            <v>390.24876</v>
          </cell>
          <cell r="G444">
            <v>127972</v>
          </cell>
        </row>
        <row r="445">
          <cell r="A445">
            <v>130250</v>
          </cell>
          <cell r="B445" t="str">
            <v>KIT, PUSH PAD (OUTSIDE) W/KEYED SWTCH</v>
          </cell>
          <cell r="C445" t="str">
            <v>EA</v>
          </cell>
          <cell r="D445" t="str">
            <v>MA100</v>
          </cell>
          <cell r="E445">
            <v>198.12566000000001</v>
          </cell>
          <cell r="G445">
            <v>130250</v>
          </cell>
        </row>
        <row r="446">
          <cell r="A446">
            <v>130251</v>
          </cell>
          <cell r="B446" t="str">
            <v>KIT,TB-4</v>
          </cell>
          <cell r="C446" t="str">
            <v>EA</v>
          </cell>
          <cell r="D446" t="str">
            <v>MA100</v>
          </cell>
          <cell r="E446">
            <v>74.952129999999997</v>
          </cell>
          <cell r="G446">
            <v>130251</v>
          </cell>
        </row>
        <row r="447">
          <cell r="A447">
            <v>130252</v>
          </cell>
          <cell r="B447" t="str">
            <v>KIT, PUSH PAD (INSIDE) W/FILTER</v>
          </cell>
          <cell r="C447" t="str">
            <v>EA</v>
          </cell>
          <cell r="D447" t="str">
            <v>MA100</v>
          </cell>
          <cell r="E447">
            <v>566.08851000000004</v>
          </cell>
          <cell r="G447">
            <v>130252</v>
          </cell>
        </row>
        <row r="448">
          <cell r="A448">
            <v>130516</v>
          </cell>
          <cell r="B448" t="str">
            <v>FOAM,NEOPRENE,1/16X2X50',ADH BACKED</v>
          </cell>
          <cell r="C448" t="str">
            <v>EA</v>
          </cell>
          <cell r="D448" t="str">
            <v>RM100</v>
          </cell>
          <cell r="E448">
            <v>13.89</v>
          </cell>
          <cell r="G448">
            <v>130516</v>
          </cell>
        </row>
        <row r="449">
          <cell r="A449">
            <v>130517</v>
          </cell>
          <cell r="B449" t="str">
            <v>FOAM,NEOPRENE,1/16X1-1/4X50',ADH BACKED</v>
          </cell>
          <cell r="C449" t="str">
            <v>FT</v>
          </cell>
          <cell r="D449" t="str">
            <v>RM100</v>
          </cell>
          <cell r="E449">
            <v>0.19600000000000001</v>
          </cell>
          <cell r="G449">
            <v>130517</v>
          </cell>
        </row>
        <row r="450">
          <cell r="A450">
            <v>150102</v>
          </cell>
          <cell r="B450" t="str">
            <v>BAR,ANG CRS 7/8X89 ZINC DICHRO PLTG</v>
          </cell>
          <cell r="C450" t="str">
            <v>EA</v>
          </cell>
          <cell r="D450" t="str">
            <v>RM100</v>
          </cell>
          <cell r="E450">
            <v>28.4</v>
          </cell>
          <cell r="G450">
            <v>150102</v>
          </cell>
        </row>
        <row r="451">
          <cell r="A451">
            <v>150103</v>
          </cell>
          <cell r="B451" t="str">
            <v>BAR,ANG CRS 1-3/8X89 ZINC DICHRO PLTG</v>
          </cell>
          <cell r="C451" t="str">
            <v>EA</v>
          </cell>
          <cell r="D451" t="str">
            <v>RM100</v>
          </cell>
          <cell r="E451">
            <v>31.3</v>
          </cell>
          <cell r="G451">
            <v>150103</v>
          </cell>
        </row>
        <row r="452">
          <cell r="A452">
            <v>150104</v>
          </cell>
          <cell r="B452" t="str">
            <v>BAR,ANG CRS 7/8X96 ZINC DICHRO PLTG</v>
          </cell>
          <cell r="C452" t="str">
            <v>EA</v>
          </cell>
          <cell r="D452" t="str">
            <v>RM100</v>
          </cell>
          <cell r="E452">
            <v>29</v>
          </cell>
          <cell r="G452">
            <v>150104</v>
          </cell>
        </row>
        <row r="453">
          <cell r="A453">
            <v>150105</v>
          </cell>
          <cell r="B453" t="str">
            <v>BAR,ANG CRS 1-3/8X96 ZINC DICHRO PLTG</v>
          </cell>
          <cell r="C453" t="str">
            <v>EA</v>
          </cell>
          <cell r="D453" t="str">
            <v>RM100</v>
          </cell>
          <cell r="E453">
            <v>32.200000000000003</v>
          </cell>
          <cell r="G453">
            <v>150105</v>
          </cell>
        </row>
        <row r="454">
          <cell r="A454">
            <v>150106</v>
          </cell>
          <cell r="B454" t="str">
            <v>BAR,ANG CRS 7/8X118 ZINC DICHRO PLTG</v>
          </cell>
          <cell r="C454" t="str">
            <v>EA</v>
          </cell>
          <cell r="D454" t="str">
            <v>RM100</v>
          </cell>
          <cell r="E454">
            <v>55.53</v>
          </cell>
          <cell r="G454">
            <v>150106</v>
          </cell>
        </row>
        <row r="455">
          <cell r="A455">
            <v>150107</v>
          </cell>
          <cell r="B455" t="str">
            <v>BAR,ANG CRS 1-3/8X118 ZINC DICHRO PLTG</v>
          </cell>
          <cell r="C455" t="str">
            <v>EA</v>
          </cell>
          <cell r="D455" t="str">
            <v>RM100</v>
          </cell>
          <cell r="E455">
            <v>59.17</v>
          </cell>
          <cell r="G455">
            <v>150107</v>
          </cell>
        </row>
        <row r="456">
          <cell r="A456">
            <v>150108</v>
          </cell>
          <cell r="B456" t="str">
            <v>BAR,ANG CRS 7/8X120 ZINC DICHRO PLTG</v>
          </cell>
          <cell r="C456" t="str">
            <v>EA</v>
          </cell>
          <cell r="D456" t="str">
            <v>RM100</v>
          </cell>
          <cell r="E456">
            <v>35.24</v>
          </cell>
          <cell r="G456">
            <v>150108</v>
          </cell>
        </row>
        <row r="457">
          <cell r="A457">
            <v>150109</v>
          </cell>
          <cell r="B457" t="str">
            <v>BAR,ANG CRS 1-3/8X120 ZINC DICHRO PLTG</v>
          </cell>
          <cell r="C457" t="str">
            <v>EA</v>
          </cell>
          <cell r="D457" t="str">
            <v>RM100</v>
          </cell>
          <cell r="E457">
            <v>37.67</v>
          </cell>
          <cell r="G457">
            <v>150109</v>
          </cell>
        </row>
        <row r="458">
          <cell r="A458">
            <v>150115</v>
          </cell>
          <cell r="B458" t="str">
            <v>BAR,Z-ANG 2-1/4X2-3/8X144 10GA (HRS)*</v>
          </cell>
          <cell r="C458" t="str">
            <v>EA</v>
          </cell>
          <cell r="D458" t="str">
            <v>RM100</v>
          </cell>
          <cell r="E458">
            <v>60.75</v>
          </cell>
          <cell r="G458">
            <v>150115</v>
          </cell>
        </row>
        <row r="459">
          <cell r="A459">
            <v>150116</v>
          </cell>
          <cell r="B459" t="str">
            <v>BAR,ANG 2X7/8X144 10GA (HRS)P/OIL ZN-DIC</v>
          </cell>
          <cell r="C459" t="str">
            <v>EA</v>
          </cell>
          <cell r="D459" t="str">
            <v>RM100</v>
          </cell>
          <cell r="E459">
            <v>54.7</v>
          </cell>
          <cell r="G459">
            <v>150116</v>
          </cell>
        </row>
        <row r="460">
          <cell r="A460">
            <v>150117</v>
          </cell>
          <cell r="B460" t="str">
            <v>BAR,UNIV ANG (HR) 7/8X142 P/OIL ZN-DIC</v>
          </cell>
          <cell r="C460" t="str">
            <v>EA</v>
          </cell>
          <cell r="D460" t="str">
            <v>RM100</v>
          </cell>
          <cell r="E460">
            <v>61.29</v>
          </cell>
          <cell r="G460">
            <v>150117</v>
          </cell>
        </row>
        <row r="461">
          <cell r="A461">
            <v>150118</v>
          </cell>
          <cell r="B461" t="str">
            <v>BAR,UNIV ANG (HR) 1-3/8X142 P/OIL ZN-DIC</v>
          </cell>
          <cell r="C461" t="str">
            <v>EA</v>
          </cell>
          <cell r="D461" t="str">
            <v>RM100</v>
          </cell>
          <cell r="E461">
            <v>141.85</v>
          </cell>
          <cell r="G461">
            <v>150118</v>
          </cell>
        </row>
        <row r="462">
          <cell r="A462">
            <v>150135</v>
          </cell>
          <cell r="B462" t="str">
            <v>CMP,HAT 11GA2"X94-3/4"DRL</v>
          </cell>
          <cell r="C462" t="str">
            <v>EA</v>
          </cell>
          <cell r="D462" t="str">
            <v>RM100</v>
          </cell>
          <cell r="E462">
            <v>8.89</v>
          </cell>
          <cell r="G462">
            <v>150135</v>
          </cell>
        </row>
        <row r="463">
          <cell r="A463">
            <v>150136</v>
          </cell>
          <cell r="B463" t="str">
            <v>CMP,HAT 11GA2"X118-3/4DRL&amp;PLTD</v>
          </cell>
          <cell r="C463" t="str">
            <v>EA</v>
          </cell>
          <cell r="D463" t="str">
            <v>RM100</v>
          </cell>
          <cell r="E463">
            <v>11.15</v>
          </cell>
          <cell r="G463">
            <v>150136</v>
          </cell>
        </row>
        <row r="464">
          <cell r="A464">
            <v>150139</v>
          </cell>
          <cell r="B464" t="str">
            <v>CMP,FLAT ALUM 2"X119-1/2"DRL&amp; ARC SP</v>
          </cell>
          <cell r="C464" t="str">
            <v>EA</v>
          </cell>
          <cell r="D464" t="str">
            <v>RM100</v>
          </cell>
          <cell r="E464">
            <v>23.46</v>
          </cell>
          <cell r="G464">
            <v>150139</v>
          </cell>
        </row>
        <row r="465">
          <cell r="A465">
            <v>150143</v>
          </cell>
          <cell r="B465" t="str">
            <v>CMP,FLAT ALUM 2"X118-3/4"DRL&amp;CSK</v>
          </cell>
          <cell r="C465" t="str">
            <v>EA</v>
          </cell>
          <cell r="D465" t="str">
            <v>MA100</v>
          </cell>
          <cell r="E465">
            <v>13.26</v>
          </cell>
          <cell r="G465">
            <v>150143</v>
          </cell>
        </row>
        <row r="466">
          <cell r="A466">
            <v>150156</v>
          </cell>
          <cell r="B466" t="str">
            <v>CMP,W11G X1.87LEG X118-3/4 DRL&amp;PLTD</v>
          </cell>
          <cell r="C466" t="str">
            <v>EA</v>
          </cell>
          <cell r="D466" t="str">
            <v>RM100</v>
          </cell>
          <cell r="E466">
            <v>11.62</v>
          </cell>
          <cell r="G466">
            <v>150156</v>
          </cell>
        </row>
        <row r="467">
          <cell r="A467">
            <v>150162</v>
          </cell>
          <cell r="B467" t="str">
            <v>CLIP,CHAIR,SPCR11GAX8"LGDRL&amp;PLTD&amp;RLFRMD*</v>
          </cell>
          <cell r="C467" t="str">
            <v>EA</v>
          </cell>
          <cell r="D467" t="str">
            <v>RM100</v>
          </cell>
          <cell r="E467">
            <v>0.28999999999999998</v>
          </cell>
          <cell r="G467">
            <v>150162</v>
          </cell>
        </row>
        <row r="468">
          <cell r="A468">
            <v>150180</v>
          </cell>
          <cell r="B468" t="str">
            <v>CMP,FLAT11GA2"X46-3/4"DRL&amp;CSK&amp;ARC</v>
          </cell>
          <cell r="C468" t="str">
            <v>EA</v>
          </cell>
          <cell r="D468" t="str">
            <v>MA100</v>
          </cell>
          <cell r="E468">
            <v>0</v>
          </cell>
          <cell r="G468">
            <v>150180</v>
          </cell>
        </row>
        <row r="469">
          <cell r="A469">
            <v>150181</v>
          </cell>
          <cell r="B469" t="str">
            <v>CMP,FLAT11GA2"X94-3/4"DRL&amp;CSK&amp;ARC</v>
          </cell>
          <cell r="C469" t="str">
            <v>EA</v>
          </cell>
          <cell r="D469" t="str">
            <v>MA100</v>
          </cell>
          <cell r="E469">
            <v>0</v>
          </cell>
          <cell r="G469">
            <v>150181</v>
          </cell>
        </row>
        <row r="470">
          <cell r="A470">
            <v>150197</v>
          </cell>
          <cell r="B470" t="str">
            <v>CMP,FLAT,GALV 2"X46-3/8"DRL,BND</v>
          </cell>
          <cell r="C470" t="str">
            <v>EA</v>
          </cell>
          <cell r="D470" t="str">
            <v>RM100</v>
          </cell>
          <cell r="E470">
            <v>3.05</v>
          </cell>
          <cell r="G470">
            <v>150197</v>
          </cell>
        </row>
        <row r="471">
          <cell r="A471">
            <v>150200</v>
          </cell>
          <cell r="B471" t="str">
            <v>CMP,FLAT,1/8 ALx2"X94-3/4"DRL&amp;CSK</v>
          </cell>
          <cell r="C471" t="str">
            <v>EA</v>
          </cell>
          <cell r="D471" t="str">
            <v>MA100</v>
          </cell>
          <cell r="E471">
            <v>8.32201521</v>
          </cell>
          <cell r="G471">
            <v>150200</v>
          </cell>
        </row>
        <row r="472">
          <cell r="A472">
            <v>150205</v>
          </cell>
          <cell r="B472" t="str">
            <v>CMP,ANGLE GALV 2x2x10' DRL</v>
          </cell>
          <cell r="C472" t="str">
            <v>EA</v>
          </cell>
          <cell r="D472" t="str">
            <v>RM100</v>
          </cell>
          <cell r="E472">
            <v>14.08</v>
          </cell>
          <cell r="G472">
            <v>150205</v>
          </cell>
        </row>
        <row r="473">
          <cell r="A473">
            <v>150206</v>
          </cell>
          <cell r="B473" t="str">
            <v>CMP,FLAT,GALV 2"X118-3/4"DRL,BND</v>
          </cell>
          <cell r="C473" t="str">
            <v>EA</v>
          </cell>
          <cell r="D473" t="str">
            <v>RM100</v>
          </cell>
          <cell r="E473">
            <v>10.33</v>
          </cell>
          <cell r="G473">
            <v>150206</v>
          </cell>
        </row>
        <row r="474">
          <cell r="A474">
            <v>150304</v>
          </cell>
          <cell r="B474" t="str">
            <v>PLT,BR,CRYO/CHILLER,PMS 1.5T, 3/16X13.75</v>
          </cell>
          <cell r="C474" t="str">
            <v>EA</v>
          </cell>
          <cell r="D474" t="str">
            <v>RM100</v>
          </cell>
          <cell r="E474">
            <v>133</v>
          </cell>
          <cell r="G474">
            <v>150304</v>
          </cell>
        </row>
        <row r="475">
          <cell r="A475">
            <v>150305</v>
          </cell>
          <cell r="B475" t="str">
            <v>PLT,BR,CRYO,PMS 3T,3/16X21.75SQ W/M8X.</v>
          </cell>
          <cell r="C475" t="str">
            <v>EA</v>
          </cell>
          <cell r="D475" t="str">
            <v>RM100</v>
          </cell>
          <cell r="E475">
            <v>662.07</v>
          </cell>
          <cell r="G475">
            <v>150305</v>
          </cell>
        </row>
        <row r="476">
          <cell r="A476">
            <v>150400</v>
          </cell>
          <cell r="B476" t="str">
            <v>SEAM,FLR,ALUM4"X142-1/4"PEEL OFF PLASTIC</v>
          </cell>
          <cell r="C476" t="str">
            <v>EA</v>
          </cell>
          <cell r="D476" t="str">
            <v>RM100</v>
          </cell>
          <cell r="E476">
            <v>43.07</v>
          </cell>
          <cell r="G476">
            <v>150400</v>
          </cell>
        </row>
        <row r="477">
          <cell r="A477">
            <v>150401</v>
          </cell>
          <cell r="B477" t="str">
            <v>SEAM,FLR,ALUM4"X118-1/4"PEEL OFF PLASTIC</v>
          </cell>
          <cell r="C477" t="str">
            <v>EA</v>
          </cell>
          <cell r="D477" t="str">
            <v>RM100</v>
          </cell>
          <cell r="E477">
            <v>31.21</v>
          </cell>
          <cell r="G477">
            <v>150401</v>
          </cell>
        </row>
        <row r="478">
          <cell r="A478">
            <v>150405</v>
          </cell>
          <cell r="B478" t="str">
            <v>STUD CLIP, 1-1/2"X1-1/2"X2" BENT@ 90°</v>
          </cell>
          <cell r="C478" t="str">
            <v>EA</v>
          </cell>
          <cell r="D478" t="str">
            <v>MA100</v>
          </cell>
          <cell r="E478">
            <v>6.9714999999999998</v>
          </cell>
          <cell r="G478">
            <v>150405</v>
          </cell>
        </row>
        <row r="479">
          <cell r="A479">
            <v>150406</v>
          </cell>
          <cell r="B479" t="str">
            <v>CLIP,ALUM SQ TUBE 1.25X3" 9.3/LB</v>
          </cell>
          <cell r="C479" t="str">
            <v>EA</v>
          </cell>
          <cell r="D479" t="str">
            <v>RM100</v>
          </cell>
          <cell r="E479">
            <v>2.46</v>
          </cell>
          <cell r="G479">
            <v>150406</v>
          </cell>
        </row>
        <row r="480">
          <cell r="A480">
            <v>150407</v>
          </cell>
          <cell r="B480" t="str">
            <v>BAR,G.E. GROUND,1.5 x 8 x .25</v>
          </cell>
          <cell r="C480" t="str">
            <v>EA</v>
          </cell>
          <cell r="D480" t="str">
            <v>RM100</v>
          </cell>
          <cell r="E480">
            <v>16.079999999999998</v>
          </cell>
          <cell r="G480">
            <v>150407</v>
          </cell>
        </row>
        <row r="481">
          <cell r="A481">
            <v>150409</v>
          </cell>
          <cell r="B481" t="str">
            <v>CU,.005"X2" TIN DIPPED, ALLOY 110</v>
          </cell>
          <cell r="C481" t="str">
            <v>FT</v>
          </cell>
          <cell r="D481" t="str">
            <v>RM100</v>
          </cell>
          <cell r="E481">
            <v>0.5101</v>
          </cell>
          <cell r="G481">
            <v>150409</v>
          </cell>
        </row>
        <row r="482">
          <cell r="A482">
            <v>150619</v>
          </cell>
          <cell r="B482" t="str">
            <v>VENT,PATIENT ALUM 6"X20" W/10"X24"X1/4*</v>
          </cell>
          <cell r="C482" t="str">
            <v>EA</v>
          </cell>
          <cell r="D482" t="str">
            <v>RM100</v>
          </cell>
          <cell r="E482">
            <v>109.2663</v>
          </cell>
          <cell r="G482">
            <v>150619</v>
          </cell>
        </row>
        <row r="483">
          <cell r="A483">
            <v>150620</v>
          </cell>
          <cell r="B483" t="str">
            <v>TUBE,ALUM. ELBOW 8" Ø  SECTIONAL 4"ENDS</v>
          </cell>
          <cell r="C483" t="str">
            <v>EA</v>
          </cell>
          <cell r="D483" t="str">
            <v>RM100</v>
          </cell>
          <cell r="E483">
            <v>157.66999999999999</v>
          </cell>
          <cell r="G483">
            <v>150620</v>
          </cell>
        </row>
        <row r="484">
          <cell r="A484">
            <v>151001</v>
          </cell>
          <cell r="B484" t="str">
            <v>CAP,BSE CU 1-9/16"X1-25/32"X2-21/32"X10'</v>
          </cell>
          <cell r="C484" t="str">
            <v>EA</v>
          </cell>
          <cell r="D484" t="str">
            <v>MA100</v>
          </cell>
          <cell r="E484">
            <v>23.205559999999998</v>
          </cell>
          <cell r="G484">
            <v>151001</v>
          </cell>
        </row>
        <row r="485">
          <cell r="A485">
            <v>151004</v>
          </cell>
          <cell r="B485" t="str">
            <v>ASSY,HAT&amp;FLAT STD 46-3/4"</v>
          </cell>
          <cell r="C485" t="str">
            <v>EA</v>
          </cell>
          <cell r="D485" t="str">
            <v>MA100</v>
          </cell>
          <cell r="E485">
            <v>12.27</v>
          </cell>
          <cell r="G485">
            <v>151004</v>
          </cell>
        </row>
        <row r="486">
          <cell r="A486">
            <v>151005</v>
          </cell>
          <cell r="B486" t="str">
            <v>ASSY,HAT&amp;FLAT STD 94-3/4"</v>
          </cell>
          <cell r="C486" t="str">
            <v>EA</v>
          </cell>
          <cell r="D486" t="str">
            <v>MA100</v>
          </cell>
          <cell r="E486">
            <v>21.02</v>
          </cell>
          <cell r="G486">
            <v>151005</v>
          </cell>
        </row>
        <row r="487">
          <cell r="A487">
            <v>151006</v>
          </cell>
          <cell r="B487" t="str">
            <v>ASSY,HAT&amp;FLAT STD 118-3/4"</v>
          </cell>
          <cell r="C487" t="str">
            <v>EA</v>
          </cell>
          <cell r="D487" t="str">
            <v>MA100</v>
          </cell>
          <cell r="E487">
            <v>25.56</v>
          </cell>
          <cell r="G487">
            <v>151006</v>
          </cell>
        </row>
        <row r="488">
          <cell r="A488">
            <v>151008</v>
          </cell>
          <cell r="B488" t="str">
            <v>ASSY,MEDGAS WVGD FDTHRU W/(3)1/2"&amp; (1)*</v>
          </cell>
          <cell r="C488" t="str">
            <v>EA</v>
          </cell>
          <cell r="D488" t="str">
            <v>MA100</v>
          </cell>
          <cell r="E488">
            <v>123.15111</v>
          </cell>
          <cell r="G488">
            <v>151008</v>
          </cell>
        </row>
        <row r="489">
          <cell r="A489">
            <v>151015</v>
          </cell>
          <cell r="B489" t="str">
            <v>ASSY,HAT&amp;FLAT CSK 94-3/4</v>
          </cell>
          <cell r="C489" t="str">
            <v>EA</v>
          </cell>
          <cell r="D489" t="str">
            <v>MA100</v>
          </cell>
          <cell r="E489">
            <v>22.69</v>
          </cell>
          <cell r="G489">
            <v>151015</v>
          </cell>
        </row>
        <row r="490">
          <cell r="A490">
            <v>151016</v>
          </cell>
          <cell r="B490" t="str">
            <v>ASSY,HAT&amp;FLAT CSK 118-3/4"</v>
          </cell>
          <cell r="C490" t="str">
            <v>EA</v>
          </cell>
          <cell r="D490" t="str">
            <v>MA100</v>
          </cell>
          <cell r="E490">
            <v>27.65</v>
          </cell>
          <cell r="G490">
            <v>151016</v>
          </cell>
        </row>
        <row r="491">
          <cell r="A491">
            <v>151018</v>
          </cell>
          <cell r="B491" t="str">
            <v>DUCT,PLEN ALUM W/2-8" ROUNDS 14x26*</v>
          </cell>
          <cell r="C491" t="str">
            <v>EA</v>
          </cell>
          <cell r="D491" t="str">
            <v>RM100</v>
          </cell>
          <cell r="E491">
            <v>21.9</v>
          </cell>
          <cell r="G491">
            <v>151018</v>
          </cell>
        </row>
        <row r="492">
          <cell r="A492">
            <v>151026</v>
          </cell>
          <cell r="B492" t="str">
            <v>ASSY,U&amp;W 118-3/4"</v>
          </cell>
          <cell r="C492" t="str">
            <v>EA</v>
          </cell>
          <cell r="D492" t="str">
            <v>MA100</v>
          </cell>
          <cell r="E492">
            <v>26.47</v>
          </cell>
          <cell r="G492">
            <v>151026</v>
          </cell>
        </row>
        <row r="493">
          <cell r="A493">
            <v>151035</v>
          </cell>
          <cell r="B493" t="str">
            <v>KIT,ALUM CNR CAP,CELL TYPE</v>
          </cell>
          <cell r="C493" t="str">
            <v>EA</v>
          </cell>
          <cell r="D493" t="str">
            <v>MA100</v>
          </cell>
          <cell r="E493">
            <v>2.6129629599999999</v>
          </cell>
          <cell r="G493">
            <v>151035</v>
          </cell>
        </row>
        <row r="494">
          <cell r="A494">
            <v>151068</v>
          </cell>
          <cell r="B494" t="str">
            <v>ASSY,HAT&amp;FLAT CSK 94-3/4" W/ ARC SPRAY</v>
          </cell>
          <cell r="C494" t="str">
            <v>EA</v>
          </cell>
          <cell r="D494" t="str">
            <v>MA100</v>
          </cell>
          <cell r="E494">
            <v>10.90826</v>
          </cell>
          <cell r="G494">
            <v>151068</v>
          </cell>
        </row>
        <row r="495">
          <cell r="A495">
            <v>151069</v>
          </cell>
          <cell r="B495" t="str">
            <v>ASSY,HAT&amp;FLAT CSK 46-3/4" W/ ARC SPRAY</v>
          </cell>
          <cell r="C495" t="str">
            <v>EA</v>
          </cell>
          <cell r="D495" t="str">
            <v>MA100</v>
          </cell>
          <cell r="E495">
            <v>0</v>
          </cell>
          <cell r="G495">
            <v>151069</v>
          </cell>
        </row>
        <row r="496">
          <cell r="A496">
            <v>151070</v>
          </cell>
          <cell r="B496" t="str">
            <v>ASSY,CONN,18X18OD,11X11 ID,W/BLNK,BOLTED</v>
          </cell>
          <cell r="C496" t="str">
            <v>EA</v>
          </cell>
          <cell r="D496" t="str">
            <v>MA100</v>
          </cell>
          <cell r="E496">
            <v>111.53934</v>
          </cell>
          <cell r="G496">
            <v>151070</v>
          </cell>
        </row>
        <row r="497">
          <cell r="A497">
            <v>151071</v>
          </cell>
          <cell r="B497" t="str">
            <v>PLT,CONN,MNTG 18X18 OD,11X11 ID</v>
          </cell>
          <cell r="C497" t="str">
            <v>EA</v>
          </cell>
          <cell r="D497" t="str">
            <v>MA100</v>
          </cell>
          <cell r="E497">
            <v>38.421169999999996</v>
          </cell>
          <cell r="G497">
            <v>151071</v>
          </cell>
        </row>
        <row r="498">
          <cell r="A498">
            <v>151072</v>
          </cell>
          <cell r="B498" t="str">
            <v>PLT, CONN, BLNK,14X14</v>
          </cell>
          <cell r="C498" t="str">
            <v>EA</v>
          </cell>
          <cell r="D498" t="str">
            <v>MA100</v>
          </cell>
          <cell r="E498">
            <v>38.421169999999996</v>
          </cell>
          <cell r="G498">
            <v>151072</v>
          </cell>
        </row>
        <row r="499">
          <cell r="A499">
            <v>151081</v>
          </cell>
          <cell r="B499" t="str">
            <v>PLT,CONN,BRS,FRM RECVR PLT,14.5X14.5</v>
          </cell>
          <cell r="C499" t="str">
            <v>EA</v>
          </cell>
          <cell r="D499" t="str">
            <v>RM100</v>
          </cell>
          <cell r="E499">
            <v>119.81723</v>
          </cell>
          <cell r="G499">
            <v>151081</v>
          </cell>
        </row>
        <row r="500">
          <cell r="A500">
            <v>151082</v>
          </cell>
          <cell r="B500" t="str">
            <v>PLT,CONN,BRS,COVER,13X13</v>
          </cell>
          <cell r="C500" t="str">
            <v>EA</v>
          </cell>
          <cell r="D500" t="str">
            <v>RM100</v>
          </cell>
          <cell r="E500">
            <v>73.336500000000001</v>
          </cell>
          <cell r="G500">
            <v>151082</v>
          </cell>
        </row>
        <row r="501">
          <cell r="A501">
            <v>151083</v>
          </cell>
          <cell r="B501" t="str">
            <v>PLT, CONN, BRS, BLNK,16X16</v>
          </cell>
          <cell r="C501" t="str">
            <v>EA</v>
          </cell>
          <cell r="D501" t="str">
            <v>MA100</v>
          </cell>
          <cell r="E501">
            <v>117.75539999999999</v>
          </cell>
          <cell r="G501">
            <v>151083</v>
          </cell>
        </row>
        <row r="502">
          <cell r="A502">
            <v>151084</v>
          </cell>
          <cell r="B502" t="str">
            <v>PLT, CONN, BRS, BLNK,12X12</v>
          </cell>
          <cell r="C502" t="str">
            <v>EA</v>
          </cell>
          <cell r="D502" t="str">
            <v>MA100</v>
          </cell>
          <cell r="E502">
            <v>162.74751000000001</v>
          </cell>
          <cell r="G502">
            <v>151084</v>
          </cell>
        </row>
        <row r="503">
          <cell r="A503">
            <v>151085</v>
          </cell>
          <cell r="B503" t="str">
            <v>PLT, BRASS, 24" X 18" X 3/16" W/ HOLES</v>
          </cell>
          <cell r="C503" t="str">
            <v>EA</v>
          </cell>
          <cell r="D503" t="str">
            <v>RM100</v>
          </cell>
          <cell r="E503">
            <v>168.81299999999999</v>
          </cell>
          <cell r="G503">
            <v>151085</v>
          </cell>
        </row>
        <row r="504">
          <cell r="A504">
            <v>151090</v>
          </cell>
          <cell r="B504" t="str">
            <v>PLT,CONN,BRS,ASSM,14.5X14.5</v>
          </cell>
          <cell r="C504" t="str">
            <v>EA</v>
          </cell>
          <cell r="D504" t="str">
            <v>MA100</v>
          </cell>
          <cell r="E504">
            <v>690.82556999999997</v>
          </cell>
          <cell r="G504">
            <v>151090</v>
          </cell>
        </row>
        <row r="505">
          <cell r="A505">
            <v>151099</v>
          </cell>
          <cell r="B505" t="str">
            <v>VENT,WG,W/FLG (BRS) 7.0X7.0</v>
          </cell>
          <cell r="C505" t="str">
            <v>EA</v>
          </cell>
          <cell r="D505" t="str">
            <v>MA100</v>
          </cell>
          <cell r="E505">
            <v>156.77188000000001</v>
          </cell>
          <cell r="G505">
            <v>151099</v>
          </cell>
        </row>
        <row r="506">
          <cell r="A506">
            <v>151100</v>
          </cell>
          <cell r="B506" t="str">
            <v>VENT,WG,W/FLG (BRS) 12.0X12.0</v>
          </cell>
          <cell r="C506" t="str">
            <v>EA</v>
          </cell>
          <cell r="D506" t="str">
            <v>MA100</v>
          </cell>
          <cell r="E506">
            <v>235</v>
          </cell>
          <cell r="G506">
            <v>151100</v>
          </cell>
        </row>
        <row r="507">
          <cell r="A507">
            <v>151101</v>
          </cell>
          <cell r="B507" t="str">
            <v>VENT,WG,W/FLG (BRS) 10.0X10.0</v>
          </cell>
          <cell r="C507" t="str">
            <v>EA</v>
          </cell>
          <cell r="D507" t="str">
            <v>MA100</v>
          </cell>
          <cell r="E507">
            <v>173.77188000000001</v>
          </cell>
          <cell r="G507">
            <v>151101</v>
          </cell>
        </row>
        <row r="508">
          <cell r="A508">
            <v>151102</v>
          </cell>
          <cell r="B508" t="str">
            <v>VENT,WG,W/FLG (BRS) 24.0X24.0</v>
          </cell>
          <cell r="C508" t="str">
            <v>EA</v>
          </cell>
          <cell r="D508" t="str">
            <v>MA100</v>
          </cell>
          <cell r="E508">
            <v>466.71375999999998</v>
          </cell>
          <cell r="G508">
            <v>151102</v>
          </cell>
        </row>
        <row r="509">
          <cell r="A509">
            <v>151156</v>
          </cell>
          <cell r="B509" t="str">
            <v>ASSY,HAT&amp;FLAT PICT FRM 19.75 x 67.75*</v>
          </cell>
          <cell r="C509" t="str">
            <v>EA</v>
          </cell>
          <cell r="D509" t="str">
            <v>MA100</v>
          </cell>
          <cell r="E509">
            <v>178.875</v>
          </cell>
          <cell r="G509">
            <v>151156</v>
          </cell>
        </row>
        <row r="510">
          <cell r="A510">
            <v>151157</v>
          </cell>
          <cell r="B510" t="str">
            <v>ASSY,HAT&amp;FLAT PICT FRM 26.25 x 66.75*</v>
          </cell>
          <cell r="C510" t="str">
            <v>EA</v>
          </cell>
          <cell r="D510" t="str">
            <v>MA100</v>
          </cell>
          <cell r="E510">
            <v>87.84</v>
          </cell>
          <cell r="G510">
            <v>151157</v>
          </cell>
        </row>
        <row r="511">
          <cell r="A511">
            <v>151170</v>
          </cell>
          <cell r="B511" t="str">
            <v>VENT,WG,W/FLG (BRS) 12.0X24.0</v>
          </cell>
          <cell r="C511" t="str">
            <v>EA</v>
          </cell>
          <cell r="D511" t="str">
            <v>MA100</v>
          </cell>
          <cell r="E511">
            <v>284.96656999999999</v>
          </cell>
          <cell r="G511">
            <v>151170</v>
          </cell>
        </row>
        <row r="512">
          <cell r="A512">
            <v>151171</v>
          </cell>
          <cell r="B512" t="str">
            <v>VENT,WG,W/FLG (BRS) 8.0X8.0</v>
          </cell>
          <cell r="C512" t="str">
            <v>EA</v>
          </cell>
          <cell r="D512" t="str">
            <v>MA100</v>
          </cell>
          <cell r="E512">
            <v>156.77188000000001</v>
          </cell>
          <cell r="G512">
            <v>151171</v>
          </cell>
        </row>
        <row r="513">
          <cell r="A513">
            <v>151175</v>
          </cell>
          <cell r="B513" t="str">
            <v>VENT,WG,W/FLG (BRS) 18.0X18.0</v>
          </cell>
          <cell r="C513" t="str">
            <v>EA</v>
          </cell>
          <cell r="D513" t="str">
            <v>MA100</v>
          </cell>
          <cell r="E513">
            <v>316.33625999999998</v>
          </cell>
          <cell r="G513">
            <v>151175</v>
          </cell>
        </row>
        <row r="514">
          <cell r="A514">
            <v>151195</v>
          </cell>
          <cell r="B514" t="str">
            <v>ASSY,HAT&amp;FLAT FRAME 21.375x98.75 Philips</v>
          </cell>
          <cell r="C514" t="str">
            <v>EA</v>
          </cell>
          <cell r="D514" t="str">
            <v>MA100</v>
          </cell>
          <cell r="E514">
            <v>167.6</v>
          </cell>
          <cell r="G514">
            <v>151195</v>
          </cell>
        </row>
        <row r="515">
          <cell r="A515">
            <v>151197</v>
          </cell>
          <cell r="B515" t="str">
            <v>ASSY,HAT&amp;FLAT PICT FRM 27.750 SQ.</v>
          </cell>
          <cell r="C515" t="str">
            <v>EA</v>
          </cell>
          <cell r="D515" t="str">
            <v>MA100</v>
          </cell>
          <cell r="E515">
            <v>121.3882</v>
          </cell>
          <cell r="G515">
            <v>151197</v>
          </cell>
        </row>
        <row r="516">
          <cell r="A516">
            <v>151218</v>
          </cell>
          <cell r="B516" t="str">
            <v>VENT,WG,W/FLG (BRS) 14.0X14.0</v>
          </cell>
          <cell r="C516" t="str">
            <v>EA</v>
          </cell>
          <cell r="D516" t="str">
            <v>MA100</v>
          </cell>
          <cell r="E516">
            <v>244.47110000000001</v>
          </cell>
          <cell r="G516">
            <v>151218</v>
          </cell>
        </row>
        <row r="517">
          <cell r="A517">
            <v>151220</v>
          </cell>
          <cell r="B517" t="str">
            <v>VENT,WG,W/FLG (BRS) 16.0X16.0</v>
          </cell>
          <cell r="C517" t="str">
            <v>EA</v>
          </cell>
          <cell r="D517" t="str">
            <v>MA100</v>
          </cell>
          <cell r="E517">
            <v>262.05407000000002</v>
          </cell>
          <cell r="G517">
            <v>151220</v>
          </cell>
        </row>
        <row r="518">
          <cell r="A518">
            <v>151316</v>
          </cell>
          <cell r="B518" t="str">
            <v>ALUM,1/4"X3.5"X3.5" WITH .81 DIA HOLE</v>
          </cell>
          <cell r="C518" t="str">
            <v>EA</v>
          </cell>
          <cell r="D518" t="str">
            <v>RM100</v>
          </cell>
          <cell r="E518">
            <v>6.8724800000000004</v>
          </cell>
          <cell r="G518">
            <v>151316</v>
          </cell>
        </row>
        <row r="519">
          <cell r="A519">
            <v>151317</v>
          </cell>
          <cell r="B519" t="str">
            <v>ALUM,1/4"X4"X96" WITH .15 DIA HOLES</v>
          </cell>
          <cell r="C519" t="str">
            <v>EA</v>
          </cell>
          <cell r="D519" t="str">
            <v>MA100</v>
          </cell>
          <cell r="E519">
            <v>69.851200000000006</v>
          </cell>
          <cell r="G519">
            <v>151317</v>
          </cell>
        </row>
        <row r="520">
          <cell r="A520">
            <v>151325</v>
          </cell>
          <cell r="B520" t="str">
            <v>ALUM,1/8x3x3 W.75 DIA HOLE (TOSHIBA)</v>
          </cell>
          <cell r="C520" t="str">
            <v>EA</v>
          </cell>
          <cell r="D520" t="str">
            <v>MA100</v>
          </cell>
          <cell r="E520">
            <v>0.84192</v>
          </cell>
          <cell r="G520">
            <v>151325</v>
          </cell>
        </row>
        <row r="521">
          <cell r="A521">
            <v>151341</v>
          </cell>
          <cell r="B521" t="str">
            <v>ALUM,1/8"X10"X11" WITH 1" DIA. HOLE</v>
          </cell>
          <cell r="C521" t="str">
            <v>EA</v>
          </cell>
          <cell r="D521" t="str">
            <v>MA100</v>
          </cell>
          <cell r="E521">
            <v>33.46904</v>
          </cell>
          <cell r="G521">
            <v>151341</v>
          </cell>
        </row>
        <row r="522">
          <cell r="A522">
            <v>151456</v>
          </cell>
          <cell r="B522" t="str">
            <v>ASSY,HAT&amp;FLAT CSK 118-3/4"ALUM,FLAT ARC*</v>
          </cell>
          <cell r="C522" t="str">
            <v>EA</v>
          </cell>
          <cell r="D522" t="str">
            <v>RM100</v>
          </cell>
          <cell r="E522">
            <v>43.92</v>
          </cell>
          <cell r="G522">
            <v>151456</v>
          </cell>
        </row>
        <row r="523">
          <cell r="A523">
            <v>151457</v>
          </cell>
          <cell r="B523" t="str">
            <v>ASSY,HAT&amp;FLAT CSK 46-3/4"ALUM,FLAT ARC*</v>
          </cell>
          <cell r="C523" t="str">
            <v>EA</v>
          </cell>
          <cell r="D523" t="str">
            <v>RM100</v>
          </cell>
          <cell r="E523">
            <v>22.11</v>
          </cell>
          <cell r="G523">
            <v>151457</v>
          </cell>
        </row>
        <row r="524">
          <cell r="A524">
            <v>151458</v>
          </cell>
          <cell r="B524" t="str">
            <v>ASSY,HAT&amp;FLAT CSK 94-3/4"ALUM,FLAT ARC*</v>
          </cell>
          <cell r="C524" t="str">
            <v>EA</v>
          </cell>
          <cell r="D524" t="str">
            <v>RM100</v>
          </cell>
          <cell r="E524">
            <v>36.96</v>
          </cell>
          <cell r="G524">
            <v>151458</v>
          </cell>
        </row>
        <row r="525">
          <cell r="A525">
            <v>151463</v>
          </cell>
          <cell r="B525" t="str">
            <v>CORE,WGAV,BRS,3/16"CELL X3/4",W/O FLG</v>
          </cell>
          <cell r="C525" t="str">
            <v>SF</v>
          </cell>
          <cell r="D525" t="str">
            <v>MA100</v>
          </cell>
          <cell r="E525">
            <v>85</v>
          </cell>
          <cell r="G525">
            <v>151463</v>
          </cell>
        </row>
        <row r="526">
          <cell r="A526">
            <v>151464</v>
          </cell>
          <cell r="B526" t="str">
            <v>CORE,WGAV,STL,3/16"CELL X1",W/O FLG</v>
          </cell>
          <cell r="C526" t="str">
            <v>SF</v>
          </cell>
          <cell r="D526" t="str">
            <v>MA100</v>
          </cell>
          <cell r="E526">
            <v>72</v>
          </cell>
          <cell r="G526">
            <v>151464</v>
          </cell>
        </row>
        <row r="527">
          <cell r="A527">
            <v>151465</v>
          </cell>
          <cell r="B527" t="str">
            <v>CORE,WGAV,BRS,3/16X25X25 NO/FLNG</v>
          </cell>
          <cell r="C527" t="str">
            <v>EA</v>
          </cell>
          <cell r="D527" t="str">
            <v>MA100</v>
          </cell>
          <cell r="E527">
            <v>468.875</v>
          </cell>
          <cell r="G527">
            <v>151465</v>
          </cell>
        </row>
        <row r="528">
          <cell r="A528">
            <v>151493</v>
          </cell>
          <cell r="B528" t="str">
            <v>ASSY,MEDGAS WVGD FDTHRU W/(3)3/4&amp;(1) 1"*</v>
          </cell>
          <cell r="C528" t="str">
            <v>EA</v>
          </cell>
          <cell r="D528" t="str">
            <v>MA100</v>
          </cell>
          <cell r="E528">
            <v>136.18411</v>
          </cell>
          <cell r="G528">
            <v>151493</v>
          </cell>
        </row>
        <row r="529">
          <cell r="A529">
            <v>151511</v>
          </cell>
          <cell r="B529" t="str">
            <v>ASSY,SEISMIC ANCH 5"x3"x3/8"x10" w/ 5/8*</v>
          </cell>
          <cell r="C529" t="str">
            <v>EA</v>
          </cell>
          <cell r="D529" t="str">
            <v>MA100</v>
          </cell>
          <cell r="E529">
            <v>40</v>
          </cell>
          <cell r="G529">
            <v>151511</v>
          </cell>
        </row>
        <row r="530">
          <cell r="A530">
            <v>151530</v>
          </cell>
          <cell r="B530" t="str">
            <v>ASSY,SEISMIC ANCH 5"x3"x3/8"x10" w/ 3/8*</v>
          </cell>
          <cell r="C530" t="str">
            <v>EA</v>
          </cell>
          <cell r="D530" t="str">
            <v>MA100</v>
          </cell>
          <cell r="E530">
            <v>39.136249999999997</v>
          </cell>
          <cell r="G530">
            <v>151530</v>
          </cell>
        </row>
        <row r="531">
          <cell r="A531">
            <v>151539</v>
          </cell>
          <cell r="B531" t="str">
            <v>ASSY,SEISMIC ANCH 3"x2"x3/8"x15" w/ 3/8*</v>
          </cell>
          <cell r="C531" t="str">
            <v>EA</v>
          </cell>
          <cell r="D531" t="str">
            <v>MA100</v>
          </cell>
          <cell r="E531">
            <v>65.331000000000003</v>
          </cell>
          <cell r="G531">
            <v>151539</v>
          </cell>
        </row>
        <row r="532">
          <cell r="A532">
            <v>151549</v>
          </cell>
          <cell r="B532" t="str">
            <v>PNL,MASONITE,12"x12"x1/4" PMS floor</v>
          </cell>
          <cell r="C532" t="str">
            <v>EA</v>
          </cell>
          <cell r="D532" t="str">
            <v>MA100</v>
          </cell>
          <cell r="E532">
            <v>0.32700000000000001</v>
          </cell>
          <cell r="G532">
            <v>151549</v>
          </cell>
        </row>
        <row r="533">
          <cell r="A533">
            <v>151550</v>
          </cell>
          <cell r="B533" t="str">
            <v>ALUM,1/2"x12"x12" (ANY GRADE)</v>
          </cell>
          <cell r="C533" t="str">
            <v>EA</v>
          </cell>
          <cell r="D533" t="str">
            <v>RM100</v>
          </cell>
          <cell r="E533">
            <v>24.43</v>
          </cell>
          <cell r="G533">
            <v>151550</v>
          </cell>
        </row>
        <row r="534">
          <cell r="A534">
            <v>151551</v>
          </cell>
          <cell r="B534" t="str">
            <v>ASSY,H&amp;F WELDED INSIDE CO 10x10 PHILIPS</v>
          </cell>
          <cell r="C534" t="str">
            <v>EA</v>
          </cell>
          <cell r="D534" t="str">
            <v>MA100</v>
          </cell>
          <cell r="E534">
            <v>33.747599999999998</v>
          </cell>
          <cell r="G534">
            <v>151551</v>
          </cell>
        </row>
        <row r="535">
          <cell r="A535">
            <v>151557</v>
          </cell>
          <cell r="B535" t="str">
            <v>ALUM,1/8"X10"X28" PHIL CABLE COVER*</v>
          </cell>
          <cell r="C535" t="str">
            <v>EA</v>
          </cell>
          <cell r="D535" t="str">
            <v>MA100</v>
          </cell>
          <cell r="E535">
            <v>35.460380000000001</v>
          </cell>
          <cell r="G535">
            <v>151557</v>
          </cell>
        </row>
        <row r="536">
          <cell r="A536">
            <v>151558</v>
          </cell>
          <cell r="B536" t="str">
            <v>PNL,BD,PART 5/8x18.625x96  PHILIPS PRE-F</v>
          </cell>
          <cell r="C536" t="str">
            <v>EA</v>
          </cell>
          <cell r="D536" t="str">
            <v>MA100</v>
          </cell>
          <cell r="E536">
            <v>174.33628999999999</v>
          </cell>
          <cell r="G536">
            <v>151558</v>
          </cell>
        </row>
        <row r="537">
          <cell r="A537">
            <v>151559</v>
          </cell>
          <cell r="B537" t="str">
            <v>ASSY, 1/8" ALUM PLT, 3/4" ALUM PLT</v>
          </cell>
          <cell r="C537" t="str">
            <v>EA</v>
          </cell>
          <cell r="D537" t="str">
            <v>RM100</v>
          </cell>
          <cell r="E537">
            <v>272.55246</v>
          </cell>
          <cell r="G537">
            <v>151559</v>
          </cell>
        </row>
        <row r="538">
          <cell r="A538">
            <v>151560</v>
          </cell>
          <cell r="B538" t="str">
            <v>ASSY, PNL, PHILIPS CELL FLOOR</v>
          </cell>
          <cell r="C538" t="str">
            <v>EA</v>
          </cell>
          <cell r="D538" t="str">
            <v>MA100</v>
          </cell>
          <cell r="E538">
            <v>658.03512999999998</v>
          </cell>
          <cell r="G538">
            <v>151560</v>
          </cell>
        </row>
        <row r="539">
          <cell r="A539">
            <v>151570</v>
          </cell>
          <cell r="B539" t="str">
            <v>CU,10"X16"X2 3/4"PAN TOSHIBA TRENCH DUCT</v>
          </cell>
          <cell r="C539" t="str">
            <v>EA</v>
          </cell>
          <cell r="D539" t="str">
            <v>MA100</v>
          </cell>
          <cell r="E539">
            <v>85.068910000000002</v>
          </cell>
          <cell r="G539">
            <v>151570</v>
          </cell>
        </row>
        <row r="540">
          <cell r="A540">
            <v>151571</v>
          </cell>
          <cell r="B540" t="str">
            <v>ALUM, 11"x17"CO, HF, FRAME, TOSHIBA</v>
          </cell>
          <cell r="C540" t="str">
            <v>EA</v>
          </cell>
          <cell r="D540" t="str">
            <v>MA100</v>
          </cell>
          <cell r="E540">
            <v>79.760000000000005</v>
          </cell>
          <cell r="G540">
            <v>151571</v>
          </cell>
        </row>
        <row r="541">
          <cell r="A541">
            <v>151638</v>
          </cell>
          <cell r="B541" t="str">
            <v>ASSY,HAT&amp;FLAT CSK 118-3/4"ALUM, HAT ARC*</v>
          </cell>
          <cell r="C541" t="str">
            <v>EA</v>
          </cell>
          <cell r="D541" t="str">
            <v>MA100</v>
          </cell>
          <cell r="E541">
            <v>41.99</v>
          </cell>
          <cell r="G541">
            <v>151638</v>
          </cell>
        </row>
        <row r="542">
          <cell r="A542">
            <v>152003</v>
          </cell>
          <cell r="B542" t="str">
            <v>CAP,PEN. 3"X7/8"X3"X96", 28ga.]</v>
          </cell>
          <cell r="C542" t="str">
            <v>EA</v>
          </cell>
          <cell r="D542" t="str">
            <v>MA100</v>
          </cell>
          <cell r="E542">
            <v>6.8424899999999997</v>
          </cell>
          <cell r="G542">
            <v>152003</v>
          </cell>
        </row>
        <row r="543">
          <cell r="A543">
            <v>152004</v>
          </cell>
          <cell r="B543" t="str">
            <v>CAP,GE PEN. 3"X1-3/4"X 3"X10'12 OZ CPR.</v>
          </cell>
          <cell r="C543" t="str">
            <v>EA</v>
          </cell>
          <cell r="D543" t="str">
            <v>MA100</v>
          </cell>
          <cell r="E543">
            <v>63.945650000000001</v>
          </cell>
          <cell r="G543">
            <v>152004</v>
          </cell>
        </row>
        <row r="544">
          <cell r="A544">
            <v>152005</v>
          </cell>
          <cell r="B544" t="str">
            <v>CAP,HIT/PHIL. PEN. 1-3/4X3-7/8X1-3/4X120</v>
          </cell>
          <cell r="C544" t="str">
            <v>EA</v>
          </cell>
          <cell r="D544" t="str">
            <v>MA100</v>
          </cell>
          <cell r="E544">
            <v>22.425730000000001</v>
          </cell>
          <cell r="G544">
            <v>152005</v>
          </cell>
        </row>
        <row r="545">
          <cell r="A545">
            <v>152006</v>
          </cell>
          <cell r="B545" t="str">
            <v>CAP,BSE 12OZ CU 1X1-3/4X3/4X5/8X120</v>
          </cell>
          <cell r="C545" t="str">
            <v>EA</v>
          </cell>
          <cell r="D545" t="str">
            <v>MA100</v>
          </cell>
          <cell r="E545">
            <v>52.334960000000002</v>
          </cell>
          <cell r="G545">
            <v>152006</v>
          </cell>
        </row>
        <row r="546">
          <cell r="A546">
            <v>152011</v>
          </cell>
          <cell r="B546" t="str">
            <v>GSKT,EPDM, D SHAPE CLEAN SEAL#135P</v>
          </cell>
          <cell r="C546" t="str">
            <v>FT</v>
          </cell>
          <cell r="D546" t="str">
            <v>RM100</v>
          </cell>
          <cell r="E546">
            <v>0.26700000000000002</v>
          </cell>
          <cell r="G546">
            <v>152011</v>
          </cell>
        </row>
        <row r="547">
          <cell r="A547">
            <v>152100</v>
          </cell>
          <cell r="B547" t="str">
            <v>PLATE,CONN BR 15-1/2x15-1/2 BLANK</v>
          </cell>
          <cell r="C547" t="str">
            <v>EA</v>
          </cell>
          <cell r="D547" t="str">
            <v>MA100</v>
          </cell>
          <cell r="E547">
            <v>100.54582000000001</v>
          </cell>
          <cell r="G547">
            <v>152100</v>
          </cell>
        </row>
        <row r="548">
          <cell r="A548">
            <v>152175</v>
          </cell>
          <cell r="B548" t="str">
            <v>BASE,INCADSNT FXTR GALV STL,22GA</v>
          </cell>
          <cell r="C548" t="str">
            <v>EA</v>
          </cell>
          <cell r="D548" t="str">
            <v>RM100</v>
          </cell>
          <cell r="E548">
            <v>39.54</v>
          </cell>
          <cell r="G548">
            <v>152175</v>
          </cell>
        </row>
        <row r="549">
          <cell r="A549">
            <v>152402</v>
          </cell>
          <cell r="B549" t="str">
            <v>PLT,MAGNT BASE 1/8"X8"SQ. MRI PHILPS</v>
          </cell>
          <cell r="C549" t="str">
            <v>EA</v>
          </cell>
          <cell r="D549" t="str">
            <v>MA100</v>
          </cell>
          <cell r="E549">
            <v>60.784579999999998</v>
          </cell>
          <cell r="G549">
            <v>152402</v>
          </cell>
        </row>
        <row r="550">
          <cell r="A550">
            <v>152406</v>
          </cell>
          <cell r="B550" t="str">
            <v>PLT,PHILIPS PAT.TAB.ALUM 36"X30-13/16"</v>
          </cell>
          <cell r="C550" t="str">
            <v>EA</v>
          </cell>
          <cell r="D550" t="str">
            <v>RM100</v>
          </cell>
          <cell r="E550">
            <v>184.25</v>
          </cell>
          <cell r="G550">
            <v>152406</v>
          </cell>
        </row>
        <row r="551">
          <cell r="A551">
            <v>152411</v>
          </cell>
          <cell r="B551" t="str">
            <v>PAN,ALUM,87x98x1.5 DEEP,1/8"</v>
          </cell>
          <cell r="C551" t="str">
            <v>EA</v>
          </cell>
          <cell r="D551" t="str">
            <v>MA100</v>
          </cell>
          <cell r="E551">
            <v>352.1909</v>
          </cell>
          <cell r="G551">
            <v>152411</v>
          </cell>
        </row>
        <row r="552">
          <cell r="A552">
            <v>152412</v>
          </cell>
          <cell r="B552" t="str">
            <v>PAN,ALUM,14x62x1.125 DEEP,1/8"</v>
          </cell>
          <cell r="C552" t="str">
            <v>EA</v>
          </cell>
          <cell r="D552" t="str">
            <v>MA100</v>
          </cell>
          <cell r="E552">
            <v>66.353750000000005</v>
          </cell>
          <cell r="G552">
            <v>152412</v>
          </cell>
        </row>
        <row r="553">
          <cell r="A553">
            <v>152413</v>
          </cell>
          <cell r="B553" t="str">
            <v>PLT,MAGNT BASE 1/8"X6"SQ. MRI PHILPS</v>
          </cell>
          <cell r="C553" t="str">
            <v>EA</v>
          </cell>
          <cell r="D553" t="str">
            <v>MA100</v>
          </cell>
          <cell r="E553">
            <v>7.1632100000000003</v>
          </cell>
          <cell r="G553">
            <v>152413</v>
          </cell>
        </row>
        <row r="554">
          <cell r="A554">
            <v>154526</v>
          </cell>
          <cell r="B554" t="str">
            <v>STRUT,FGLS,1-5/8x1-5/8x10',NO SLOTS</v>
          </cell>
          <cell r="C554" t="str">
            <v>FT</v>
          </cell>
          <cell r="D554" t="str">
            <v>RM100</v>
          </cell>
          <cell r="E554">
            <v>9.8539999999999992</v>
          </cell>
          <cell r="G554">
            <v>154526</v>
          </cell>
        </row>
        <row r="555">
          <cell r="A555">
            <v>154658</v>
          </cell>
          <cell r="B555" t="str">
            <v>SPCR,RAMP CRS 1-1/2"DIA X1-7/32"H W/ 3/8</v>
          </cell>
          <cell r="C555" t="str">
            <v>EA</v>
          </cell>
          <cell r="D555" t="str">
            <v>RM100</v>
          </cell>
          <cell r="E555">
            <v>15.18</v>
          </cell>
          <cell r="G555">
            <v>154658</v>
          </cell>
        </row>
        <row r="556">
          <cell r="A556">
            <v>155100</v>
          </cell>
          <cell r="B556" t="str">
            <v>VENT,CRYO ALUM 10"X40"X20"ENDLG W/16"X1</v>
          </cell>
          <cell r="C556" t="str">
            <v>EA</v>
          </cell>
          <cell r="D556" t="str">
            <v>RM100</v>
          </cell>
          <cell r="E556">
            <v>496</v>
          </cell>
          <cell r="G556">
            <v>155100</v>
          </cell>
        </row>
        <row r="557">
          <cell r="A557">
            <v>155132</v>
          </cell>
          <cell r="B557" t="str">
            <v>PLT,BR FLTR 3/16X10X28 1/8 TAP M5 X.08+</v>
          </cell>
          <cell r="C557" t="str">
            <v>EA</v>
          </cell>
          <cell r="D557" t="str">
            <v>RM100</v>
          </cell>
          <cell r="E557">
            <v>192.25</v>
          </cell>
          <cell r="G557">
            <v>155132</v>
          </cell>
        </row>
        <row r="558">
          <cell r="A558">
            <v>155134</v>
          </cell>
          <cell r="B558" t="str">
            <v>PLT,BR FLTR 3/16X29x29 PHILIPS</v>
          </cell>
          <cell r="C558" t="str">
            <v>EA</v>
          </cell>
          <cell r="D558" t="str">
            <v>RM100</v>
          </cell>
          <cell r="E558">
            <v>631.1</v>
          </cell>
          <cell r="G558">
            <v>155134</v>
          </cell>
        </row>
        <row r="559">
          <cell r="A559">
            <v>155282</v>
          </cell>
          <cell r="B559" t="str">
            <v>PLT,CRYO STL 17"X17"X3/8" W/ 9"X9" C.O.</v>
          </cell>
          <cell r="C559" t="str">
            <v>EA</v>
          </cell>
          <cell r="D559" t="str">
            <v>MA100</v>
          </cell>
          <cell r="E559">
            <v>213.273</v>
          </cell>
          <cell r="G559">
            <v>155282</v>
          </cell>
        </row>
        <row r="560">
          <cell r="A560">
            <v>155304</v>
          </cell>
          <cell r="B560" t="str">
            <v>VENT,CRYO ALUM 10"X40" 4"END W/ 16"X16"</v>
          </cell>
          <cell r="C560" t="str">
            <v>EA</v>
          </cell>
          <cell r="D560" t="str">
            <v>RM100</v>
          </cell>
          <cell r="E560">
            <v>496</v>
          </cell>
          <cell r="G560">
            <v>155304</v>
          </cell>
        </row>
        <row r="561">
          <cell r="A561">
            <v>155315</v>
          </cell>
          <cell r="B561" t="str">
            <v>GALV, FLG, 22 GA. 1"X1"XFT (WG)</v>
          </cell>
          <cell r="C561" t="str">
            <v>FT</v>
          </cell>
          <cell r="D561" t="str">
            <v>MA100</v>
          </cell>
          <cell r="E561">
            <v>3.10975</v>
          </cell>
          <cell r="G561">
            <v>155315</v>
          </cell>
        </row>
        <row r="562">
          <cell r="A562">
            <v>155317</v>
          </cell>
          <cell r="B562" t="str">
            <v>CU, FLG, 12 oz, 1 x1-1/8 x FT (WG)</v>
          </cell>
          <cell r="C562" t="str">
            <v>FT</v>
          </cell>
          <cell r="D562" t="str">
            <v>MA100</v>
          </cell>
          <cell r="E562">
            <v>0.68803000000000003</v>
          </cell>
          <cell r="G562">
            <v>155317</v>
          </cell>
        </row>
        <row r="563">
          <cell r="A563">
            <v>155318</v>
          </cell>
          <cell r="B563" t="str">
            <v>CU, FLG, 12 oz, 7/8x7/8xFT (WG)</v>
          </cell>
          <cell r="C563" t="str">
            <v>FT</v>
          </cell>
          <cell r="D563" t="str">
            <v>MA100</v>
          </cell>
          <cell r="E563">
            <v>0.58296999999999999</v>
          </cell>
          <cell r="G563">
            <v>155318</v>
          </cell>
        </row>
        <row r="564">
          <cell r="A564">
            <v>155319</v>
          </cell>
          <cell r="B564" t="str">
            <v>FLNG,W/G AIR VENT BRASS 1"x.75"x FT</v>
          </cell>
          <cell r="C564" t="str">
            <v>FT</v>
          </cell>
          <cell r="D564" t="str">
            <v>MA100</v>
          </cell>
          <cell r="E564">
            <v>7.7701994900000004</v>
          </cell>
          <cell r="G564">
            <v>155319</v>
          </cell>
        </row>
        <row r="565">
          <cell r="A565">
            <v>155320</v>
          </cell>
          <cell r="B565" t="str">
            <v>PLT,MEDRAD INJECT 24oz CU 6x8</v>
          </cell>
          <cell r="C565" t="str">
            <v>EA</v>
          </cell>
          <cell r="D565" t="str">
            <v>MA100</v>
          </cell>
          <cell r="E565">
            <v>19.41554</v>
          </cell>
          <cell r="G565">
            <v>155320</v>
          </cell>
        </row>
        <row r="566">
          <cell r="A566" t="str">
            <v>155320-DB9</v>
          </cell>
          <cell r="B566" t="str">
            <v>PLT,MEDRAD INJECT (DB9) 24oz 6X8</v>
          </cell>
          <cell r="C566" t="str">
            <v>EA</v>
          </cell>
          <cell r="D566" t="str">
            <v>MA100</v>
          </cell>
          <cell r="E566">
            <v>18.839040000000001</v>
          </cell>
          <cell r="G566" t="str">
            <v>155320-DB9</v>
          </cell>
        </row>
        <row r="567">
          <cell r="A567">
            <v>155321</v>
          </cell>
          <cell r="B567" t="str">
            <v>PLT,MEDGAS 24oz 3.5x10 w/4 Holes</v>
          </cell>
          <cell r="C567" t="str">
            <v>EA</v>
          </cell>
          <cell r="D567" t="str">
            <v>MA100</v>
          </cell>
          <cell r="E567">
            <v>60.896129999999999</v>
          </cell>
          <cell r="G567">
            <v>155321</v>
          </cell>
        </row>
        <row r="568">
          <cell r="A568">
            <v>155322</v>
          </cell>
          <cell r="B568" t="str">
            <v>FLNG,W/G AIR VENT BRASS 1"x1"x FT</v>
          </cell>
          <cell r="C568" t="str">
            <v>FT</v>
          </cell>
          <cell r="D568" t="str">
            <v>MA100</v>
          </cell>
          <cell r="E568">
            <v>8.4610599999999998</v>
          </cell>
          <cell r="G568">
            <v>155322</v>
          </cell>
        </row>
        <row r="569">
          <cell r="A569">
            <v>155323</v>
          </cell>
          <cell r="B569" t="str">
            <v>PLT,BRS 6X6X1/8 INVIVO W/BNC</v>
          </cell>
          <cell r="C569" t="str">
            <v>EA</v>
          </cell>
          <cell r="D569" t="str">
            <v>MA100</v>
          </cell>
          <cell r="E569">
            <v>31.427350000000001</v>
          </cell>
          <cell r="G569">
            <v>155323</v>
          </cell>
        </row>
        <row r="570">
          <cell r="A570">
            <v>155324</v>
          </cell>
          <cell r="B570" t="str">
            <v>PLT,MEDGAS 24oz 3.5x10 w/4 holes internl</v>
          </cell>
          <cell r="C570" t="str">
            <v>EA</v>
          </cell>
          <cell r="D570" t="str">
            <v>MA100</v>
          </cell>
          <cell r="E570">
            <v>2.0891500000000001</v>
          </cell>
          <cell r="G570">
            <v>155324</v>
          </cell>
        </row>
        <row r="571">
          <cell r="A571">
            <v>155325</v>
          </cell>
          <cell r="B571" t="str">
            <v>PLT,24oz Double DB9 4x4 w/mounting holes</v>
          </cell>
          <cell r="C571" t="str">
            <v>EA</v>
          </cell>
          <cell r="D571" t="str">
            <v>MA100</v>
          </cell>
          <cell r="E571">
            <v>59.739150000000002</v>
          </cell>
          <cell r="G571">
            <v>155325</v>
          </cell>
        </row>
        <row r="572">
          <cell r="A572">
            <v>155350</v>
          </cell>
          <cell r="B572" t="str">
            <v>PLT,BRS 6X6X3/16 W/DB9</v>
          </cell>
          <cell r="C572" t="str">
            <v>EA</v>
          </cell>
          <cell r="D572" t="str">
            <v>MA100</v>
          </cell>
          <cell r="E572">
            <v>63.241329999999998</v>
          </cell>
          <cell r="G572">
            <v>155350</v>
          </cell>
        </row>
        <row r="573">
          <cell r="A573">
            <v>155351</v>
          </cell>
          <cell r="B573" t="str">
            <v>PLT,BRS 6X6X3/16 W/2- BNC</v>
          </cell>
          <cell r="C573" t="str">
            <v>EA</v>
          </cell>
          <cell r="D573" t="str">
            <v>MA100</v>
          </cell>
          <cell r="E573">
            <v>60.828330000000001</v>
          </cell>
          <cell r="G573">
            <v>155351</v>
          </cell>
        </row>
        <row r="574">
          <cell r="A574">
            <v>155424</v>
          </cell>
          <cell r="B574" t="str">
            <v>VENT,WG,3/16 STL,GALV FLG12.0X12.0</v>
          </cell>
          <cell r="C574" t="str">
            <v>EA</v>
          </cell>
          <cell r="D574" t="str">
            <v>MA100</v>
          </cell>
          <cell r="E574">
            <v>197.86875000000001</v>
          </cell>
          <cell r="G574">
            <v>155424</v>
          </cell>
        </row>
        <row r="575">
          <cell r="A575">
            <v>155436</v>
          </cell>
          <cell r="B575" t="str">
            <v>VENT ASSY,12X12X1,STL 3/16 W/CU FLG</v>
          </cell>
          <cell r="C575" t="str">
            <v>EA</v>
          </cell>
          <cell r="D575" t="str">
            <v>MA100</v>
          </cell>
          <cell r="E575">
            <v>158.0839</v>
          </cell>
          <cell r="G575">
            <v>155436</v>
          </cell>
        </row>
        <row r="576">
          <cell r="A576">
            <v>155438</v>
          </cell>
          <cell r="B576" t="str">
            <v>VENT ASSY,4X4X1,STL 3/16 W/BRS FLG</v>
          </cell>
          <cell r="C576" t="str">
            <v>EA</v>
          </cell>
          <cell r="D576" t="str">
            <v>MA100</v>
          </cell>
          <cell r="E576">
            <v>92.788560000000004</v>
          </cell>
          <cell r="G576">
            <v>155438</v>
          </cell>
        </row>
        <row r="577">
          <cell r="A577">
            <v>155439</v>
          </cell>
          <cell r="B577" t="str">
            <v>VENT ASSY,6X6X1,STL 3/16 W/CU FLG</v>
          </cell>
          <cell r="C577" t="str">
            <v>EA</v>
          </cell>
          <cell r="D577" t="str">
            <v>MA100</v>
          </cell>
          <cell r="E577">
            <v>99.485619999999997</v>
          </cell>
          <cell r="G577">
            <v>155439</v>
          </cell>
        </row>
        <row r="578">
          <cell r="A578">
            <v>155440</v>
          </cell>
          <cell r="B578" t="str">
            <v>OBSOLETE</v>
          </cell>
          <cell r="C578" t="str">
            <v>EA</v>
          </cell>
          <cell r="D578" t="str">
            <v>MA100</v>
          </cell>
          <cell r="E578">
            <v>52.43356</v>
          </cell>
          <cell r="G578">
            <v>155440</v>
          </cell>
        </row>
        <row r="579">
          <cell r="A579">
            <v>155465</v>
          </cell>
          <cell r="B579" t="str">
            <v>VENT,WG,3/16 STL,GALV FLG18.0X18.0</v>
          </cell>
          <cell r="C579" t="str">
            <v>EA</v>
          </cell>
          <cell r="D579" t="str">
            <v>MA100</v>
          </cell>
          <cell r="E579">
            <v>297.33224999999999</v>
          </cell>
          <cell r="G579">
            <v>155465</v>
          </cell>
        </row>
        <row r="580">
          <cell r="A580">
            <v>155531</v>
          </cell>
          <cell r="B580" t="str">
            <v>NUT,3/8,SADDLE, HILTI MQA-F 3/8(SEISMIC)</v>
          </cell>
          <cell r="C580" t="str">
            <v>EA</v>
          </cell>
          <cell r="D580" t="str">
            <v>RM100</v>
          </cell>
          <cell r="E580">
            <v>1.6508</v>
          </cell>
          <cell r="G580">
            <v>155531</v>
          </cell>
        </row>
        <row r="581">
          <cell r="A581">
            <v>155587</v>
          </cell>
          <cell r="B581" t="str">
            <v>BRKT,DR O/S SW 3/4X1X3/4X1/16 ALUM*</v>
          </cell>
          <cell r="C581" t="str">
            <v>EA</v>
          </cell>
          <cell r="D581" t="str">
            <v>MA100</v>
          </cell>
          <cell r="E581">
            <v>56.265000000000001</v>
          </cell>
          <cell r="G581">
            <v>155587</v>
          </cell>
        </row>
        <row r="582">
          <cell r="A582">
            <v>155623</v>
          </cell>
          <cell r="B582" t="str">
            <v>CU,0.001x2xLF</v>
          </cell>
          <cell r="C582" t="str">
            <v>LB</v>
          </cell>
          <cell r="D582" t="str">
            <v>RM100</v>
          </cell>
          <cell r="E582">
            <v>19.98</v>
          </cell>
          <cell r="G582">
            <v>155623</v>
          </cell>
        </row>
        <row r="583">
          <cell r="A583">
            <v>155716</v>
          </cell>
          <cell r="B583" t="str">
            <v>STRUT,GALV,1-5/8x1-5/8x20',13/32x3"SLOT</v>
          </cell>
          <cell r="C583" t="str">
            <v>EA</v>
          </cell>
          <cell r="D583" t="str">
            <v>RM100</v>
          </cell>
          <cell r="E583">
            <v>39.53833333</v>
          </cell>
          <cell r="G583">
            <v>155716</v>
          </cell>
        </row>
        <row r="584">
          <cell r="A584">
            <v>155730</v>
          </cell>
          <cell r="B584" t="str">
            <v>STRUT,GALV,1-5/8x1-5/8x10',13/32x3"SLOT</v>
          </cell>
          <cell r="C584" t="str">
            <v>EA</v>
          </cell>
          <cell r="D584" t="str">
            <v>RM100</v>
          </cell>
          <cell r="E584">
            <v>21.164999999999999</v>
          </cell>
          <cell r="G584">
            <v>155730</v>
          </cell>
        </row>
        <row r="585">
          <cell r="A585">
            <v>155731</v>
          </cell>
          <cell r="B585" t="str">
            <v>STRUT,GALV,1-5/8X1-5/8X60" (B22S)</v>
          </cell>
          <cell r="C585" t="str">
            <v>EA</v>
          </cell>
          <cell r="D585" t="str">
            <v>MA100</v>
          </cell>
          <cell r="E585">
            <v>10.5825</v>
          </cell>
          <cell r="G585">
            <v>155731</v>
          </cell>
        </row>
        <row r="586">
          <cell r="A586">
            <v>155747</v>
          </cell>
          <cell r="B586" t="str">
            <v>GSKT,EMI PROTECT MTL 15 PIN NWRK#51F3660</v>
          </cell>
          <cell r="C586" t="str">
            <v>EA</v>
          </cell>
          <cell r="D586" t="str">
            <v>RM100</v>
          </cell>
          <cell r="E586">
            <v>0.98699999999999999</v>
          </cell>
          <cell r="G586">
            <v>155747</v>
          </cell>
        </row>
        <row r="587">
          <cell r="A587">
            <v>155755</v>
          </cell>
          <cell r="B587" t="str">
            <v>ASSY,HNGR ROD STIFFENER,B-LINE#SC228</v>
          </cell>
          <cell r="C587" t="str">
            <v>EA</v>
          </cell>
          <cell r="D587" t="str">
            <v>RM100</v>
          </cell>
          <cell r="E587">
            <v>8.3198000000000008</v>
          </cell>
          <cell r="G587">
            <v>155755</v>
          </cell>
        </row>
        <row r="588">
          <cell r="A588">
            <v>155784</v>
          </cell>
          <cell r="B588" t="str">
            <v>PLT,SPLICE 4HOLE  B341-P1067-MQV-P4</v>
          </cell>
          <cell r="C588" t="str">
            <v>EA</v>
          </cell>
          <cell r="D588" t="str">
            <v>RM100</v>
          </cell>
          <cell r="E588">
            <v>4.9809999999999999</v>
          </cell>
          <cell r="G588">
            <v>155784</v>
          </cell>
        </row>
        <row r="589">
          <cell r="A589">
            <v>155934</v>
          </cell>
          <cell r="B589" t="str">
            <v>STRUT,GALV,1-5/8x1-5/8x10',1/4"HLS-2"CN*</v>
          </cell>
          <cell r="C589" t="str">
            <v>EA</v>
          </cell>
          <cell r="D589" t="str">
            <v>RM100</v>
          </cell>
          <cell r="E589">
            <v>34.305999999999997</v>
          </cell>
          <cell r="G589">
            <v>155934</v>
          </cell>
        </row>
        <row r="590">
          <cell r="A590">
            <v>155974</v>
          </cell>
          <cell r="B590" t="str">
            <v>BRKT,1-1/2"X1"X4"X4"X90° &amp; 3 HOLES</v>
          </cell>
          <cell r="C590" t="str">
            <v>EA</v>
          </cell>
          <cell r="D590" t="str">
            <v>MA100</v>
          </cell>
          <cell r="E590">
            <v>2.7635200000000002</v>
          </cell>
          <cell r="G590">
            <v>155974</v>
          </cell>
        </row>
        <row r="591">
          <cell r="A591">
            <v>155976</v>
          </cell>
          <cell r="B591" t="str">
            <v>BRKT,1-1/2"X12"X12GA.X135° &amp; 4 HOLES</v>
          </cell>
          <cell r="C591" t="str">
            <v>EA</v>
          </cell>
          <cell r="D591" t="str">
            <v>MA100</v>
          </cell>
          <cell r="E591">
            <v>1.3206</v>
          </cell>
          <cell r="G591">
            <v>155976</v>
          </cell>
        </row>
        <row r="592">
          <cell r="A592">
            <v>156686</v>
          </cell>
          <cell r="B592" t="str">
            <v>BRKT,AL WNDW WALL CNR 2X2X2X1/8" *</v>
          </cell>
          <cell r="C592" t="str">
            <v>EA</v>
          </cell>
          <cell r="D592" t="str">
            <v>MA100</v>
          </cell>
          <cell r="E592">
            <v>6.3078000000000003</v>
          </cell>
          <cell r="G592">
            <v>156686</v>
          </cell>
        </row>
        <row r="593">
          <cell r="A593">
            <v>156860</v>
          </cell>
          <cell r="B593" t="str">
            <v>STRUT,GALV,7/8X1-5/8x10',13/32X3"SLOTS</v>
          </cell>
          <cell r="C593" t="str">
            <v>EA</v>
          </cell>
          <cell r="D593" t="str">
            <v>RM100</v>
          </cell>
          <cell r="E593">
            <v>17.5</v>
          </cell>
          <cell r="G593">
            <v>156860</v>
          </cell>
        </row>
        <row r="594">
          <cell r="A594">
            <v>156861</v>
          </cell>
          <cell r="B594" t="str">
            <v>SILICON MTG PLATE W-P3300-SL 10'</v>
          </cell>
          <cell r="C594" t="str">
            <v>EA</v>
          </cell>
          <cell r="D594" t="str">
            <v>RM100</v>
          </cell>
          <cell r="E594">
            <v>106.39</v>
          </cell>
          <cell r="G594">
            <v>156861</v>
          </cell>
        </row>
        <row r="595">
          <cell r="A595">
            <v>156940</v>
          </cell>
          <cell r="B595" t="str">
            <v>VENT,ALUM 7X21  W/10.5X10.5X1/4 *</v>
          </cell>
          <cell r="C595" t="str">
            <v>EA</v>
          </cell>
          <cell r="D595" t="str">
            <v>RM100</v>
          </cell>
          <cell r="E595">
            <v>142</v>
          </cell>
          <cell r="G595">
            <v>156940</v>
          </cell>
        </row>
        <row r="596">
          <cell r="A596">
            <v>156941</v>
          </cell>
          <cell r="B596" t="str">
            <v>VENT,CRYO ALUM 4X24  W/14X14X1/4 *</v>
          </cell>
          <cell r="C596" t="str">
            <v>EA</v>
          </cell>
          <cell r="D596" t="str">
            <v>RM100</v>
          </cell>
          <cell r="E596">
            <v>92.735500000000002</v>
          </cell>
          <cell r="G596">
            <v>156941</v>
          </cell>
        </row>
        <row r="597">
          <cell r="A597">
            <v>156942</v>
          </cell>
          <cell r="B597" t="str">
            <v>VENT,CRYO ALUM 6X30  W/14X14X1/4 *</v>
          </cell>
          <cell r="C597" t="str">
            <v>EA</v>
          </cell>
          <cell r="D597" t="str">
            <v>RM100</v>
          </cell>
          <cell r="E597">
            <v>81.5</v>
          </cell>
          <cell r="G597">
            <v>156942</v>
          </cell>
        </row>
        <row r="598">
          <cell r="A598">
            <v>156943</v>
          </cell>
          <cell r="B598" t="str">
            <v>VENT,CRYO ALUM 8X36  W/14X14X1/4 *</v>
          </cell>
          <cell r="C598" t="str">
            <v>EA</v>
          </cell>
          <cell r="D598" t="str">
            <v>RM100</v>
          </cell>
          <cell r="E598">
            <v>136.97999999999999</v>
          </cell>
          <cell r="G598">
            <v>156943</v>
          </cell>
        </row>
        <row r="599">
          <cell r="A599">
            <v>156946</v>
          </cell>
          <cell r="B599" t="str">
            <v>VENT,ALUM 4X16 W/9X9X1/8*</v>
          </cell>
          <cell r="C599" t="str">
            <v>EA</v>
          </cell>
          <cell r="D599" t="str">
            <v>RM100</v>
          </cell>
          <cell r="E599">
            <v>50.97</v>
          </cell>
          <cell r="G599">
            <v>156946</v>
          </cell>
        </row>
        <row r="600">
          <cell r="A600">
            <v>156980</v>
          </cell>
          <cell r="B600" t="str">
            <v>CRYO, TOSHIBA (CUSTOM)*</v>
          </cell>
          <cell r="C600" t="str">
            <v>EA</v>
          </cell>
          <cell r="D600" t="str">
            <v>RM100</v>
          </cell>
          <cell r="E600">
            <v>374</v>
          </cell>
          <cell r="G600">
            <v>156980</v>
          </cell>
        </row>
        <row r="601">
          <cell r="A601">
            <v>156981</v>
          </cell>
          <cell r="B601" t="str">
            <v>CRYO, HITACHI (CUSTOM)* USE 157020</v>
          </cell>
          <cell r="C601" t="str">
            <v>EA</v>
          </cell>
          <cell r="D601" t="str">
            <v>RM100</v>
          </cell>
          <cell r="E601">
            <v>382</v>
          </cell>
          <cell r="G601">
            <v>156981</v>
          </cell>
        </row>
        <row r="602">
          <cell r="A602">
            <v>156992</v>
          </cell>
          <cell r="B602" t="str">
            <v>VENT,CRYO SS  8X32 SIEMENS  W/16X16X1/4*</v>
          </cell>
          <cell r="C602" t="str">
            <v>EA</v>
          </cell>
          <cell r="D602" t="str">
            <v>RM100</v>
          </cell>
          <cell r="E602">
            <v>494.06</v>
          </cell>
          <cell r="G602">
            <v>156992</v>
          </cell>
        </row>
        <row r="603">
          <cell r="A603">
            <v>156995</v>
          </cell>
          <cell r="B603" t="str">
            <v>VENT,CRYO SS 10X30 SIEMENS  W/16X16X1/4*</v>
          </cell>
          <cell r="C603" t="str">
            <v>EA</v>
          </cell>
          <cell r="D603" t="str">
            <v>RM100</v>
          </cell>
          <cell r="E603">
            <v>790</v>
          </cell>
          <cell r="G603">
            <v>156995</v>
          </cell>
        </row>
        <row r="604">
          <cell r="A604">
            <v>156997</v>
          </cell>
          <cell r="B604" t="str">
            <v>VENT,CRYO SS 4X16 SIEMENS</v>
          </cell>
          <cell r="C604" t="str">
            <v>EA</v>
          </cell>
          <cell r="D604" t="str">
            <v>RM100</v>
          </cell>
          <cell r="E604">
            <v>176</v>
          </cell>
          <cell r="G604">
            <v>156997</v>
          </cell>
        </row>
        <row r="605">
          <cell r="A605">
            <v>156998</v>
          </cell>
          <cell r="B605" t="str">
            <v>VENT,CRYO SS 6X24 SIEMENS  W/14X14X1/4*</v>
          </cell>
          <cell r="C605" t="str">
            <v>EA</v>
          </cell>
          <cell r="D605" t="str">
            <v>RM100</v>
          </cell>
          <cell r="E605">
            <v>236</v>
          </cell>
          <cell r="G605">
            <v>156998</v>
          </cell>
        </row>
        <row r="606">
          <cell r="A606">
            <v>157002</v>
          </cell>
          <cell r="B606" t="str">
            <v>PLATE, LAP PLATE FOR BRUKER CRYOPROBE</v>
          </cell>
          <cell r="C606" t="str">
            <v>EA</v>
          </cell>
          <cell r="D606" t="str">
            <v>MA100</v>
          </cell>
          <cell r="E606">
            <v>29.82544</v>
          </cell>
          <cell r="G606">
            <v>157002</v>
          </cell>
        </row>
        <row r="607">
          <cell r="A607">
            <v>157003</v>
          </cell>
          <cell r="B607" t="str">
            <v>PLATE, LAP PLATE FOR EZEM PLT [#157013]</v>
          </cell>
          <cell r="C607" t="str">
            <v>EA</v>
          </cell>
          <cell r="D607" t="str">
            <v>MA100</v>
          </cell>
          <cell r="E607">
            <v>141.86548999999999</v>
          </cell>
          <cell r="G607">
            <v>157003</v>
          </cell>
        </row>
        <row r="608">
          <cell r="A608">
            <v>157005</v>
          </cell>
          <cell r="B608" t="str">
            <v>PLT, LAP PLATE FOR BRASS PLATE [#151085]</v>
          </cell>
          <cell r="C608" t="str">
            <v>EA</v>
          </cell>
          <cell r="D608" t="str">
            <v>MA100</v>
          </cell>
          <cell r="E608">
            <v>208.00649999999999</v>
          </cell>
          <cell r="G608">
            <v>157005</v>
          </cell>
        </row>
        <row r="609">
          <cell r="A609">
            <v>157013</v>
          </cell>
          <cell r="B609" t="str">
            <v>PLATE,EZEM PEN PANEL 6"SQ</v>
          </cell>
          <cell r="C609" t="str">
            <v>EA</v>
          </cell>
          <cell r="D609" t="str">
            <v>MA100</v>
          </cell>
          <cell r="E609">
            <v>33.721269999999997</v>
          </cell>
          <cell r="G609">
            <v>157013</v>
          </cell>
        </row>
        <row r="610">
          <cell r="A610">
            <v>157020</v>
          </cell>
          <cell r="B610" t="str">
            <v>CRYO, HITACHI (CUSTOM), 4" ID</v>
          </cell>
          <cell r="C610" t="str">
            <v>EA</v>
          </cell>
          <cell r="D610" t="str">
            <v>RM100</v>
          </cell>
          <cell r="E610">
            <v>306.25</v>
          </cell>
          <cell r="G610">
            <v>157020</v>
          </cell>
        </row>
        <row r="611">
          <cell r="A611">
            <v>157811</v>
          </cell>
          <cell r="B611" t="str">
            <v>STRUT,GALV,3-1/4x1-5/8x10',BACK-TO-BACK</v>
          </cell>
          <cell r="C611" t="str">
            <v>EA</v>
          </cell>
          <cell r="D611" t="str">
            <v>RM100</v>
          </cell>
          <cell r="E611">
            <v>57.023000000000003</v>
          </cell>
          <cell r="G611">
            <v>157811</v>
          </cell>
        </row>
        <row r="612">
          <cell r="A612">
            <v>160402</v>
          </cell>
          <cell r="B612" t="str">
            <v>SCREW, #14X1 1/2,HEX,TEK</v>
          </cell>
          <cell r="C612" t="str">
            <v>EA</v>
          </cell>
          <cell r="D612" t="str">
            <v>RM100</v>
          </cell>
          <cell r="E612">
            <v>6.7400000000000002E-2</v>
          </cell>
          <cell r="G612">
            <v>160402</v>
          </cell>
        </row>
        <row r="613">
          <cell r="A613">
            <v>1604295</v>
          </cell>
          <cell r="B613" t="str">
            <v>NRF PANEL FOR 2X8 EVO AIR</v>
          </cell>
          <cell r="C613" t="str">
            <v>EA</v>
          </cell>
          <cell r="D613" t="str">
            <v>RM100</v>
          </cell>
          <cell r="E613">
            <v>95.61</v>
          </cell>
          <cell r="G613">
            <v>1604295</v>
          </cell>
        </row>
        <row r="614">
          <cell r="A614">
            <v>1604297</v>
          </cell>
          <cell r="B614" t="str">
            <v>RF PANEL FOR 2X8 EVO AIR</v>
          </cell>
          <cell r="C614" t="str">
            <v>EA</v>
          </cell>
          <cell r="D614" t="str">
            <v>RM100</v>
          </cell>
          <cell r="E614">
            <v>93.89</v>
          </cell>
          <cell r="G614">
            <v>1604297</v>
          </cell>
        </row>
        <row r="615">
          <cell r="A615">
            <v>1604300</v>
          </cell>
          <cell r="B615" t="str">
            <v>EVO 2X8 FRAME</v>
          </cell>
          <cell r="C615" t="str">
            <v>EA</v>
          </cell>
          <cell r="D615" t="str">
            <v>RM100</v>
          </cell>
          <cell r="E615">
            <v>469.18</v>
          </cell>
          <cell r="G615">
            <v>1604300</v>
          </cell>
        </row>
        <row r="616">
          <cell r="A616">
            <v>1604301</v>
          </cell>
          <cell r="B616" t="str">
            <v>EDGE CAP,LATCH,CARTRIDGE,8-FT EVO AIR</v>
          </cell>
          <cell r="C616" t="str">
            <v>EA</v>
          </cell>
          <cell r="D616" t="str">
            <v>RM100</v>
          </cell>
          <cell r="E616">
            <v>135.4</v>
          </cell>
          <cell r="G616">
            <v>1604301</v>
          </cell>
        </row>
        <row r="617">
          <cell r="A617">
            <v>1604302</v>
          </cell>
          <cell r="B617" t="str">
            <v>GSKT, LEGACY#367AA,2' DBL DR</v>
          </cell>
          <cell r="C617" t="str">
            <v>EA</v>
          </cell>
          <cell r="D617" t="str">
            <v>RM100</v>
          </cell>
          <cell r="E617">
            <v>57.41</v>
          </cell>
          <cell r="G617">
            <v>1604302</v>
          </cell>
        </row>
        <row r="618">
          <cell r="A618">
            <v>1604314</v>
          </cell>
          <cell r="B618" t="str">
            <v>EVO44,24X96,RH,IN,NW,BASE</v>
          </cell>
          <cell r="C618" t="str">
            <v>EA</v>
          </cell>
          <cell r="D618" t="str">
            <v>MA100</v>
          </cell>
          <cell r="E618">
            <v>2588.4828200000002</v>
          </cell>
          <cell r="G618">
            <v>1604314</v>
          </cell>
        </row>
        <row r="619">
          <cell r="A619">
            <v>1604357</v>
          </cell>
          <cell r="B619" t="str">
            <v>FLAT THRESHOLD, EVO AIR 72"</v>
          </cell>
          <cell r="C619" t="str">
            <v>EA</v>
          </cell>
          <cell r="D619" t="str">
            <v>RM100</v>
          </cell>
          <cell r="E619">
            <v>86.956999999999994</v>
          </cell>
          <cell r="G619">
            <v>1604357</v>
          </cell>
        </row>
        <row r="620">
          <cell r="A620">
            <v>1604367</v>
          </cell>
          <cell r="B620" t="str">
            <v>ABSBR,MICRO 3/8X24X24</v>
          </cell>
          <cell r="C620" t="str">
            <v>EA</v>
          </cell>
          <cell r="D620" t="str">
            <v>MA470</v>
          </cell>
          <cell r="E620">
            <v>71.150000000000006</v>
          </cell>
          <cell r="G620">
            <v>1604367</v>
          </cell>
        </row>
        <row r="621">
          <cell r="A621">
            <v>1604369</v>
          </cell>
          <cell r="B621" t="str">
            <v>DEI INSIDE BOLTED FRAME SET</v>
          </cell>
          <cell r="C621" t="str">
            <v>EA</v>
          </cell>
          <cell r="D621" t="str">
            <v>MA100</v>
          </cell>
          <cell r="E621">
            <v>1649.7612899999999</v>
          </cell>
          <cell r="G621">
            <v>1604369</v>
          </cell>
        </row>
        <row r="622">
          <cell r="A622">
            <v>1604376</v>
          </cell>
          <cell r="B622" t="str">
            <v>ASSY,DR DEI 36X84 STD BR/BR,INSIDE BOLT</v>
          </cell>
          <cell r="C622" t="str">
            <v>EA</v>
          </cell>
          <cell r="D622" t="str">
            <v>MA100</v>
          </cell>
          <cell r="E622">
            <v>3564.89041</v>
          </cell>
          <cell r="G622">
            <v>1604376</v>
          </cell>
        </row>
        <row r="623">
          <cell r="A623">
            <v>1604379</v>
          </cell>
          <cell r="B623" t="str">
            <v>EVO44 JAMB,72X96,NO</v>
          </cell>
          <cell r="C623" t="str">
            <v>EA</v>
          </cell>
          <cell r="D623" t="str">
            <v>MA100</v>
          </cell>
          <cell r="E623">
            <v>3619.9054000000001</v>
          </cell>
          <cell r="G623">
            <v>1604379</v>
          </cell>
        </row>
        <row r="624">
          <cell r="A624">
            <v>1604421</v>
          </cell>
          <cell r="B624" t="str">
            <v>ENCLOSURE, AUTO OPERATOR, LH, 81"L</v>
          </cell>
          <cell r="C624" t="str">
            <v>EA</v>
          </cell>
          <cell r="D624" t="str">
            <v>RM100</v>
          </cell>
          <cell r="E624">
            <v>276.33999999999997</v>
          </cell>
          <cell r="G624">
            <v>1604421</v>
          </cell>
        </row>
        <row r="625">
          <cell r="A625">
            <v>1604428</v>
          </cell>
          <cell r="B625" t="str">
            <v>OBSOLETE</v>
          </cell>
          <cell r="C625" t="str">
            <v>EA</v>
          </cell>
          <cell r="D625" t="str">
            <v>RM100</v>
          </cell>
          <cell r="E625">
            <v>1848.3712</v>
          </cell>
          <cell r="G625">
            <v>1604428</v>
          </cell>
        </row>
        <row r="626">
          <cell r="A626">
            <v>1604440</v>
          </cell>
          <cell r="B626" t="str">
            <v>PNEUMATIC SYSTEM CARTRIDGE CORE,48"</v>
          </cell>
          <cell r="C626" t="str">
            <v>EA</v>
          </cell>
          <cell r="D626" t="str">
            <v>RM100</v>
          </cell>
          <cell r="E626">
            <v>68.3</v>
          </cell>
          <cell r="G626">
            <v>1604440</v>
          </cell>
        </row>
        <row r="627">
          <cell r="A627">
            <v>1604441</v>
          </cell>
          <cell r="B627" t="str">
            <v>PNEUMATIC SYSTEM CARTRIDGE CORE,36"</v>
          </cell>
          <cell r="C627" t="str">
            <v>EA</v>
          </cell>
          <cell r="D627" t="str">
            <v>RM100</v>
          </cell>
          <cell r="E627">
            <v>58.62</v>
          </cell>
          <cell r="G627">
            <v>1604441</v>
          </cell>
        </row>
        <row r="628">
          <cell r="A628">
            <v>1604442</v>
          </cell>
          <cell r="B628" t="str">
            <v>PNEUMATIC SYSTEM CARTRIDGE CORE,24"</v>
          </cell>
          <cell r="C628" t="str">
            <v>EA</v>
          </cell>
          <cell r="D628" t="str">
            <v>RM100</v>
          </cell>
          <cell r="E628">
            <v>99.160650000000004</v>
          </cell>
          <cell r="G628">
            <v>1604442</v>
          </cell>
        </row>
        <row r="629">
          <cell r="A629">
            <v>1604454</v>
          </cell>
          <cell r="B629" t="str">
            <v>PNEUMATIC SYSTEM CARTRIDGE,48"</v>
          </cell>
          <cell r="C629" t="str">
            <v>EA</v>
          </cell>
          <cell r="D629" t="str">
            <v>MA100</v>
          </cell>
          <cell r="E629">
            <v>248.70699999999999</v>
          </cell>
          <cell r="G629">
            <v>1604454</v>
          </cell>
        </row>
        <row r="630">
          <cell r="A630">
            <v>1604455</v>
          </cell>
          <cell r="B630" t="str">
            <v>PNEUMATIC SYSTEM CARTRIDGE,36"</v>
          </cell>
          <cell r="C630" t="str">
            <v>EA</v>
          </cell>
          <cell r="D630" t="str">
            <v>MA100</v>
          </cell>
          <cell r="E630">
            <v>0</v>
          </cell>
          <cell r="G630">
            <v>1604455</v>
          </cell>
        </row>
        <row r="631">
          <cell r="A631">
            <v>1604456</v>
          </cell>
          <cell r="B631" t="str">
            <v>PNEUMATIC SYSTEM CARTRIDGE,24"</v>
          </cell>
          <cell r="C631" t="str">
            <v>EA</v>
          </cell>
          <cell r="D631" t="str">
            <v>MA100</v>
          </cell>
          <cell r="E631">
            <v>236.70831000000001</v>
          </cell>
          <cell r="G631">
            <v>1604456</v>
          </cell>
        </row>
        <row r="632">
          <cell r="A632">
            <v>1604460</v>
          </cell>
          <cell r="B632" t="str">
            <v>BRKT, EVO AIR 24" DOOR, Z,ACOUSTIC</v>
          </cell>
          <cell r="C632" t="str">
            <v>EA</v>
          </cell>
          <cell r="D632" t="str">
            <v>RM100</v>
          </cell>
          <cell r="E632">
            <v>17.489999999999998</v>
          </cell>
          <cell r="G632">
            <v>1604460</v>
          </cell>
        </row>
        <row r="633">
          <cell r="A633">
            <v>1604464</v>
          </cell>
          <cell r="B633" t="str">
            <v>EVO44,48X96,LH,IN,NW,BASE</v>
          </cell>
          <cell r="C633" t="str">
            <v>EA</v>
          </cell>
          <cell r="D633" t="str">
            <v>MA100</v>
          </cell>
          <cell r="E633">
            <v>2535.3419600000002</v>
          </cell>
          <cell r="G633">
            <v>1604464</v>
          </cell>
        </row>
        <row r="634">
          <cell r="A634">
            <v>1604473</v>
          </cell>
          <cell r="B634" t="str">
            <v>RF PANEL FOR 8'T EVO,PULL HANDLE</v>
          </cell>
          <cell r="C634" t="str">
            <v>EA</v>
          </cell>
          <cell r="D634" t="str">
            <v>RM100</v>
          </cell>
          <cell r="E634">
            <v>128.61000000000001</v>
          </cell>
          <cell r="G634">
            <v>1604473</v>
          </cell>
        </row>
        <row r="635">
          <cell r="A635">
            <v>1604474</v>
          </cell>
          <cell r="B635" t="str">
            <v>NRF PANEL FOR 8'T EVO AIR,PULL HANDLE</v>
          </cell>
          <cell r="C635" t="str">
            <v>EA</v>
          </cell>
          <cell r="D635" t="str">
            <v>RM100</v>
          </cell>
          <cell r="E635">
            <v>113.83</v>
          </cell>
          <cell r="G635">
            <v>1604474</v>
          </cell>
        </row>
        <row r="636">
          <cell r="A636">
            <v>1604476</v>
          </cell>
          <cell r="B636" t="str">
            <v>EVO 4'X8' AIR FRAME FOR PULL HANDLE</v>
          </cell>
          <cell r="C636" t="str">
            <v>EA</v>
          </cell>
          <cell r="D636" t="str">
            <v>RM100</v>
          </cell>
          <cell r="E636">
            <v>495.48</v>
          </cell>
          <cell r="G636">
            <v>1604476</v>
          </cell>
        </row>
        <row r="637">
          <cell r="A637">
            <v>1604482</v>
          </cell>
          <cell r="B637" t="str">
            <v>EVO AIR DBL 6x8 (4'-2')LH Inswing</v>
          </cell>
          <cell r="C637" t="str">
            <v>EA</v>
          </cell>
          <cell r="D637" t="str">
            <v>MA100</v>
          </cell>
          <cell r="E637">
            <v>13190.09</v>
          </cell>
          <cell r="G637">
            <v>1604482</v>
          </cell>
        </row>
        <row r="638">
          <cell r="A638">
            <v>1604617</v>
          </cell>
          <cell r="B638" t="str">
            <v>STANLEY BOX MOUNTING PLATE,81"</v>
          </cell>
          <cell r="C638" t="str">
            <v>EA</v>
          </cell>
          <cell r="D638" t="str">
            <v>RM100</v>
          </cell>
          <cell r="E638">
            <v>142.99</v>
          </cell>
          <cell r="G638">
            <v>1604617</v>
          </cell>
        </row>
        <row r="639">
          <cell r="A639">
            <v>160479</v>
          </cell>
          <cell r="B639" t="str">
            <v>DRILL BIT,3/16'' x 4-1/2'',TAPCON</v>
          </cell>
          <cell r="C639" t="str">
            <v>EA</v>
          </cell>
          <cell r="D639" t="str">
            <v>RM100</v>
          </cell>
          <cell r="E639">
            <v>3.25</v>
          </cell>
          <cell r="G639">
            <v>160479</v>
          </cell>
        </row>
        <row r="640">
          <cell r="A640">
            <v>1604807</v>
          </cell>
          <cell r="B640" t="str">
            <v>EVO AIR CARTRIDGE FLUSH PLATE</v>
          </cell>
          <cell r="C640" t="str">
            <v>EA</v>
          </cell>
          <cell r="D640" t="str">
            <v>RM100</v>
          </cell>
          <cell r="E640">
            <v>4.82</v>
          </cell>
          <cell r="G640">
            <v>1604807</v>
          </cell>
        </row>
        <row r="641">
          <cell r="A641">
            <v>1604809</v>
          </cell>
          <cell r="B641" t="str">
            <v>MAGNETIC CATCH,37LBS</v>
          </cell>
          <cell r="C641" t="str">
            <v>EA</v>
          </cell>
          <cell r="D641" t="str">
            <v>RM100</v>
          </cell>
          <cell r="E641">
            <v>21.2</v>
          </cell>
          <cell r="G641">
            <v>1604809</v>
          </cell>
        </row>
        <row r="642">
          <cell r="A642">
            <v>1604820</v>
          </cell>
          <cell r="B642" t="str">
            <v>MAGNETIC CATCH BRACKET</v>
          </cell>
          <cell r="C642" t="str">
            <v>EA</v>
          </cell>
          <cell r="D642" t="str">
            <v>RM100</v>
          </cell>
          <cell r="E642">
            <v>76.540000000000006</v>
          </cell>
          <cell r="G642">
            <v>1604820</v>
          </cell>
        </row>
        <row r="643">
          <cell r="A643">
            <v>1604845</v>
          </cell>
          <cell r="B643" t="str">
            <v>LAM,STAINLESS STEEL,LH RF EVO 4X8</v>
          </cell>
          <cell r="C643" t="str">
            <v>EA</v>
          </cell>
          <cell r="D643" t="str">
            <v>RM100</v>
          </cell>
          <cell r="E643">
            <v>183.98500000000001</v>
          </cell>
          <cell r="G643">
            <v>1604845</v>
          </cell>
        </row>
        <row r="644">
          <cell r="A644">
            <v>1604846</v>
          </cell>
          <cell r="B644" t="str">
            <v>LAM,STAINLESS STEEL,LH NRF EVO 4X8</v>
          </cell>
          <cell r="C644" t="str">
            <v>EA</v>
          </cell>
          <cell r="D644" t="str">
            <v>RM100</v>
          </cell>
          <cell r="E644">
            <v>183.98500000000001</v>
          </cell>
          <cell r="G644">
            <v>1604846</v>
          </cell>
        </row>
        <row r="645">
          <cell r="A645">
            <v>1604847</v>
          </cell>
          <cell r="B645" t="str">
            <v>LAM,STAINLESS STEEL,RH RF EVO 4X8</v>
          </cell>
          <cell r="C645" t="str">
            <v>EA</v>
          </cell>
          <cell r="D645" t="str">
            <v>RM100</v>
          </cell>
          <cell r="E645">
            <v>183.98500000000001</v>
          </cell>
          <cell r="G645">
            <v>1604847</v>
          </cell>
        </row>
        <row r="646">
          <cell r="A646">
            <v>1604848</v>
          </cell>
          <cell r="B646" t="str">
            <v>LAM,STAINLESS STEEL,RH NRF EVO 4X8</v>
          </cell>
          <cell r="C646" t="str">
            <v>EA</v>
          </cell>
          <cell r="D646" t="str">
            <v>RM100</v>
          </cell>
          <cell r="E646">
            <v>183.98500000000001</v>
          </cell>
          <cell r="G646">
            <v>1604848</v>
          </cell>
        </row>
        <row r="647">
          <cell r="A647">
            <v>1605317</v>
          </cell>
          <cell r="B647" t="str">
            <v>EXTRU, ALUM. HDR/SILL MACH. 49-3/4"</v>
          </cell>
          <cell r="C647" t="str">
            <v>EA</v>
          </cell>
          <cell r="D647" t="str">
            <v>RM100</v>
          </cell>
          <cell r="E647">
            <v>83.73</v>
          </cell>
          <cell r="G647">
            <v>1605317</v>
          </cell>
        </row>
        <row r="648">
          <cell r="A648">
            <v>1605318</v>
          </cell>
          <cell r="B648" t="str">
            <v>DOOR BLANK 44.375X71 MRDS HATCH DOOR</v>
          </cell>
          <cell r="C648" t="str">
            <v>EA</v>
          </cell>
          <cell r="D648" t="str">
            <v>MA100</v>
          </cell>
          <cell r="E648">
            <v>227.9</v>
          </cell>
          <cell r="G648">
            <v>1605318</v>
          </cell>
        </row>
        <row r="649">
          <cell r="A649">
            <v>1605435</v>
          </cell>
          <cell r="B649" t="str">
            <v>SCREW,1/4-20 x 1-1/4,PHIL,TR,18-8SS</v>
          </cell>
          <cell r="C649" t="str">
            <v>EA</v>
          </cell>
          <cell r="D649" t="str">
            <v>RM100</v>
          </cell>
          <cell r="E649">
            <v>0.31040000000000001</v>
          </cell>
          <cell r="G649">
            <v>1605435</v>
          </cell>
        </row>
        <row r="650">
          <cell r="A650">
            <v>1605491</v>
          </cell>
          <cell r="B650" t="str">
            <v>FLAT THRESHOLD SHIM,72"</v>
          </cell>
          <cell r="C650" t="str">
            <v>EA</v>
          </cell>
          <cell r="D650" t="str">
            <v>MA100</v>
          </cell>
          <cell r="E650">
            <v>65.069999999999993</v>
          </cell>
          <cell r="G650">
            <v>1605491</v>
          </cell>
        </row>
        <row r="651">
          <cell r="A651">
            <v>1605494</v>
          </cell>
          <cell r="B651" t="str">
            <v>GSKT, LEGACY#770AA,72"</v>
          </cell>
          <cell r="C651" t="str">
            <v>EA</v>
          </cell>
          <cell r="D651" t="str">
            <v>RM100</v>
          </cell>
          <cell r="E651">
            <v>78.510000000000005</v>
          </cell>
          <cell r="G651">
            <v>1605494</v>
          </cell>
        </row>
        <row r="652">
          <cell r="A652">
            <v>1605497</v>
          </cell>
          <cell r="B652" t="str">
            <v>HINGE SWITCH BRACKET</v>
          </cell>
          <cell r="C652" t="str">
            <v>EA</v>
          </cell>
          <cell r="D652" t="str">
            <v>MA100</v>
          </cell>
          <cell r="E652">
            <v>2.66</v>
          </cell>
          <cell r="G652">
            <v>1605497</v>
          </cell>
        </row>
        <row r="653">
          <cell r="A653">
            <v>1605662</v>
          </cell>
          <cell r="B653" t="str">
            <v>SEAL,RF,BOTTOM/TOP 2FT DR,EVO</v>
          </cell>
          <cell r="C653" t="str">
            <v>EA</v>
          </cell>
          <cell r="D653" t="str">
            <v>MA100</v>
          </cell>
          <cell r="E653">
            <v>47.97</v>
          </cell>
          <cell r="G653">
            <v>1605662</v>
          </cell>
        </row>
        <row r="654">
          <cell r="A654">
            <v>1605665</v>
          </cell>
          <cell r="B654" t="str">
            <v>PNEU SYSTEM CARTRIDGE CORE,24" ALT</v>
          </cell>
          <cell r="C654" t="str">
            <v>EA</v>
          </cell>
          <cell r="D654" t="str">
            <v>RM100</v>
          </cell>
          <cell r="E654">
            <v>61.75</v>
          </cell>
          <cell r="G654">
            <v>1605665</v>
          </cell>
        </row>
        <row r="655">
          <cell r="A655">
            <v>1605670</v>
          </cell>
          <cell r="B655" t="str">
            <v>EDGE CAP,NO LATCH,8'T EVO AIR</v>
          </cell>
          <cell r="C655" t="str">
            <v>EA</v>
          </cell>
          <cell r="D655" t="str">
            <v>RM100</v>
          </cell>
          <cell r="E655">
            <v>104.82</v>
          </cell>
          <cell r="G655">
            <v>1605670</v>
          </cell>
        </row>
        <row r="656">
          <cell r="A656">
            <v>1605745</v>
          </cell>
          <cell r="B656" t="str">
            <v>ASSY, HATCH DOOR [LAMBOO] 44.75"x71"</v>
          </cell>
          <cell r="C656" t="str">
            <v>EA</v>
          </cell>
          <cell r="D656" t="str">
            <v>MA100</v>
          </cell>
          <cell r="E656">
            <v>1800.6837599999999</v>
          </cell>
          <cell r="G656">
            <v>1605745</v>
          </cell>
        </row>
        <row r="657">
          <cell r="A657">
            <v>1605776</v>
          </cell>
          <cell r="B657" t="str">
            <v>GSKT, LEGACY#367AA,4' DBL DR</v>
          </cell>
          <cell r="C657" t="str">
            <v>EA</v>
          </cell>
          <cell r="D657" t="str">
            <v>RM100</v>
          </cell>
          <cell r="E657">
            <v>66.010000000000005</v>
          </cell>
          <cell r="G657">
            <v>1605776</v>
          </cell>
        </row>
        <row r="658">
          <cell r="A658">
            <v>1605777</v>
          </cell>
          <cell r="B658" t="str">
            <v>40MM CARTRIDGE, EVO AIR 8-FT</v>
          </cell>
          <cell r="C658" t="str">
            <v>EA</v>
          </cell>
          <cell r="D658" t="str">
            <v>MA100</v>
          </cell>
          <cell r="E658">
            <v>899.51700000000005</v>
          </cell>
          <cell r="G658">
            <v>1605777</v>
          </cell>
        </row>
        <row r="659">
          <cell r="A659">
            <v>1605778</v>
          </cell>
          <cell r="B659" t="str">
            <v>BIMBA BRACKET, 40MM CARTRIDGE</v>
          </cell>
          <cell r="C659" t="str">
            <v>EA</v>
          </cell>
          <cell r="D659" t="str">
            <v>MA100</v>
          </cell>
          <cell r="E659">
            <v>4.74</v>
          </cell>
          <cell r="G659">
            <v>1605778</v>
          </cell>
        </row>
        <row r="660">
          <cell r="A660">
            <v>1605779</v>
          </cell>
          <cell r="B660" t="str">
            <v>40MM CARTRIDGE CASE,EVO AIR 8-FT</v>
          </cell>
          <cell r="C660" t="str">
            <v>EA</v>
          </cell>
          <cell r="D660" t="str">
            <v>RM100</v>
          </cell>
          <cell r="E660">
            <v>107.25</v>
          </cell>
          <cell r="G660">
            <v>1605779</v>
          </cell>
        </row>
        <row r="661">
          <cell r="A661">
            <v>1605780</v>
          </cell>
          <cell r="B661" t="str">
            <v>SEAL ROD, 8-FT, 40MM CARTRIDGE</v>
          </cell>
          <cell r="C661" t="str">
            <v>EA</v>
          </cell>
          <cell r="D661" t="str">
            <v>RM100</v>
          </cell>
          <cell r="E661">
            <v>81.02</v>
          </cell>
          <cell r="G661">
            <v>1605780</v>
          </cell>
        </row>
        <row r="662">
          <cell r="A662">
            <v>1605781</v>
          </cell>
          <cell r="B662" t="str">
            <v>SEAL ROD,TOP/BOT, 40MM CARTRIDGE</v>
          </cell>
          <cell r="C662" t="str">
            <v>EA</v>
          </cell>
          <cell r="D662" t="str">
            <v>RM100</v>
          </cell>
          <cell r="E662">
            <v>11.2</v>
          </cell>
          <cell r="G662">
            <v>1605781</v>
          </cell>
        </row>
        <row r="663">
          <cell r="A663">
            <v>1605782</v>
          </cell>
          <cell r="B663" t="str">
            <v>40MM CARTRIDGE SEAL BRACKET</v>
          </cell>
          <cell r="C663" t="str">
            <v>EA</v>
          </cell>
          <cell r="D663" t="str">
            <v>RM100</v>
          </cell>
          <cell r="E663">
            <v>88.03</v>
          </cell>
          <cell r="G663">
            <v>1605782</v>
          </cell>
        </row>
        <row r="664">
          <cell r="A664">
            <v>1605783</v>
          </cell>
          <cell r="B664" t="str">
            <v>40MM CARTRIDGE SEAL,8-FT</v>
          </cell>
          <cell r="C664" t="str">
            <v>EA</v>
          </cell>
          <cell r="D664" t="str">
            <v>RM100</v>
          </cell>
          <cell r="E664">
            <v>312.88</v>
          </cell>
          <cell r="G664">
            <v>1605783</v>
          </cell>
        </row>
        <row r="665">
          <cell r="A665">
            <v>1605784</v>
          </cell>
          <cell r="B665" t="str">
            <v>40MM CARTRIDGE SEAL,TOP</v>
          </cell>
          <cell r="C665" t="str">
            <v>EA</v>
          </cell>
          <cell r="D665" t="str">
            <v>RM100</v>
          </cell>
          <cell r="E665">
            <v>37.26</v>
          </cell>
          <cell r="G665">
            <v>1605784</v>
          </cell>
        </row>
        <row r="666">
          <cell r="A666">
            <v>1605785</v>
          </cell>
          <cell r="B666" t="str">
            <v>40MM CARTRIDGE SEAL,BOT</v>
          </cell>
          <cell r="C666" t="str">
            <v>EA</v>
          </cell>
          <cell r="D666" t="str">
            <v>RM100</v>
          </cell>
          <cell r="E666">
            <v>37.26</v>
          </cell>
          <cell r="G666">
            <v>1605785</v>
          </cell>
        </row>
        <row r="667">
          <cell r="A667">
            <v>1605786</v>
          </cell>
          <cell r="B667" t="str">
            <v>MAGLOCK BRACKET COVER</v>
          </cell>
          <cell r="C667" t="str">
            <v>EA</v>
          </cell>
          <cell r="D667" t="str">
            <v>RM100</v>
          </cell>
          <cell r="E667">
            <v>6.01</v>
          </cell>
          <cell r="G667">
            <v>1605786</v>
          </cell>
        </row>
        <row r="668">
          <cell r="A668">
            <v>1605787</v>
          </cell>
          <cell r="B668" t="str">
            <v>BRKT,EVO LH DR,MAGLOCK,ALUM</v>
          </cell>
          <cell r="C668" t="str">
            <v>EA</v>
          </cell>
          <cell r="D668" t="str">
            <v>RM100</v>
          </cell>
          <cell r="E668">
            <v>119.899</v>
          </cell>
          <cell r="G668">
            <v>1605787</v>
          </cell>
        </row>
        <row r="669">
          <cell r="A669">
            <v>1605933</v>
          </cell>
          <cell r="B669" t="str">
            <v>SCR,#10x3-1/2",PH,PN,STL, ZN</v>
          </cell>
          <cell r="C669" t="str">
            <v>EA</v>
          </cell>
          <cell r="D669" t="str">
            <v>RM100</v>
          </cell>
          <cell r="E669">
            <v>0.44350000000000001</v>
          </cell>
          <cell r="G669">
            <v>1605933</v>
          </cell>
        </row>
        <row r="670">
          <cell r="A670">
            <v>1605934</v>
          </cell>
          <cell r="B670" t="str">
            <v>SCR,#12x4",PH,PN,STL,ZN</v>
          </cell>
          <cell r="C670" t="str">
            <v>EA</v>
          </cell>
          <cell r="D670" t="str">
            <v>RM100</v>
          </cell>
          <cell r="E670">
            <v>0.43980000000000002</v>
          </cell>
          <cell r="G670">
            <v>1605934</v>
          </cell>
        </row>
        <row r="671">
          <cell r="A671">
            <v>1605943</v>
          </cell>
          <cell r="B671" t="str">
            <v>MAGLOCK KIT,EVO AIR DBL 4-2 LH</v>
          </cell>
          <cell r="C671" t="str">
            <v>EA</v>
          </cell>
          <cell r="D671" t="str">
            <v>MA100</v>
          </cell>
          <cell r="E671">
            <v>1092.5900200000001</v>
          </cell>
          <cell r="G671">
            <v>1605943</v>
          </cell>
        </row>
        <row r="672">
          <cell r="A672">
            <v>1606004</v>
          </cell>
          <cell r="B672" t="str">
            <v>CU,12OZ,DEI IN BOLT,CORNER SPLICE</v>
          </cell>
          <cell r="C672" t="str">
            <v>EA</v>
          </cell>
          <cell r="D672" t="str">
            <v>MA100</v>
          </cell>
          <cell r="E672">
            <v>2.3419099999999999</v>
          </cell>
          <cell r="G672">
            <v>1606004</v>
          </cell>
        </row>
        <row r="673">
          <cell r="A673">
            <v>1606005</v>
          </cell>
          <cell r="B673" t="str">
            <v>CU,12OZ,DEI IN BOLT,WALL/CRN/FLR SPLICE</v>
          </cell>
          <cell r="C673" t="str">
            <v>EA</v>
          </cell>
          <cell r="D673" t="str">
            <v>MA100</v>
          </cell>
          <cell r="E673">
            <v>3.39255</v>
          </cell>
          <cell r="G673">
            <v>1606005</v>
          </cell>
        </row>
        <row r="674">
          <cell r="A674">
            <v>1606006</v>
          </cell>
          <cell r="B674" t="str">
            <v>CU,12OZ,DEI IN BOLT,WALL/CRN SPLICE</v>
          </cell>
          <cell r="C674" t="str">
            <v>EA</v>
          </cell>
          <cell r="D674" t="str">
            <v>MA100</v>
          </cell>
          <cell r="E674">
            <v>9.2761099999999992</v>
          </cell>
          <cell r="G674">
            <v>1606006</v>
          </cell>
        </row>
        <row r="675">
          <cell r="A675">
            <v>1606214</v>
          </cell>
          <cell r="B675" t="str">
            <v>VENT,CRYO SS 4X16 CUSTOM</v>
          </cell>
          <cell r="C675" t="str">
            <v>EA</v>
          </cell>
          <cell r="D675" t="str">
            <v>RM100</v>
          </cell>
          <cell r="E675">
            <v>0</v>
          </cell>
          <cell r="G675">
            <v>1606214</v>
          </cell>
        </row>
        <row r="676">
          <cell r="A676">
            <v>1606560</v>
          </cell>
          <cell r="B676" t="str">
            <v>2X8 EVO AIR FRAME, HINGE LEG</v>
          </cell>
          <cell r="C676" t="str">
            <v>EA</v>
          </cell>
          <cell r="D676" t="str">
            <v>RM100</v>
          </cell>
          <cell r="E676">
            <v>0</v>
          </cell>
          <cell r="G676">
            <v>1606560</v>
          </cell>
        </row>
        <row r="677">
          <cell r="A677">
            <v>1606561</v>
          </cell>
          <cell r="B677" t="str">
            <v>2X8 EVO AIR FRAME, LATCH LEG</v>
          </cell>
          <cell r="C677" t="str">
            <v>EA</v>
          </cell>
          <cell r="D677" t="str">
            <v>RM100</v>
          </cell>
          <cell r="E677">
            <v>0</v>
          </cell>
          <cell r="G677">
            <v>1606561</v>
          </cell>
        </row>
        <row r="678">
          <cell r="A678">
            <v>1606562</v>
          </cell>
          <cell r="B678" t="str">
            <v>2X8 EVO AIR FRAME, OUTER CROSS</v>
          </cell>
          <cell r="C678" t="str">
            <v>EA</v>
          </cell>
          <cell r="D678" t="str">
            <v>RM100</v>
          </cell>
          <cell r="E678">
            <v>0</v>
          </cell>
          <cell r="G678">
            <v>1606562</v>
          </cell>
        </row>
        <row r="679">
          <cell r="A679">
            <v>1606563</v>
          </cell>
          <cell r="B679" t="str">
            <v>2X8 EVO AIR FRAME, INNER CROSS</v>
          </cell>
          <cell r="C679" t="str">
            <v>EA</v>
          </cell>
          <cell r="D679" t="str">
            <v>RM100</v>
          </cell>
          <cell r="E679">
            <v>0</v>
          </cell>
          <cell r="G679">
            <v>1606563</v>
          </cell>
        </row>
        <row r="680">
          <cell r="A680">
            <v>1606564</v>
          </cell>
          <cell r="B680" t="str">
            <v>2X8 EVO AIR FRAME, HANDLE BASE</v>
          </cell>
          <cell r="C680" t="str">
            <v>EA</v>
          </cell>
          <cell r="D680" t="str">
            <v>RM100</v>
          </cell>
          <cell r="E680">
            <v>0</v>
          </cell>
          <cell r="G680">
            <v>1606564</v>
          </cell>
        </row>
        <row r="681">
          <cell r="A681">
            <v>1606608</v>
          </cell>
          <cell r="B681" t="str">
            <v>2X8 EVO AIR FRAME, HANDLE BASE II</v>
          </cell>
          <cell r="C681" t="str">
            <v>EA</v>
          </cell>
          <cell r="D681" t="str">
            <v>RM100</v>
          </cell>
          <cell r="E681">
            <v>0</v>
          </cell>
          <cell r="G681">
            <v>1606608</v>
          </cell>
        </row>
        <row r="682">
          <cell r="A682">
            <v>1606614</v>
          </cell>
          <cell r="B682" t="str">
            <v>EVO FRAME,4' NOM CROSS, HNDL</v>
          </cell>
          <cell r="C682" t="str">
            <v>EA</v>
          </cell>
          <cell r="D682" t="str">
            <v>RM100</v>
          </cell>
          <cell r="E682">
            <v>0</v>
          </cell>
          <cell r="G682">
            <v>1606614</v>
          </cell>
        </row>
        <row r="683">
          <cell r="A683">
            <v>1606623</v>
          </cell>
          <cell r="B683" t="str">
            <v>CU,12OZ,BENT Z,1"x3/4"x6",10'LONG</v>
          </cell>
          <cell r="C683" t="str">
            <v>EA</v>
          </cell>
          <cell r="D683" t="str">
            <v>MA100</v>
          </cell>
          <cell r="E683">
            <v>34.643999999999998</v>
          </cell>
          <cell r="G683">
            <v>1606623</v>
          </cell>
        </row>
        <row r="684">
          <cell r="A684">
            <v>1606651</v>
          </cell>
          <cell r="B684" t="str">
            <v>ASSY,FLOOR ONLY,PHILIPS,FLOATING</v>
          </cell>
          <cell r="C684" t="str">
            <v>EA</v>
          </cell>
          <cell r="D684" t="str">
            <v>RM100</v>
          </cell>
          <cell r="E684">
            <v>184.64304000000001</v>
          </cell>
          <cell r="G684">
            <v>1606651</v>
          </cell>
        </row>
        <row r="685">
          <cell r="A685">
            <v>1606672</v>
          </cell>
          <cell r="B685" t="str">
            <v>PNEUMATIC SYSTEM CARTRIDGE CORE,48" ALT</v>
          </cell>
          <cell r="C685" t="str">
            <v>EA</v>
          </cell>
          <cell r="D685" t="str">
            <v>RM100</v>
          </cell>
          <cell r="E685">
            <v>97.2</v>
          </cell>
          <cell r="G685">
            <v>1606672</v>
          </cell>
        </row>
        <row r="686">
          <cell r="A686">
            <v>1606716</v>
          </cell>
          <cell r="B686" t="str">
            <v>LADDER,6',FG,PLATFORM STEP,300LB CAP</v>
          </cell>
          <cell r="C686" t="str">
            <v>EA</v>
          </cell>
          <cell r="D686" t="str">
            <v>RM100</v>
          </cell>
          <cell r="E686">
            <v>129.33600000000001</v>
          </cell>
          <cell r="G686">
            <v>1606716</v>
          </cell>
        </row>
        <row r="687">
          <cell r="A687">
            <v>1606717</v>
          </cell>
          <cell r="B687" t="str">
            <v>LADDER,8',FG,PLATFORM STEP,300LB CAP</v>
          </cell>
          <cell r="C687" t="str">
            <v>EA</v>
          </cell>
          <cell r="D687" t="str">
            <v>RM100</v>
          </cell>
          <cell r="E687">
            <v>188.49</v>
          </cell>
          <cell r="G687">
            <v>1606717</v>
          </cell>
        </row>
        <row r="688">
          <cell r="A688">
            <v>1606878</v>
          </cell>
          <cell r="B688" t="str">
            <v>DEC DOOR CORE; 71.75X21.25</v>
          </cell>
          <cell r="C688" t="str">
            <v>EA</v>
          </cell>
          <cell r="D688" t="str">
            <v>MA100</v>
          </cell>
          <cell r="E688">
            <v>200.42500000000001</v>
          </cell>
          <cell r="G688">
            <v>1606878</v>
          </cell>
        </row>
        <row r="689">
          <cell r="A689">
            <v>1606881</v>
          </cell>
          <cell r="B689" t="str">
            <v>DEC DOOR CORE; 71.75X21.25 W/VENTS</v>
          </cell>
          <cell r="C689" t="str">
            <v>EA</v>
          </cell>
          <cell r="D689" t="str">
            <v>MA100</v>
          </cell>
          <cell r="E689">
            <v>200.42500000000001</v>
          </cell>
          <cell r="G689">
            <v>1606881</v>
          </cell>
        </row>
        <row r="690">
          <cell r="A690">
            <v>1606883</v>
          </cell>
          <cell r="B690" t="str">
            <v>DJ ASSY; 72.5X22 DJ CO</v>
          </cell>
          <cell r="C690" t="str">
            <v>EA</v>
          </cell>
          <cell r="D690" t="str">
            <v>MA100</v>
          </cell>
          <cell r="E690">
            <v>34.411799999999999</v>
          </cell>
          <cell r="G690">
            <v>1606883</v>
          </cell>
        </row>
        <row r="691">
          <cell r="A691">
            <v>1606941</v>
          </cell>
          <cell r="B691" t="str">
            <v>10 GHZ HINGE ASSEMBLY</v>
          </cell>
          <cell r="C691" t="str">
            <v>EA</v>
          </cell>
          <cell r="D691" t="str">
            <v>MA100</v>
          </cell>
          <cell r="E691">
            <v>34.466700000000003</v>
          </cell>
          <cell r="G691">
            <v>1606941</v>
          </cell>
        </row>
        <row r="692">
          <cell r="A692">
            <v>1606942</v>
          </cell>
          <cell r="B692" t="str">
            <v>10 GHZ LATCH ASSEMBLY</v>
          </cell>
          <cell r="C692" t="str">
            <v>EA</v>
          </cell>
          <cell r="D692" t="str">
            <v>MA100</v>
          </cell>
          <cell r="E692">
            <v>0</v>
          </cell>
          <cell r="G692">
            <v>1606942</v>
          </cell>
        </row>
        <row r="693">
          <cell r="A693">
            <v>1606943</v>
          </cell>
          <cell r="B693" t="str">
            <v>DOOR HANDLE ASSEMBLY</v>
          </cell>
          <cell r="C693" t="str">
            <v>EA</v>
          </cell>
          <cell r="D693" t="str">
            <v>MA100</v>
          </cell>
          <cell r="E693">
            <v>0</v>
          </cell>
          <cell r="G693">
            <v>1606943</v>
          </cell>
        </row>
        <row r="694">
          <cell r="A694">
            <v>1607083</v>
          </cell>
          <cell r="B694" t="str">
            <v>PLT,BR,20"x20"x1/8",BLANK</v>
          </cell>
          <cell r="C694" t="str">
            <v>EA</v>
          </cell>
          <cell r="D694" t="str">
            <v>MA100</v>
          </cell>
          <cell r="E694">
            <v>55.639380000000003</v>
          </cell>
          <cell r="G694">
            <v>1607083</v>
          </cell>
        </row>
        <row r="695">
          <cell r="A695">
            <v>1607084</v>
          </cell>
          <cell r="B695" t="str">
            <v>PLT,LAP PLATE FOR BRASS PLATE [1607083]</v>
          </cell>
          <cell r="C695" t="str">
            <v>EA</v>
          </cell>
          <cell r="D695" t="str">
            <v>MA100</v>
          </cell>
          <cell r="E695">
            <v>203.86150000000001</v>
          </cell>
          <cell r="G695">
            <v>1607084</v>
          </cell>
        </row>
        <row r="696">
          <cell r="A696">
            <v>1607088</v>
          </cell>
          <cell r="B696" t="str">
            <v>ASSY,CONN,24.5"x24.5"OD,W/BLNK,BOLTED</v>
          </cell>
          <cell r="C696" t="str">
            <v>EA</v>
          </cell>
          <cell r="D696" t="str">
            <v>MA100</v>
          </cell>
          <cell r="E696">
            <v>280.15528</v>
          </cell>
          <cell r="G696">
            <v>1607088</v>
          </cell>
        </row>
        <row r="697">
          <cell r="A697">
            <v>1607738</v>
          </cell>
          <cell r="B697" t="str">
            <v>PLT,BR,12"x24"x3/16",MAIN PLT</v>
          </cell>
          <cell r="C697" t="str">
            <v>EA</v>
          </cell>
          <cell r="D697" t="str">
            <v>MA100</v>
          </cell>
          <cell r="E697">
            <v>102.9307</v>
          </cell>
          <cell r="G697">
            <v>1607738</v>
          </cell>
        </row>
        <row r="698">
          <cell r="A698">
            <v>1607743</v>
          </cell>
          <cell r="B698" t="str">
            <v>PLT,BR,8"X8"X1/8",BLNK,SUB PLT</v>
          </cell>
          <cell r="C698" t="str">
            <v>EA</v>
          </cell>
          <cell r="D698" t="str">
            <v>MA100</v>
          </cell>
          <cell r="E698">
            <v>37.059629999999999</v>
          </cell>
          <cell r="G698">
            <v>1607743</v>
          </cell>
        </row>
        <row r="699">
          <cell r="A699">
            <v>1607744</v>
          </cell>
          <cell r="B699" t="str">
            <v>ASSY,CONN,BR,12x24-8X8-2</v>
          </cell>
          <cell r="C699" t="str">
            <v>EA</v>
          </cell>
          <cell r="D699" t="str">
            <v>MA100</v>
          </cell>
          <cell r="E699">
            <v>236.56556</v>
          </cell>
          <cell r="G699">
            <v>1607744</v>
          </cell>
        </row>
        <row r="700">
          <cell r="A700">
            <v>1608082</v>
          </cell>
          <cell r="B700" t="str">
            <v>PANEL,LNRF,4FT,EVO,WINDOW</v>
          </cell>
          <cell r="C700" t="str">
            <v>EA</v>
          </cell>
          <cell r="D700" t="str">
            <v>MA100</v>
          </cell>
          <cell r="E700">
            <v>0</v>
          </cell>
          <cell r="G700">
            <v>1608082</v>
          </cell>
        </row>
        <row r="701">
          <cell r="A701">
            <v>1608083</v>
          </cell>
          <cell r="B701" t="str">
            <v>PANEL,LNRF,4FT,EVO,BLOWOUT DOOR</v>
          </cell>
          <cell r="C701" t="str">
            <v>EA</v>
          </cell>
          <cell r="D701" t="str">
            <v>MA100</v>
          </cell>
          <cell r="E701">
            <v>0</v>
          </cell>
          <cell r="G701">
            <v>1608083</v>
          </cell>
        </row>
        <row r="702">
          <cell r="A702">
            <v>1608084</v>
          </cell>
          <cell r="B702" t="str">
            <v>PANEL,LNRF,4FT,EVO,WINDOW &amp; BLOWOUT DOOR</v>
          </cell>
          <cell r="C702" t="str">
            <v>EA</v>
          </cell>
          <cell r="D702" t="str">
            <v>MA100</v>
          </cell>
          <cell r="E702">
            <v>0</v>
          </cell>
          <cell r="G702">
            <v>1608084</v>
          </cell>
        </row>
        <row r="703">
          <cell r="A703">
            <v>1608085</v>
          </cell>
          <cell r="B703" t="str">
            <v>PANEL,RNRF,4FT,EVO,WINDOW</v>
          </cell>
          <cell r="C703" t="str">
            <v>EA</v>
          </cell>
          <cell r="D703" t="str">
            <v>MA100</v>
          </cell>
          <cell r="E703">
            <v>0</v>
          </cell>
          <cell r="G703">
            <v>1608085</v>
          </cell>
        </row>
        <row r="704">
          <cell r="A704">
            <v>1608086</v>
          </cell>
          <cell r="B704" t="str">
            <v>PANEL,RNRF,4FT,EVO,BLOWOUT DOOR</v>
          </cell>
          <cell r="C704" t="str">
            <v>EA</v>
          </cell>
          <cell r="D704" t="str">
            <v>MA100</v>
          </cell>
          <cell r="E704">
            <v>0</v>
          </cell>
          <cell r="G704">
            <v>1608086</v>
          </cell>
        </row>
        <row r="705">
          <cell r="A705">
            <v>1608087</v>
          </cell>
          <cell r="B705" t="str">
            <v>PANEL,RNRF,4FT,EVO,WINDOW &amp; BLOWOUT DOOR</v>
          </cell>
          <cell r="C705" t="str">
            <v>EA</v>
          </cell>
          <cell r="D705" t="str">
            <v>MA100</v>
          </cell>
          <cell r="E705">
            <v>0</v>
          </cell>
          <cell r="G705">
            <v>1608087</v>
          </cell>
        </row>
        <row r="706">
          <cell r="A706">
            <v>1608088</v>
          </cell>
          <cell r="B706" t="str">
            <v>PANEL,LRF,4FT,EVO,WINDOW</v>
          </cell>
          <cell r="C706" t="str">
            <v>EA</v>
          </cell>
          <cell r="D706" t="str">
            <v>MA100</v>
          </cell>
          <cell r="E706">
            <v>0</v>
          </cell>
          <cell r="G706">
            <v>1608088</v>
          </cell>
        </row>
        <row r="707">
          <cell r="A707">
            <v>1608089</v>
          </cell>
          <cell r="B707" t="str">
            <v>PANEL,LRF,4FT,EVO,BLOWOUT DOOR</v>
          </cell>
          <cell r="C707" t="str">
            <v>EA</v>
          </cell>
          <cell r="D707" t="str">
            <v>MA100</v>
          </cell>
          <cell r="E707">
            <v>0</v>
          </cell>
          <cell r="G707">
            <v>1608089</v>
          </cell>
        </row>
        <row r="708">
          <cell r="A708">
            <v>1608090</v>
          </cell>
          <cell r="B708" t="str">
            <v>PANEL,LRF,4FT,EVO,WINDOW &amp; BLOWOUT DOOR</v>
          </cell>
          <cell r="C708" t="str">
            <v>EA</v>
          </cell>
          <cell r="D708" t="str">
            <v>MA100</v>
          </cell>
          <cell r="E708">
            <v>0</v>
          </cell>
          <cell r="G708">
            <v>1608090</v>
          </cell>
        </row>
        <row r="709">
          <cell r="A709">
            <v>1608091</v>
          </cell>
          <cell r="B709" t="str">
            <v>PANEL,RRF,4FT,EVO,WINDOW</v>
          </cell>
          <cell r="C709" t="str">
            <v>EA</v>
          </cell>
          <cell r="D709" t="str">
            <v>MA100</v>
          </cell>
          <cell r="E709">
            <v>0</v>
          </cell>
          <cell r="G709">
            <v>1608091</v>
          </cell>
        </row>
        <row r="710">
          <cell r="A710">
            <v>1608092</v>
          </cell>
          <cell r="B710" t="str">
            <v>PANEL,RRF,4FT,EVO,BLOWOUT DOOR</v>
          </cell>
          <cell r="C710" t="str">
            <v>EA</v>
          </cell>
          <cell r="D710" t="str">
            <v>MA100</v>
          </cell>
          <cell r="E710">
            <v>0</v>
          </cell>
          <cell r="G710">
            <v>1608092</v>
          </cell>
        </row>
        <row r="711">
          <cell r="A711">
            <v>1608093</v>
          </cell>
          <cell r="B711" t="str">
            <v>PANEL,RRF,4FT,EVO,WINDOW &amp; BLOWOUT DOOR</v>
          </cell>
          <cell r="C711" t="str">
            <v>EA</v>
          </cell>
          <cell r="D711" t="str">
            <v>MA100</v>
          </cell>
          <cell r="E711">
            <v>0</v>
          </cell>
          <cell r="G711">
            <v>1608093</v>
          </cell>
        </row>
        <row r="712">
          <cell r="A712">
            <v>1608136</v>
          </cell>
          <cell r="B712" t="str">
            <v>PLT,BR,20"X20"X1/8",3DB3,3DB9,1WG2"</v>
          </cell>
          <cell r="C712" t="str">
            <v>EA</v>
          </cell>
          <cell r="D712" t="str">
            <v>MA100</v>
          </cell>
          <cell r="E712">
            <v>65.930109999999999</v>
          </cell>
          <cell r="G712">
            <v>1608136</v>
          </cell>
        </row>
        <row r="713">
          <cell r="A713">
            <v>1608148</v>
          </cell>
          <cell r="B713" t="str">
            <v>STRUT,GALV,4-7/8x1-5/8x20',DUAL 2-7/16</v>
          </cell>
          <cell r="C713" t="str">
            <v>EA</v>
          </cell>
          <cell r="D713" t="str">
            <v>RM100</v>
          </cell>
          <cell r="E713">
            <v>150.80000000000001</v>
          </cell>
          <cell r="G713">
            <v>1608148</v>
          </cell>
        </row>
        <row r="714">
          <cell r="A714">
            <v>1608166</v>
          </cell>
          <cell r="B714" t="str">
            <v>VENT,CRYO,ALUM6X24 W/14X14X1/4,5-3/4"END</v>
          </cell>
          <cell r="C714" t="str">
            <v>EA</v>
          </cell>
          <cell r="D714" t="str">
            <v>RM100</v>
          </cell>
          <cell r="E714">
            <v>0</v>
          </cell>
          <cell r="G714">
            <v>1608166</v>
          </cell>
        </row>
        <row r="715">
          <cell r="A715">
            <v>1608206</v>
          </cell>
          <cell r="B715" t="str">
            <v>DR CORE; 23.25X35.25X2</v>
          </cell>
          <cell r="C715" t="str">
            <v>EA</v>
          </cell>
          <cell r="D715" t="str">
            <v>MA100</v>
          </cell>
          <cell r="E715">
            <v>71.387500000000003</v>
          </cell>
          <cell r="G715">
            <v>1608206</v>
          </cell>
        </row>
        <row r="716">
          <cell r="A716">
            <v>1608209</v>
          </cell>
          <cell r="B716" t="str">
            <v>DEC STD HEADER TRIM; 2X37.25</v>
          </cell>
          <cell r="C716" t="str">
            <v>EA</v>
          </cell>
          <cell r="D716" t="str">
            <v>RM100</v>
          </cell>
          <cell r="E716">
            <v>0</v>
          </cell>
          <cell r="G716">
            <v>1608209</v>
          </cell>
        </row>
        <row r="717">
          <cell r="A717">
            <v>1608210</v>
          </cell>
          <cell r="B717" t="str">
            <v>LIGHT BRUSHED BRIGHT CHROME</v>
          </cell>
          <cell r="C717" t="str">
            <v>EA</v>
          </cell>
          <cell r="D717" t="str">
            <v>RM100</v>
          </cell>
          <cell r="E717">
            <v>0</v>
          </cell>
          <cell r="G717">
            <v>1608210</v>
          </cell>
        </row>
        <row r="718">
          <cell r="A718">
            <v>1608213</v>
          </cell>
          <cell r="B718" t="str">
            <v>2'X3' C.O. DEC DR JAMB</v>
          </cell>
          <cell r="C718" t="str">
            <v>EA</v>
          </cell>
          <cell r="D718" t="str">
            <v>MA100</v>
          </cell>
          <cell r="E718">
            <v>149.6234</v>
          </cell>
          <cell r="G718">
            <v>1608213</v>
          </cell>
        </row>
        <row r="719">
          <cell r="A719">
            <v>1608267</v>
          </cell>
          <cell r="B719" t="str">
            <v>CRYO, HITACHI, 4" ID, 20 3/8" LONG</v>
          </cell>
          <cell r="C719" t="str">
            <v>EA</v>
          </cell>
          <cell r="D719" t="str">
            <v>MA100</v>
          </cell>
          <cell r="E719">
            <v>320</v>
          </cell>
          <cell r="G719">
            <v>1608267</v>
          </cell>
        </row>
        <row r="720">
          <cell r="A720">
            <v>1608344</v>
          </cell>
          <cell r="B720" t="str">
            <v>CPA-8x8-B-2N,2S,2K,1W</v>
          </cell>
          <cell r="C720" t="str">
            <v>EA</v>
          </cell>
          <cell r="D720" t="str">
            <v>MA100</v>
          </cell>
          <cell r="E720">
            <v>195.37476000000001</v>
          </cell>
          <cell r="G720">
            <v>1608344</v>
          </cell>
        </row>
        <row r="721">
          <cell r="A721">
            <v>1608886</v>
          </cell>
          <cell r="B721" t="str">
            <v>CRYO,TOSHIBA,6"X30",2 END FLNG</v>
          </cell>
          <cell r="C721" t="str">
            <v>EA</v>
          </cell>
          <cell r="D721" t="str">
            <v>RM100</v>
          </cell>
          <cell r="E721">
            <v>399</v>
          </cell>
          <cell r="G721">
            <v>1608886</v>
          </cell>
        </row>
        <row r="722">
          <cell r="A722">
            <v>1608968</v>
          </cell>
          <cell r="B722" t="str">
            <v>PLT, BR,6"X6"X1/8",2DB9</v>
          </cell>
          <cell r="C722" t="str">
            <v>EA</v>
          </cell>
          <cell r="D722" t="str">
            <v>MA100</v>
          </cell>
          <cell r="E722">
            <v>19.046150000000001</v>
          </cell>
          <cell r="G722">
            <v>1608968</v>
          </cell>
        </row>
        <row r="723">
          <cell r="A723">
            <v>1608970</v>
          </cell>
          <cell r="B723" t="str">
            <v>RH WINDOW NRF PANEL FOR 8'T EVO AIR</v>
          </cell>
          <cell r="C723" t="str">
            <v>EA</v>
          </cell>
          <cell r="D723" t="str">
            <v>MA100</v>
          </cell>
          <cell r="E723">
            <v>197.995</v>
          </cell>
          <cell r="G723">
            <v>1608970</v>
          </cell>
        </row>
        <row r="724">
          <cell r="A724">
            <v>1608971</v>
          </cell>
          <cell r="B724" t="str">
            <v>RH RF PANEL FOR 8'T EVO W/ WINDOW</v>
          </cell>
          <cell r="C724" t="str">
            <v>EA</v>
          </cell>
          <cell r="D724" t="str">
            <v>MA100</v>
          </cell>
          <cell r="E724">
            <v>157.435</v>
          </cell>
          <cell r="G724">
            <v>1608971</v>
          </cell>
        </row>
        <row r="725">
          <cell r="A725">
            <v>1608972</v>
          </cell>
          <cell r="B725" t="str">
            <v>EVO44 4X8 DOOR SLAB,RH,WIN</v>
          </cell>
          <cell r="C725" t="str">
            <v>EA</v>
          </cell>
          <cell r="D725" t="str">
            <v>MA100</v>
          </cell>
          <cell r="E725">
            <v>2848.3113400000002</v>
          </cell>
          <cell r="G725">
            <v>1608972</v>
          </cell>
        </row>
        <row r="726">
          <cell r="A726">
            <v>1608973</v>
          </cell>
          <cell r="B726" t="str">
            <v>DO NOT USE</v>
          </cell>
          <cell r="C726" t="str">
            <v>EA</v>
          </cell>
          <cell r="D726" t="str">
            <v>MA100</v>
          </cell>
          <cell r="E726">
            <v>533.10199999999998</v>
          </cell>
          <cell r="G726">
            <v>1608973</v>
          </cell>
        </row>
        <row r="727">
          <cell r="A727">
            <v>1608974</v>
          </cell>
          <cell r="B727" t="str">
            <v>DO NOT USE</v>
          </cell>
          <cell r="C727" t="str">
            <v>EA</v>
          </cell>
          <cell r="D727" t="str">
            <v>MA100</v>
          </cell>
          <cell r="E727">
            <v>63.36</v>
          </cell>
          <cell r="G727">
            <v>1608974</v>
          </cell>
        </row>
        <row r="728">
          <cell r="A728">
            <v>1608975</v>
          </cell>
          <cell r="B728" t="str">
            <v>EVO44 4X8 RH JAMB</v>
          </cell>
          <cell r="C728" t="str">
            <v>EA</v>
          </cell>
          <cell r="D728" t="str">
            <v>MA100</v>
          </cell>
          <cell r="E728">
            <v>2633.7701999999999</v>
          </cell>
          <cell r="G728">
            <v>1608975</v>
          </cell>
        </row>
        <row r="729">
          <cell r="A729">
            <v>1608976</v>
          </cell>
          <cell r="B729" t="str">
            <v>OBSOLETE</v>
          </cell>
          <cell r="C729" t="str">
            <v>EA</v>
          </cell>
          <cell r="D729" t="str">
            <v>MA100</v>
          </cell>
          <cell r="E729">
            <v>1630.6324</v>
          </cell>
          <cell r="G729">
            <v>1608976</v>
          </cell>
        </row>
        <row r="730">
          <cell r="A730">
            <v>1608988</v>
          </cell>
          <cell r="B730" t="str">
            <v>EVO44,AIR,4X8,RH,IS,BA,AO,WI</v>
          </cell>
          <cell r="C730" t="str">
            <v>EA</v>
          </cell>
          <cell r="D730" t="str">
            <v>MA100</v>
          </cell>
          <cell r="E730">
            <v>9025.0050900000006</v>
          </cell>
          <cell r="G730">
            <v>1608988</v>
          </cell>
        </row>
        <row r="731">
          <cell r="A731">
            <v>1608995</v>
          </cell>
          <cell r="B731" t="str">
            <v>CRYO,TOSHIBA,6"X24",2 END FLNG</v>
          </cell>
          <cell r="C731" t="str">
            <v>EA</v>
          </cell>
          <cell r="D731" t="str">
            <v>RM100</v>
          </cell>
          <cell r="E731">
            <v>324</v>
          </cell>
          <cell r="G731">
            <v>1608995</v>
          </cell>
        </row>
        <row r="732">
          <cell r="A732">
            <v>1609024</v>
          </cell>
          <cell r="B732" t="str">
            <v>CRYO,TOSHIBA,6"X31.375",2 END FLNG</v>
          </cell>
          <cell r="C732" t="str">
            <v>EA</v>
          </cell>
          <cell r="D732" t="str">
            <v>RM100</v>
          </cell>
          <cell r="E732">
            <v>324</v>
          </cell>
          <cell r="G732">
            <v>1609024</v>
          </cell>
        </row>
        <row r="733">
          <cell r="A733">
            <v>1609424</v>
          </cell>
          <cell r="B733" t="str">
            <v>VENT,WG,W/FLG (BRS) 24.0X24.0</v>
          </cell>
          <cell r="C733" t="str">
            <v>EA</v>
          </cell>
          <cell r="D733" t="str">
            <v>MA100</v>
          </cell>
          <cell r="E733">
            <v>509.63832000000002</v>
          </cell>
          <cell r="G733">
            <v>1609424</v>
          </cell>
        </row>
        <row r="734">
          <cell r="A734">
            <v>1609427</v>
          </cell>
          <cell r="B734" t="str">
            <v>FLANGE,VENT,2.75X.75,BRASS,24.0</v>
          </cell>
          <cell r="C734" t="str">
            <v>FT</v>
          </cell>
          <cell r="D734" t="str">
            <v>MA100</v>
          </cell>
          <cell r="E734">
            <v>1.05064</v>
          </cell>
          <cell r="G734">
            <v>1609427</v>
          </cell>
        </row>
        <row r="735">
          <cell r="A735">
            <v>1610584</v>
          </cell>
          <cell r="B735" t="str">
            <v>PLT,BR,7"x10"x1/8",3DB9,2DB15,1DB25</v>
          </cell>
          <cell r="C735" t="str">
            <v>EA</v>
          </cell>
          <cell r="D735" t="str">
            <v>MA100</v>
          </cell>
          <cell r="E735">
            <v>125.19046</v>
          </cell>
          <cell r="G735">
            <v>1610584</v>
          </cell>
        </row>
        <row r="736">
          <cell r="A736">
            <v>1610678</v>
          </cell>
          <cell r="B736" t="str">
            <v>COLLAR,CANVAS FOR 12"X18" WGAV</v>
          </cell>
          <cell r="C736" t="str">
            <v>EA</v>
          </cell>
          <cell r="D736" t="str">
            <v>MA100</v>
          </cell>
          <cell r="E736">
            <v>0</v>
          </cell>
          <cell r="G736">
            <v>1610678</v>
          </cell>
        </row>
        <row r="737">
          <cell r="A737">
            <v>1610687</v>
          </cell>
          <cell r="B737" t="str">
            <v>PLATE,CONN BR15-1/2x15-1/2,(2)N</v>
          </cell>
          <cell r="C737" t="str">
            <v>EA</v>
          </cell>
          <cell r="D737" t="str">
            <v>MA100</v>
          </cell>
          <cell r="E737">
            <v>128.79432</v>
          </cell>
          <cell r="G737">
            <v>1610687</v>
          </cell>
        </row>
        <row r="738">
          <cell r="A738">
            <v>1610757</v>
          </cell>
          <cell r="B738" t="str">
            <v>VENT,CRYO SS 8X32 SIEMEN W/13-3/4X16X1/4</v>
          </cell>
          <cell r="C738" t="str">
            <v>EA</v>
          </cell>
          <cell r="D738" t="str">
            <v>RM100</v>
          </cell>
          <cell r="E738">
            <v>0</v>
          </cell>
          <cell r="G738">
            <v>1610757</v>
          </cell>
        </row>
        <row r="739">
          <cell r="A739">
            <v>1610885</v>
          </cell>
          <cell r="B739" t="str">
            <v>CRYO,TOSHIBA,4"X30",2 END FLANGE</v>
          </cell>
          <cell r="C739" t="str">
            <v>EA</v>
          </cell>
          <cell r="D739" t="str">
            <v>RM100</v>
          </cell>
          <cell r="E739">
            <v>198</v>
          </cell>
          <cell r="G739">
            <v>1610885</v>
          </cell>
        </row>
        <row r="740">
          <cell r="A740">
            <v>1611102</v>
          </cell>
          <cell r="B740" t="str">
            <v>VENT ASSY,12X18X1,STL 3/16 W/BRS FLG</v>
          </cell>
          <cell r="C740" t="str">
            <v>EA</v>
          </cell>
          <cell r="D740" t="str">
            <v>MA100</v>
          </cell>
          <cell r="E740">
            <v>558.43666668000003</v>
          </cell>
          <cell r="G740">
            <v>1611102</v>
          </cell>
        </row>
        <row r="741">
          <cell r="A741">
            <v>1611147</v>
          </cell>
          <cell r="B741" t="str">
            <v>FERRITE TILE CLG PANEL CUSTOM ASSY</v>
          </cell>
          <cell r="C741" t="str">
            <v>EA</v>
          </cell>
          <cell r="D741" t="str">
            <v>FG202</v>
          </cell>
          <cell r="E741">
            <v>142.845</v>
          </cell>
          <cell r="G741">
            <v>1611147</v>
          </cell>
        </row>
        <row r="742">
          <cell r="A742">
            <v>1611148</v>
          </cell>
          <cell r="B742" t="str">
            <v>FERRITE TILE CLG PANEL CUSTOM ASSY</v>
          </cell>
          <cell r="C742" t="str">
            <v>EA</v>
          </cell>
          <cell r="D742" t="str">
            <v>FG202</v>
          </cell>
          <cell r="E742">
            <v>142.845</v>
          </cell>
          <cell r="G742">
            <v>1611148</v>
          </cell>
        </row>
        <row r="743">
          <cell r="A743">
            <v>1611149</v>
          </cell>
          <cell r="B743" t="str">
            <v>FERRITE TILE CLG PANEL CUSTOM ASSY</v>
          </cell>
          <cell r="C743" t="str">
            <v>EA</v>
          </cell>
          <cell r="D743" t="str">
            <v>FG202</v>
          </cell>
          <cell r="E743">
            <v>142.845</v>
          </cell>
          <cell r="G743">
            <v>1611149</v>
          </cell>
        </row>
        <row r="744">
          <cell r="A744">
            <v>1611150</v>
          </cell>
          <cell r="B744" t="str">
            <v>FERRITE TILE PANELCUSTOM ASSY</v>
          </cell>
          <cell r="C744" t="str">
            <v>EA</v>
          </cell>
          <cell r="D744" t="str">
            <v>FG202</v>
          </cell>
          <cell r="E744">
            <v>103.9975</v>
          </cell>
          <cell r="G744">
            <v>1611150</v>
          </cell>
        </row>
        <row r="745">
          <cell r="A745">
            <v>1611151</v>
          </cell>
          <cell r="B745" t="str">
            <v>FERRITE TILE PANELCUSTOM ASSY</v>
          </cell>
          <cell r="C745" t="str">
            <v>EA</v>
          </cell>
          <cell r="D745" t="str">
            <v>FG202</v>
          </cell>
          <cell r="E745">
            <v>104</v>
          </cell>
          <cell r="G745">
            <v>1611151</v>
          </cell>
        </row>
        <row r="746">
          <cell r="A746">
            <v>1611152</v>
          </cell>
          <cell r="B746" t="str">
            <v>FERRITE TILE PANELCUSTOM ASSY</v>
          </cell>
          <cell r="C746" t="str">
            <v>EA</v>
          </cell>
          <cell r="D746" t="str">
            <v>FG202</v>
          </cell>
          <cell r="E746">
            <v>104</v>
          </cell>
          <cell r="G746">
            <v>1611152</v>
          </cell>
        </row>
        <row r="747">
          <cell r="A747">
            <v>1611153</v>
          </cell>
          <cell r="B747" t="str">
            <v>FERRITE TILE PANELCUSTOM ASSY</v>
          </cell>
          <cell r="C747" t="str">
            <v>EA</v>
          </cell>
          <cell r="D747" t="str">
            <v>FG202</v>
          </cell>
          <cell r="E747">
            <v>104</v>
          </cell>
          <cell r="G747">
            <v>1611153</v>
          </cell>
        </row>
        <row r="748">
          <cell r="A748">
            <v>1611154</v>
          </cell>
          <cell r="B748" t="str">
            <v>FERRITE TILE PANELCUSTOM ASSY</v>
          </cell>
          <cell r="C748" t="str">
            <v>EA</v>
          </cell>
          <cell r="D748" t="str">
            <v>FG202</v>
          </cell>
          <cell r="E748">
            <v>103.995</v>
          </cell>
          <cell r="G748">
            <v>1611154</v>
          </cell>
        </row>
        <row r="749">
          <cell r="A749">
            <v>1611155</v>
          </cell>
          <cell r="B749" t="str">
            <v>FERRITE TILE PANELCUSTOM ASSY</v>
          </cell>
          <cell r="C749" t="str">
            <v>EA</v>
          </cell>
          <cell r="D749" t="str">
            <v>FG202</v>
          </cell>
          <cell r="E749">
            <v>104</v>
          </cell>
          <cell r="G749">
            <v>1611155</v>
          </cell>
        </row>
        <row r="750">
          <cell r="A750">
            <v>1611156</v>
          </cell>
          <cell r="B750" t="str">
            <v>FERRITE TILE PANELCUSTOM ASSY</v>
          </cell>
          <cell r="C750" t="str">
            <v>EA</v>
          </cell>
          <cell r="D750" t="str">
            <v>FG202</v>
          </cell>
          <cell r="E750">
            <v>103.995</v>
          </cell>
          <cell r="G750">
            <v>1611156</v>
          </cell>
        </row>
        <row r="751">
          <cell r="A751">
            <v>1611157</v>
          </cell>
          <cell r="B751" t="str">
            <v>FERRITE TILE PANELCUSTOM ASSY</v>
          </cell>
          <cell r="C751" t="str">
            <v>EA</v>
          </cell>
          <cell r="D751" t="str">
            <v>FG202</v>
          </cell>
          <cell r="E751">
            <v>104</v>
          </cell>
          <cell r="G751">
            <v>1611157</v>
          </cell>
        </row>
        <row r="752">
          <cell r="A752">
            <v>1611158</v>
          </cell>
          <cell r="B752" t="str">
            <v>FERRITE TILE PANELCUSTOM ASSY</v>
          </cell>
          <cell r="C752" t="str">
            <v>EA</v>
          </cell>
          <cell r="D752" t="str">
            <v>FG202</v>
          </cell>
          <cell r="E752">
            <v>103.9975</v>
          </cell>
          <cell r="G752">
            <v>1611158</v>
          </cell>
        </row>
        <row r="753">
          <cell r="A753">
            <v>1611159</v>
          </cell>
          <cell r="B753" t="str">
            <v>FERRITE TILE PANELCUSTOM ASSY</v>
          </cell>
          <cell r="C753" t="str">
            <v>EA</v>
          </cell>
          <cell r="D753" t="str">
            <v>FG202</v>
          </cell>
          <cell r="E753">
            <v>103.995</v>
          </cell>
          <cell r="G753">
            <v>1611159</v>
          </cell>
        </row>
        <row r="754">
          <cell r="A754">
            <v>1611160</v>
          </cell>
          <cell r="B754" t="str">
            <v>FERRITE TILE PANELCUSTOM ASSY</v>
          </cell>
          <cell r="C754" t="str">
            <v>EA</v>
          </cell>
          <cell r="D754" t="str">
            <v>FG202</v>
          </cell>
          <cell r="E754">
            <v>104</v>
          </cell>
          <cell r="G754">
            <v>1611160</v>
          </cell>
        </row>
        <row r="755">
          <cell r="A755">
            <v>1611161</v>
          </cell>
          <cell r="B755" t="str">
            <v>FERRITE TILE PANELCUSTOM ASSY</v>
          </cell>
          <cell r="C755" t="str">
            <v>EA</v>
          </cell>
          <cell r="D755" t="str">
            <v>FG202</v>
          </cell>
          <cell r="E755">
            <v>103.99666667</v>
          </cell>
          <cell r="G755">
            <v>1611161</v>
          </cell>
        </row>
        <row r="756">
          <cell r="A756">
            <v>1611162</v>
          </cell>
          <cell r="B756" t="str">
            <v>FERRITE TILE PANELCUSTOM ASSY</v>
          </cell>
          <cell r="C756" t="str">
            <v>EA</v>
          </cell>
          <cell r="D756" t="str">
            <v>FG202</v>
          </cell>
          <cell r="E756">
            <v>103.995</v>
          </cell>
          <cell r="G756">
            <v>1611162</v>
          </cell>
        </row>
        <row r="757">
          <cell r="A757">
            <v>1611163</v>
          </cell>
          <cell r="B757" t="str">
            <v>LFB,BLU FLEX 1 1/2" THK CUSTOM</v>
          </cell>
          <cell r="C757" t="str">
            <v>EA</v>
          </cell>
          <cell r="D757" t="str">
            <v>FG201</v>
          </cell>
          <cell r="E757">
            <v>33.229999999999997</v>
          </cell>
          <cell r="G757">
            <v>1611163</v>
          </cell>
        </row>
        <row r="758">
          <cell r="A758">
            <v>1611164</v>
          </cell>
          <cell r="B758" t="str">
            <v>LFB,BLU FLEX 1 1/2" THK CUSTOM</v>
          </cell>
          <cell r="C758" t="str">
            <v>EA</v>
          </cell>
          <cell r="D758" t="str">
            <v>FG201</v>
          </cell>
          <cell r="E758">
            <v>33.229999999999997</v>
          </cell>
          <cell r="G758">
            <v>1611164</v>
          </cell>
        </row>
        <row r="759">
          <cell r="A759">
            <v>1611165</v>
          </cell>
          <cell r="B759" t="str">
            <v>LFB,BLU FLEX 1 1/2" THK CUSTOM</v>
          </cell>
          <cell r="C759" t="str">
            <v>EA</v>
          </cell>
          <cell r="D759" t="str">
            <v>FG201</v>
          </cell>
          <cell r="E759">
            <v>33.229999999999997</v>
          </cell>
          <cell r="G759">
            <v>1611165</v>
          </cell>
        </row>
        <row r="760">
          <cell r="A760">
            <v>1611166</v>
          </cell>
          <cell r="B760" t="str">
            <v>LFB,BLU FLEX 1 1/2" THK CUSTOM</v>
          </cell>
          <cell r="C760" t="str">
            <v>EA</v>
          </cell>
          <cell r="D760" t="str">
            <v>FG201</v>
          </cell>
          <cell r="E760">
            <v>33.229999999999997</v>
          </cell>
          <cell r="G760">
            <v>1611166</v>
          </cell>
        </row>
        <row r="761">
          <cell r="A761">
            <v>1611167</v>
          </cell>
          <cell r="B761" t="str">
            <v>LFB,BLU FLEX 1 1/2" THK CUSTOM</v>
          </cell>
          <cell r="C761" t="str">
            <v>EA</v>
          </cell>
          <cell r="D761" t="str">
            <v>FG201</v>
          </cell>
          <cell r="E761">
            <v>33.229999999999997</v>
          </cell>
          <cell r="G761">
            <v>1611167</v>
          </cell>
        </row>
        <row r="762">
          <cell r="A762">
            <v>1611168</v>
          </cell>
          <cell r="B762" t="str">
            <v>LFB,BLU FLEX 1 1/2" THK CUSTOM</v>
          </cell>
          <cell r="C762" t="str">
            <v>EA</v>
          </cell>
          <cell r="D762" t="str">
            <v>FG201</v>
          </cell>
          <cell r="E762">
            <v>33.229999999999997</v>
          </cell>
          <cell r="G762">
            <v>1611168</v>
          </cell>
        </row>
        <row r="763">
          <cell r="A763">
            <v>1611169</v>
          </cell>
          <cell r="B763" t="str">
            <v>LFB,BLU FLEX 1 1/2" THK CUSTOM</v>
          </cell>
          <cell r="C763" t="str">
            <v>EA</v>
          </cell>
          <cell r="D763" t="str">
            <v>FG201</v>
          </cell>
          <cell r="E763">
            <v>33.229999999999997</v>
          </cell>
          <cell r="G763">
            <v>1611169</v>
          </cell>
        </row>
        <row r="764">
          <cell r="A764">
            <v>1611171</v>
          </cell>
          <cell r="B764" t="str">
            <v>ASSY,5240-30,2'x2'DR,CUSTOM</v>
          </cell>
          <cell r="C764" t="str">
            <v>EA</v>
          </cell>
          <cell r="D764" t="str">
            <v>MA100</v>
          </cell>
          <cell r="E764">
            <v>1812.5997600000001</v>
          </cell>
          <cell r="G764">
            <v>1611171</v>
          </cell>
        </row>
        <row r="765">
          <cell r="A765">
            <v>1611175</v>
          </cell>
          <cell r="B765" t="str">
            <v>CONN,K,BULKHEAD,HASCO P/N 1032-10SF</v>
          </cell>
          <cell r="C765" t="str">
            <v>EA</v>
          </cell>
          <cell r="D765" t="str">
            <v>RM100</v>
          </cell>
          <cell r="E765">
            <v>89.15</v>
          </cell>
          <cell r="G765">
            <v>1611175</v>
          </cell>
        </row>
        <row r="766">
          <cell r="A766">
            <v>1611184</v>
          </cell>
          <cell r="B766" t="str">
            <v>SCR,#10x1-1/4",RND HD W/ WASHER,STL</v>
          </cell>
          <cell r="C766" t="str">
            <v>EA</v>
          </cell>
          <cell r="D766" t="str">
            <v>RM100</v>
          </cell>
          <cell r="E766">
            <v>0.2034</v>
          </cell>
          <cell r="G766">
            <v>1611184</v>
          </cell>
        </row>
        <row r="767">
          <cell r="A767">
            <v>1611222</v>
          </cell>
          <cell r="B767" t="str">
            <v>PLATE, CONN BR 3/16x15 1/2 x15 1/2</v>
          </cell>
          <cell r="C767" t="str">
            <v>EA</v>
          </cell>
          <cell r="D767" t="str">
            <v>MA100</v>
          </cell>
          <cell r="E767">
            <v>114.38182</v>
          </cell>
          <cell r="G767">
            <v>1611222</v>
          </cell>
        </row>
        <row r="768">
          <cell r="A768">
            <v>1611277</v>
          </cell>
          <cell r="B768" t="str">
            <v>PANEL, 19" RACK, 3U W 3 SQ CUTOUTS</v>
          </cell>
          <cell r="C768" t="str">
            <v>EA</v>
          </cell>
          <cell r="D768" t="str">
            <v>MA100</v>
          </cell>
          <cell r="E768">
            <v>0</v>
          </cell>
          <cell r="G768">
            <v>1611277</v>
          </cell>
        </row>
        <row r="769">
          <cell r="A769">
            <v>1611355</v>
          </cell>
          <cell r="B769" t="str">
            <v>VENT,CRYO SS 6X24 SIEMENS 10 3/8-13 5/8</v>
          </cell>
          <cell r="C769" t="str">
            <v>EA</v>
          </cell>
          <cell r="D769" t="str">
            <v>RM100</v>
          </cell>
          <cell r="E769">
            <v>246</v>
          </cell>
          <cell r="G769">
            <v>1611355</v>
          </cell>
        </row>
        <row r="770">
          <cell r="A770">
            <v>1611700</v>
          </cell>
          <cell r="B770" t="str">
            <v>ASSY,5240-36,2'x2'DR,2" DR TRIM</v>
          </cell>
          <cell r="C770" t="str">
            <v>EA</v>
          </cell>
          <cell r="D770" t="str">
            <v>MA100</v>
          </cell>
          <cell r="E770">
            <v>3818.8538199999998</v>
          </cell>
          <cell r="G770">
            <v>1611700</v>
          </cell>
        </row>
        <row r="771">
          <cell r="A771">
            <v>1611703</v>
          </cell>
          <cell r="B771" t="str">
            <v>5240-36,2'x2' DR,COPPER SKIN ASSEMBLY</v>
          </cell>
          <cell r="C771" t="str">
            <v>EA</v>
          </cell>
          <cell r="D771" t="str">
            <v>MA420</v>
          </cell>
          <cell r="E771">
            <v>2999.3202500000002</v>
          </cell>
          <cell r="G771">
            <v>1611703</v>
          </cell>
        </row>
        <row r="772">
          <cell r="A772">
            <v>1611704</v>
          </cell>
          <cell r="B772" t="str">
            <v>5240-36,WOOD STRUCTURE,2'x2'C.O. DOOR</v>
          </cell>
          <cell r="C772" t="str">
            <v>EA</v>
          </cell>
          <cell r="D772" t="str">
            <v>MA420</v>
          </cell>
          <cell r="E772">
            <v>35.476030000000002</v>
          </cell>
          <cell r="G772">
            <v>1611704</v>
          </cell>
        </row>
        <row r="773">
          <cell r="A773">
            <v>1611705</v>
          </cell>
          <cell r="B773" t="str">
            <v>CU,24OZ,5240-36,SIDES</v>
          </cell>
          <cell r="C773" t="str">
            <v>EA</v>
          </cell>
          <cell r="D773" t="str">
            <v>MA420</v>
          </cell>
          <cell r="E773">
            <v>0</v>
          </cell>
          <cell r="G773">
            <v>1611705</v>
          </cell>
        </row>
        <row r="774">
          <cell r="A774">
            <v>1611706</v>
          </cell>
          <cell r="B774" t="str">
            <v>CU,24OZ,5240-36,TOP &amp; BOTTOM</v>
          </cell>
          <cell r="C774" t="str">
            <v>EA</v>
          </cell>
          <cell r="D774" t="str">
            <v>MA420</v>
          </cell>
          <cell r="E774">
            <v>0</v>
          </cell>
          <cell r="G774">
            <v>1611706</v>
          </cell>
        </row>
        <row r="775">
          <cell r="A775">
            <v>1611717</v>
          </cell>
          <cell r="B775" t="str">
            <v>PLYWOOD,34-1/2"x32-1/2"x3/4",ACX</v>
          </cell>
          <cell r="C775" t="str">
            <v>EA</v>
          </cell>
          <cell r="D775" t="str">
            <v>MA420</v>
          </cell>
          <cell r="E775">
            <v>0</v>
          </cell>
          <cell r="G775">
            <v>1611717</v>
          </cell>
        </row>
        <row r="776">
          <cell r="A776">
            <v>1611718</v>
          </cell>
          <cell r="B776" t="str">
            <v>PLYWOOD,34"x36"x3/4",ACX</v>
          </cell>
          <cell r="C776" t="str">
            <v>EA</v>
          </cell>
          <cell r="D776" t="str">
            <v>MA420</v>
          </cell>
          <cell r="E776">
            <v>0</v>
          </cell>
          <cell r="G776">
            <v>1611718</v>
          </cell>
        </row>
        <row r="777">
          <cell r="A777">
            <v>1611719</v>
          </cell>
          <cell r="B777" t="str">
            <v>PLYWOOD,34-1/2"x36"x3/4",ACX</v>
          </cell>
          <cell r="C777" t="str">
            <v>EA</v>
          </cell>
          <cell r="D777" t="str">
            <v>MA420</v>
          </cell>
          <cell r="E777">
            <v>0</v>
          </cell>
          <cell r="G777">
            <v>1611719</v>
          </cell>
        </row>
        <row r="778">
          <cell r="A778">
            <v>1611740</v>
          </cell>
          <cell r="B778" t="str">
            <v>5240-36,D/J,32-1/2"x34-1/2",2'x2'C.O. DR</v>
          </cell>
          <cell r="C778" t="str">
            <v>EA</v>
          </cell>
          <cell r="D778" t="str">
            <v>MA100</v>
          </cell>
          <cell r="E778">
            <v>34.930030000000002</v>
          </cell>
          <cell r="G778">
            <v>1611740</v>
          </cell>
        </row>
        <row r="779">
          <cell r="A779">
            <v>1611773</v>
          </cell>
          <cell r="B779" t="str">
            <v>D/J LUM,1-3/4"x4-1/4"x34-1/2"</v>
          </cell>
          <cell r="C779" t="str">
            <v>EA</v>
          </cell>
          <cell r="D779" t="str">
            <v>MA100</v>
          </cell>
          <cell r="E779">
            <v>8.5500000000000007</v>
          </cell>
          <cell r="G779">
            <v>1611773</v>
          </cell>
        </row>
        <row r="780">
          <cell r="A780">
            <v>1611774</v>
          </cell>
          <cell r="B780" t="str">
            <v>D/J LUM,1-3/4"x5-1/4"x24"</v>
          </cell>
          <cell r="C780" t="str">
            <v>EA</v>
          </cell>
          <cell r="D780" t="str">
            <v>MA100</v>
          </cell>
          <cell r="E780">
            <v>8.5500000000000007</v>
          </cell>
          <cell r="G780">
            <v>1611774</v>
          </cell>
        </row>
        <row r="781">
          <cell r="A781">
            <v>1611777</v>
          </cell>
          <cell r="B781" t="str">
            <v>PLYWOOD,32-1/2"x34-1/2"x3/4",ACX</v>
          </cell>
          <cell r="C781" t="str">
            <v>EA</v>
          </cell>
          <cell r="D781" t="str">
            <v>MA420</v>
          </cell>
          <cell r="E781">
            <v>7.1615900000000003</v>
          </cell>
          <cell r="G781">
            <v>1611777</v>
          </cell>
        </row>
        <row r="782">
          <cell r="A782">
            <v>1611927</v>
          </cell>
          <cell r="B782" t="str">
            <v>PLATE,CONN BR 15-1/2x15-1/2,USB2.0</v>
          </cell>
          <cell r="C782" t="str">
            <v>EA</v>
          </cell>
          <cell r="D782" t="str">
            <v>MA100</v>
          </cell>
          <cell r="E782">
            <v>85.556820000000002</v>
          </cell>
          <cell r="G782">
            <v>1611927</v>
          </cell>
        </row>
        <row r="783">
          <cell r="A783">
            <v>1611979</v>
          </cell>
          <cell r="B783" t="str">
            <v>VENT,CRYO ALUM 8X36 W/14X14X1/4, 4" END</v>
          </cell>
          <cell r="C783" t="str">
            <v>EA</v>
          </cell>
          <cell r="D783" t="str">
            <v>RM100</v>
          </cell>
          <cell r="E783">
            <v>120</v>
          </cell>
          <cell r="G783">
            <v>1611979</v>
          </cell>
        </row>
        <row r="784">
          <cell r="A784">
            <v>1612002</v>
          </cell>
          <cell r="B784" t="str">
            <v>ASSY,DR DEI 18X18 STD 24OZ CU TGL LTCH</v>
          </cell>
          <cell r="C784" t="str">
            <v>EA</v>
          </cell>
          <cell r="D784" t="str">
            <v>MA100</v>
          </cell>
          <cell r="E784">
            <v>385.48809999999997</v>
          </cell>
          <cell r="G784">
            <v>1612002</v>
          </cell>
        </row>
        <row r="785">
          <cell r="A785">
            <v>1612003</v>
          </cell>
          <cell r="B785" t="str">
            <v>ASSY,5240-30,18"x18"DR,2" DR TRIM</v>
          </cell>
          <cell r="C785" t="str">
            <v>EA</v>
          </cell>
          <cell r="D785" t="str">
            <v>MA100</v>
          </cell>
          <cell r="E785">
            <v>5699.9701500000001</v>
          </cell>
          <cell r="G785">
            <v>1612003</v>
          </cell>
        </row>
        <row r="786">
          <cell r="A786">
            <v>1612362</v>
          </cell>
          <cell r="B786" t="str">
            <v>EVO HINGE SWITCH BRACKET</v>
          </cell>
          <cell r="C786" t="str">
            <v>EA</v>
          </cell>
          <cell r="D786" t="str">
            <v>MA100</v>
          </cell>
          <cell r="E786">
            <v>0</v>
          </cell>
          <cell r="G786">
            <v>1612362</v>
          </cell>
        </row>
        <row r="787">
          <cell r="A787">
            <v>1612452</v>
          </cell>
          <cell r="B787" t="str">
            <v>SPCR,HNG ALUM 5-1/8X2-7/16X1/8 TAPERED</v>
          </cell>
          <cell r="C787" t="str">
            <v>EA</v>
          </cell>
          <cell r="D787" t="str">
            <v>RM100</v>
          </cell>
          <cell r="E787">
            <v>2</v>
          </cell>
          <cell r="G787">
            <v>1612452</v>
          </cell>
        </row>
        <row r="788">
          <cell r="A788">
            <v>1612483</v>
          </cell>
          <cell r="B788" t="str">
            <v>VENT,WG,W/FLG (BRS) 10.0 X 18.0</v>
          </cell>
          <cell r="C788" t="str">
            <v>EA</v>
          </cell>
          <cell r="D788" t="str">
            <v>MA100</v>
          </cell>
          <cell r="E788">
            <v>196.52985000000001</v>
          </cell>
          <cell r="G788">
            <v>1612483</v>
          </cell>
        </row>
        <row r="789">
          <cell r="A789">
            <v>1612486</v>
          </cell>
          <cell r="B789" t="str">
            <v>40MM CARTRIDGE CYLINDER SPACER</v>
          </cell>
          <cell r="C789" t="str">
            <v>EA</v>
          </cell>
          <cell r="D789" t="str">
            <v>MA100</v>
          </cell>
          <cell r="E789">
            <v>14.4125</v>
          </cell>
          <cell r="G789">
            <v>1612486</v>
          </cell>
        </row>
        <row r="790">
          <cell r="A790">
            <v>1612588</v>
          </cell>
          <cell r="B790" t="str">
            <v>PLT,MEDRAD INJECT MRXperion 24oz CU 6x6</v>
          </cell>
          <cell r="C790" t="str">
            <v>EA</v>
          </cell>
          <cell r="D790" t="str">
            <v>MA100</v>
          </cell>
          <cell r="E790">
            <v>14.60202</v>
          </cell>
          <cell r="G790">
            <v>1612588</v>
          </cell>
        </row>
        <row r="791">
          <cell r="A791">
            <v>1612837</v>
          </cell>
          <cell r="B791" t="str">
            <v>ASII 4' LH DOOR LEAF (FOR DBL DOOR)</v>
          </cell>
          <cell r="C791" t="str">
            <v>EA</v>
          </cell>
          <cell r="D791" t="str">
            <v>RM100</v>
          </cell>
          <cell r="E791">
            <v>0</v>
          </cell>
          <cell r="G791">
            <v>1612837</v>
          </cell>
        </row>
        <row r="792">
          <cell r="A792">
            <v>1612838</v>
          </cell>
          <cell r="B792" t="str">
            <v>ASII 2' RH DOOR LEAF (FOR DBL DOOR)</v>
          </cell>
          <cell r="C792" t="str">
            <v>EA</v>
          </cell>
          <cell r="D792" t="str">
            <v>RM100</v>
          </cell>
          <cell r="E792">
            <v>0</v>
          </cell>
          <cell r="G792">
            <v>1612838</v>
          </cell>
        </row>
        <row r="793">
          <cell r="A793">
            <v>1614012</v>
          </cell>
          <cell r="B793" t="str">
            <v>CPA-12x12-B-10B,2D9,2D15,1D25,3U,6WG 1/2</v>
          </cell>
          <cell r="C793" t="str">
            <v>EA</v>
          </cell>
          <cell r="D793" t="str">
            <v>MA100</v>
          </cell>
          <cell r="E793">
            <v>251.57660000000001</v>
          </cell>
          <cell r="G793">
            <v>1614012</v>
          </cell>
        </row>
        <row r="794">
          <cell r="A794">
            <v>1614015</v>
          </cell>
          <cell r="B794" t="str">
            <v>CP-12x12-B-10B,2D9,2D15,1D25,3U,6WG 1/2</v>
          </cell>
          <cell r="C794" t="str">
            <v>EA</v>
          </cell>
          <cell r="D794" t="str">
            <v>MA100</v>
          </cell>
          <cell r="E794">
            <v>64.434200000000004</v>
          </cell>
          <cell r="G794">
            <v>1614015</v>
          </cell>
        </row>
        <row r="795">
          <cell r="A795">
            <v>1614079</v>
          </cell>
          <cell r="B795" t="str">
            <v>PLT,BR,6.5"X6.5"X1/8",BLNK,SUB PLT</v>
          </cell>
          <cell r="C795" t="str">
            <v>EA</v>
          </cell>
          <cell r="D795" t="str">
            <v>MA100</v>
          </cell>
          <cell r="E795">
            <v>28.02075</v>
          </cell>
          <cell r="G795">
            <v>1614079</v>
          </cell>
        </row>
        <row r="796">
          <cell r="A796">
            <v>1614089</v>
          </cell>
          <cell r="B796" t="str">
            <v>ASSY,CONN,BR,24x24-6.5X6.5</v>
          </cell>
          <cell r="C796" t="str">
            <v>EA</v>
          </cell>
          <cell r="D796" t="str">
            <v>MA100</v>
          </cell>
          <cell r="E796">
            <v>789.25355000000002</v>
          </cell>
          <cell r="G796">
            <v>1614089</v>
          </cell>
        </row>
        <row r="797">
          <cell r="A797">
            <v>1614090</v>
          </cell>
          <cell r="B797" t="str">
            <v>PLT,BR,24"x24"x3/16",MAIN PLT</v>
          </cell>
          <cell r="C797" t="str">
            <v>EA</v>
          </cell>
          <cell r="D797" t="str">
            <v>MA100</v>
          </cell>
          <cell r="E797">
            <v>471.02159999999998</v>
          </cell>
          <cell r="G797">
            <v>1614090</v>
          </cell>
        </row>
        <row r="798">
          <cell r="A798">
            <v>1614431</v>
          </cell>
          <cell r="B798" t="str">
            <v>NRF DOOR PANEL, ASII 2' RH DOOR</v>
          </cell>
          <cell r="C798" t="str">
            <v>EA</v>
          </cell>
          <cell r="D798" t="str">
            <v>RM100</v>
          </cell>
          <cell r="E798">
            <v>0</v>
          </cell>
          <cell r="G798">
            <v>1614431</v>
          </cell>
        </row>
        <row r="799">
          <cell r="A799">
            <v>1614432</v>
          </cell>
          <cell r="B799" t="str">
            <v>RF DOOR PANEL, ASII 2' RH DOOR</v>
          </cell>
          <cell r="C799" t="str">
            <v>EA</v>
          </cell>
          <cell r="D799" t="str">
            <v>RM100</v>
          </cell>
          <cell r="E799">
            <v>0</v>
          </cell>
          <cell r="G799">
            <v>1614432</v>
          </cell>
        </row>
        <row r="800">
          <cell r="A800">
            <v>1614460</v>
          </cell>
          <cell r="B800" t="str">
            <v>BRACKET,DOOR, AS2, BTM, RH 2' DOOR</v>
          </cell>
          <cell r="C800" t="str">
            <v>EA</v>
          </cell>
          <cell r="D800" t="str">
            <v>RM100</v>
          </cell>
          <cell r="E800">
            <v>0</v>
          </cell>
          <cell r="G800">
            <v>1614460</v>
          </cell>
        </row>
        <row r="801">
          <cell r="A801">
            <v>1614517</v>
          </cell>
          <cell r="B801" t="str">
            <v>ASII 4' RH DOOR LEAF (FOR DBL DOOR)</v>
          </cell>
          <cell r="C801" t="str">
            <v>EA</v>
          </cell>
          <cell r="D801" t="str">
            <v>RM100</v>
          </cell>
          <cell r="E801">
            <v>0</v>
          </cell>
          <cell r="G801">
            <v>1614517</v>
          </cell>
        </row>
        <row r="802">
          <cell r="A802">
            <v>1614518</v>
          </cell>
          <cell r="B802" t="str">
            <v>ASII 2' LH DOOR LEAF (FOR DBL DOOR)</v>
          </cell>
          <cell r="C802" t="str">
            <v>EA</v>
          </cell>
          <cell r="D802" t="str">
            <v>RM100</v>
          </cell>
          <cell r="E802">
            <v>0</v>
          </cell>
          <cell r="G802">
            <v>1614518</v>
          </cell>
        </row>
        <row r="803">
          <cell r="A803">
            <v>1614524</v>
          </cell>
          <cell r="B803" t="str">
            <v>PLT,BR,8.5"X8.5"X1/8",BLNK,SUB PLT</v>
          </cell>
          <cell r="C803" t="str">
            <v>EA</v>
          </cell>
          <cell r="D803" t="str">
            <v>MA100</v>
          </cell>
          <cell r="E803">
            <v>618.06500000000005</v>
          </cell>
          <cell r="G803">
            <v>1614524</v>
          </cell>
        </row>
        <row r="804">
          <cell r="A804">
            <v>1614525</v>
          </cell>
          <cell r="B804" t="str">
            <v>PLT,BR,22"x60"x3/16",MAIN PLT</v>
          </cell>
          <cell r="C804" t="str">
            <v>EA</v>
          </cell>
          <cell r="D804" t="str">
            <v>MA100</v>
          </cell>
          <cell r="E804">
            <v>189.4057</v>
          </cell>
          <cell r="G804">
            <v>1614525</v>
          </cell>
        </row>
        <row r="805">
          <cell r="A805">
            <v>1614526</v>
          </cell>
          <cell r="B805" t="str">
            <v>ASSY,CONN,BR,22x60-8.5X8.5</v>
          </cell>
          <cell r="C805" t="str">
            <v>EA</v>
          </cell>
          <cell r="D805" t="str">
            <v>MA100</v>
          </cell>
          <cell r="E805">
            <v>866.98630000000003</v>
          </cell>
          <cell r="G805">
            <v>1614526</v>
          </cell>
        </row>
        <row r="806">
          <cell r="A806">
            <v>1614592</v>
          </cell>
          <cell r="B806" t="str">
            <v>EVO 7' JAMB NUT BAR OUTSIDE</v>
          </cell>
          <cell r="C806" t="str">
            <v>EA</v>
          </cell>
          <cell r="D806" t="str">
            <v>RM100</v>
          </cell>
          <cell r="E806">
            <v>12.57</v>
          </cell>
          <cell r="G806">
            <v>1614592</v>
          </cell>
        </row>
        <row r="807">
          <cell r="A807">
            <v>1614594</v>
          </cell>
          <cell r="B807" t="str">
            <v>EVO 7' JAMB NUT BAR INSIDE</v>
          </cell>
          <cell r="C807" t="str">
            <v>EA</v>
          </cell>
          <cell r="D807" t="str">
            <v>RM100</v>
          </cell>
          <cell r="E807">
            <v>13.07</v>
          </cell>
          <cell r="G807">
            <v>1614594</v>
          </cell>
        </row>
        <row r="808">
          <cell r="A808">
            <v>1614613</v>
          </cell>
          <cell r="B808" t="str">
            <v>MDF PANEL,EVO 4X7</v>
          </cell>
          <cell r="C808" t="str">
            <v>EA</v>
          </cell>
          <cell r="D808" t="str">
            <v>MA100</v>
          </cell>
          <cell r="E808">
            <v>33.612499999999997</v>
          </cell>
          <cell r="G808">
            <v>1614613</v>
          </cell>
        </row>
        <row r="809">
          <cell r="A809">
            <v>1614614</v>
          </cell>
          <cell r="B809" t="str">
            <v>MDF PANEL,EVO 2X7</v>
          </cell>
          <cell r="C809" t="str">
            <v>EA</v>
          </cell>
          <cell r="D809" t="str">
            <v>MA100</v>
          </cell>
          <cell r="E809">
            <v>42.26</v>
          </cell>
          <cell r="G809">
            <v>1614614</v>
          </cell>
        </row>
        <row r="810">
          <cell r="A810">
            <v>1615139</v>
          </cell>
          <cell r="B810" t="str">
            <v>PLT,BR,8.5"X9.5"X1/8",BLNK,SUB PLT</v>
          </cell>
          <cell r="C810" t="str">
            <v>EA</v>
          </cell>
          <cell r="D810" t="str">
            <v>MA100</v>
          </cell>
          <cell r="E810">
            <v>47.368490000000001</v>
          </cell>
          <cell r="G810">
            <v>1615139</v>
          </cell>
        </row>
        <row r="811">
          <cell r="A811">
            <v>1615140</v>
          </cell>
          <cell r="B811" t="str">
            <v>ASSY,CONN,BR,22x33.5-8.5X9.5</v>
          </cell>
          <cell r="C811" t="str">
            <v>EA</v>
          </cell>
          <cell r="D811" t="str">
            <v>MA100</v>
          </cell>
          <cell r="E811">
            <v>681.35253999999998</v>
          </cell>
          <cell r="G811">
            <v>1615140</v>
          </cell>
        </row>
        <row r="812">
          <cell r="A812">
            <v>1615141</v>
          </cell>
          <cell r="B812" t="str">
            <v>PLT,BR,22"x33.5"x3/16",MAIN PLT</v>
          </cell>
          <cell r="C812" t="str">
            <v>EA</v>
          </cell>
          <cell r="D812" t="str">
            <v>MA100</v>
          </cell>
          <cell r="E812">
            <v>337.62599999999998</v>
          </cell>
          <cell r="G812">
            <v>1615141</v>
          </cell>
        </row>
        <row r="813">
          <cell r="A813">
            <v>1615174</v>
          </cell>
          <cell r="B813" t="str">
            <v>CORE, WOOD, EVO28, 38"</v>
          </cell>
          <cell r="C813" t="str">
            <v>EA</v>
          </cell>
          <cell r="D813" t="str">
            <v>MA100</v>
          </cell>
          <cell r="E813">
            <v>227.9</v>
          </cell>
          <cell r="G813">
            <v>1615174</v>
          </cell>
        </row>
        <row r="814">
          <cell r="A814">
            <v>1615178</v>
          </cell>
          <cell r="B814" t="str">
            <v>EVO28, DOOR SLAB, 38",WB</v>
          </cell>
          <cell r="C814" t="str">
            <v>EA</v>
          </cell>
          <cell r="D814" t="str">
            <v>MA100</v>
          </cell>
          <cell r="E814">
            <v>984.72625000000005</v>
          </cell>
          <cell r="G814">
            <v>1615178</v>
          </cell>
        </row>
        <row r="815">
          <cell r="A815">
            <v>1615179</v>
          </cell>
          <cell r="B815" t="str">
            <v>SENSING EDGE,TAPESWITCH # TS-26, 116.38"</v>
          </cell>
          <cell r="C815" t="str">
            <v>EA</v>
          </cell>
          <cell r="D815" t="str">
            <v>MA100</v>
          </cell>
          <cell r="E815">
            <v>318</v>
          </cell>
          <cell r="G815">
            <v>1615179</v>
          </cell>
        </row>
        <row r="816">
          <cell r="A816">
            <v>1615180</v>
          </cell>
          <cell r="B816" t="str">
            <v>ASSY, TAPESWITCH, TS-26 116.38" W HOLES</v>
          </cell>
          <cell r="C816" t="str">
            <v>EA</v>
          </cell>
          <cell r="D816" t="str">
            <v>MA100</v>
          </cell>
          <cell r="E816">
            <v>0</v>
          </cell>
          <cell r="G816">
            <v>1615180</v>
          </cell>
        </row>
        <row r="817">
          <cell r="A817">
            <v>1615181</v>
          </cell>
          <cell r="B817" t="str">
            <v>SENSING EDGE,TAPESWITCH # TS-26, 82.63"</v>
          </cell>
          <cell r="C817" t="str">
            <v>EA</v>
          </cell>
          <cell r="D817" t="str">
            <v>MA100</v>
          </cell>
          <cell r="E817">
            <v>275</v>
          </cell>
          <cell r="G817">
            <v>1615181</v>
          </cell>
        </row>
        <row r="818">
          <cell r="A818" t="str">
            <v>1615181-01</v>
          </cell>
          <cell r="C818" t="str">
            <v>EA</v>
          </cell>
          <cell r="D818" t="str">
            <v>MA100</v>
          </cell>
          <cell r="E818">
            <v>0</v>
          </cell>
          <cell r="G818" t="str">
            <v>1615181-01</v>
          </cell>
        </row>
        <row r="819">
          <cell r="A819" t="str">
            <v>1615181-02</v>
          </cell>
          <cell r="C819" t="str">
            <v>EA</v>
          </cell>
          <cell r="D819" t="str">
            <v>MA100</v>
          </cell>
          <cell r="E819">
            <v>0</v>
          </cell>
          <cell r="G819" t="str">
            <v>1615181-02</v>
          </cell>
        </row>
        <row r="820">
          <cell r="A820" t="str">
            <v>1615181-03</v>
          </cell>
          <cell r="C820" t="str">
            <v>EA</v>
          </cell>
          <cell r="D820" t="str">
            <v>MA100</v>
          </cell>
          <cell r="E820">
            <v>0</v>
          </cell>
          <cell r="G820" t="str">
            <v>1615181-03</v>
          </cell>
        </row>
        <row r="821">
          <cell r="A821">
            <v>1615182</v>
          </cell>
          <cell r="B821" t="str">
            <v>ASSY, TAPESWITCH, TS-26 83.63" W HOLES</v>
          </cell>
          <cell r="C821" t="str">
            <v>EA</v>
          </cell>
          <cell r="D821" t="str">
            <v>MA100</v>
          </cell>
          <cell r="E821">
            <v>0</v>
          </cell>
          <cell r="G821">
            <v>1615182</v>
          </cell>
        </row>
        <row r="822">
          <cell r="A822">
            <v>1615247</v>
          </cell>
          <cell r="B822" t="str">
            <v>PLATE,CONN BR15-1/2x15-1/2,(16)N,(2)WGF6</v>
          </cell>
          <cell r="C822" t="str">
            <v>EA</v>
          </cell>
          <cell r="D822" t="str">
            <v>MA100</v>
          </cell>
          <cell r="E822">
            <v>128.79432</v>
          </cell>
          <cell r="G822">
            <v>1615247</v>
          </cell>
        </row>
        <row r="823">
          <cell r="A823">
            <v>1615390</v>
          </cell>
          <cell r="B823" t="str">
            <v>ASSY,5240-36,2'x2'DR,10GHz DR TRIM</v>
          </cell>
          <cell r="C823" t="str">
            <v>EA</v>
          </cell>
          <cell r="D823" t="str">
            <v>MA420</v>
          </cell>
          <cell r="E823">
            <v>4371.4683199999999</v>
          </cell>
          <cell r="G823">
            <v>1615390</v>
          </cell>
        </row>
        <row r="824">
          <cell r="A824">
            <v>1615399</v>
          </cell>
          <cell r="B824" t="str">
            <v>LAM,EVO 2X8 RH,RF</v>
          </cell>
          <cell r="C824" t="str">
            <v>EA</v>
          </cell>
          <cell r="D824" t="str">
            <v>MA100</v>
          </cell>
          <cell r="E824">
            <v>106.405</v>
          </cell>
          <cell r="G824">
            <v>1615399</v>
          </cell>
        </row>
        <row r="825">
          <cell r="A825">
            <v>1615400</v>
          </cell>
          <cell r="B825" t="str">
            <v>LAM,EVO 2X8 RH,NRF</v>
          </cell>
          <cell r="C825" t="str">
            <v>EA</v>
          </cell>
          <cell r="D825" t="str">
            <v>MA100</v>
          </cell>
          <cell r="E825">
            <v>106.405</v>
          </cell>
          <cell r="G825">
            <v>1615400</v>
          </cell>
        </row>
        <row r="826">
          <cell r="A826">
            <v>1615401</v>
          </cell>
          <cell r="B826" t="str">
            <v>LAM,EVO 4X8 LH,RF</v>
          </cell>
          <cell r="C826" t="str">
            <v>EA</v>
          </cell>
          <cell r="D826" t="str">
            <v>MA100</v>
          </cell>
          <cell r="E826">
            <v>183.98500000000001</v>
          </cell>
          <cell r="G826">
            <v>1615401</v>
          </cell>
        </row>
        <row r="827">
          <cell r="A827">
            <v>1615402</v>
          </cell>
          <cell r="B827" t="str">
            <v>LAM,EVO 4X8 LH,NRF</v>
          </cell>
          <cell r="C827" t="str">
            <v>EA</v>
          </cell>
          <cell r="D827" t="str">
            <v>MA100</v>
          </cell>
          <cell r="E827">
            <v>183.98500000000001</v>
          </cell>
          <cell r="G827">
            <v>1615402</v>
          </cell>
        </row>
        <row r="828">
          <cell r="A828">
            <v>1615431</v>
          </cell>
          <cell r="B828" t="str">
            <v>CP-12x12-B-1S,1W4</v>
          </cell>
          <cell r="C828" t="str">
            <v>EA</v>
          </cell>
          <cell r="D828" t="str">
            <v>MA410</v>
          </cell>
          <cell r="E828">
            <v>73.336500000000001</v>
          </cell>
          <cell r="G828">
            <v>1615431</v>
          </cell>
        </row>
        <row r="829">
          <cell r="A829">
            <v>1615432</v>
          </cell>
          <cell r="B829" t="str">
            <v>CPA-12x12-B-1S,1W4</v>
          </cell>
          <cell r="C829" t="str">
            <v>EA</v>
          </cell>
          <cell r="D829" t="str">
            <v>MA410</v>
          </cell>
          <cell r="E829">
            <v>267.26310000000001</v>
          </cell>
          <cell r="G829">
            <v>1615432</v>
          </cell>
        </row>
        <row r="830">
          <cell r="A830">
            <v>1615523</v>
          </cell>
          <cell r="B830" t="str">
            <v>EVO 7' JAMB NUT BAR MANUAL</v>
          </cell>
          <cell r="C830" t="str">
            <v>EA</v>
          </cell>
          <cell r="D830" t="str">
            <v>RM100</v>
          </cell>
          <cell r="E830">
            <v>13.93</v>
          </cell>
          <cell r="G830">
            <v>1615523</v>
          </cell>
        </row>
        <row r="831">
          <cell r="A831">
            <v>1615524</v>
          </cell>
          <cell r="B831" t="str">
            <v>PLT, CONN, BRS, BLNK,11.5 X 63.5</v>
          </cell>
          <cell r="C831" t="str">
            <v>EA</v>
          </cell>
          <cell r="D831" t="str">
            <v>MA100</v>
          </cell>
          <cell r="E831">
            <v>253.25864999999999</v>
          </cell>
          <cell r="G831">
            <v>1615524</v>
          </cell>
        </row>
        <row r="832">
          <cell r="A832">
            <v>1615739</v>
          </cell>
          <cell r="B832" t="str">
            <v>VENT,CRYO SS 8X36 W/14X14X1/4</v>
          </cell>
          <cell r="C832" t="str">
            <v>EA</v>
          </cell>
          <cell r="D832" t="str">
            <v>RM100</v>
          </cell>
          <cell r="E832">
            <v>399.8</v>
          </cell>
          <cell r="G832">
            <v>1615739</v>
          </cell>
        </row>
        <row r="833">
          <cell r="A833">
            <v>1615929</v>
          </cell>
          <cell r="B833" t="str">
            <v>ASSY,DR &amp; JAMB,38 CUSTOM,EVO, RH-IN</v>
          </cell>
          <cell r="C833" t="str">
            <v>EA</v>
          </cell>
          <cell r="D833" t="str">
            <v>MA100</v>
          </cell>
          <cell r="E833">
            <v>5308.0563099999999</v>
          </cell>
          <cell r="G833">
            <v>1615929</v>
          </cell>
        </row>
        <row r="834">
          <cell r="A834">
            <v>1616267</v>
          </cell>
          <cell r="B834" t="str">
            <v>30X84" DOOR CORE</v>
          </cell>
          <cell r="C834" t="str">
            <v>EA</v>
          </cell>
          <cell r="D834" t="str">
            <v>MA100</v>
          </cell>
          <cell r="E834">
            <v>90.232500000000002</v>
          </cell>
          <cell r="G834">
            <v>1616267</v>
          </cell>
        </row>
        <row r="835">
          <cell r="A835">
            <v>1616272</v>
          </cell>
          <cell r="B835" t="str">
            <v>24"X24" DOOR CORE</v>
          </cell>
          <cell r="C835" t="str">
            <v>EA</v>
          </cell>
          <cell r="D835" t="str">
            <v>MA100</v>
          </cell>
          <cell r="E835">
            <v>20.43</v>
          </cell>
          <cell r="G835">
            <v>1616272</v>
          </cell>
        </row>
        <row r="836">
          <cell r="A836">
            <v>1616278</v>
          </cell>
          <cell r="B836" t="str">
            <v>.125"X3"X32.25" STEEL HRZ TRIM</v>
          </cell>
          <cell r="C836" t="str">
            <v>EA</v>
          </cell>
          <cell r="D836" t="str">
            <v>RM100</v>
          </cell>
          <cell r="E836">
            <v>0</v>
          </cell>
          <cell r="G836">
            <v>1616278</v>
          </cell>
        </row>
        <row r="837">
          <cell r="A837">
            <v>1616279</v>
          </cell>
          <cell r="B837" t="str">
            <v>LIGHT BRUSHED BRIGHT CHROME</v>
          </cell>
          <cell r="C837" t="str">
            <v>EA</v>
          </cell>
          <cell r="D837" t="str">
            <v>RM100</v>
          </cell>
          <cell r="E837">
            <v>0</v>
          </cell>
          <cell r="G837">
            <v>1616279</v>
          </cell>
        </row>
        <row r="838">
          <cell r="A838">
            <v>1616290</v>
          </cell>
          <cell r="B838" t="str">
            <v>23.25X23.25 CU DOOR SKIN, CORE FRONT</v>
          </cell>
          <cell r="C838" t="str">
            <v>EA</v>
          </cell>
          <cell r="D838" t="str">
            <v>MA100</v>
          </cell>
          <cell r="E838">
            <v>29.510249999999999</v>
          </cell>
          <cell r="G838">
            <v>1616290</v>
          </cell>
        </row>
        <row r="839">
          <cell r="A839">
            <v>1616291</v>
          </cell>
          <cell r="B839" t="str">
            <v>23.25X23.25 CU DOOR SKIN, CORE REAR</v>
          </cell>
          <cell r="C839" t="str">
            <v>EA</v>
          </cell>
          <cell r="D839" t="str">
            <v>MA100</v>
          </cell>
          <cell r="E839">
            <v>29.510249999999999</v>
          </cell>
          <cell r="G839">
            <v>1616291</v>
          </cell>
        </row>
        <row r="840">
          <cell r="A840">
            <v>1616295</v>
          </cell>
          <cell r="B840" t="str">
            <v>30"X84" DEI WOOD DOOR JAMB</v>
          </cell>
          <cell r="C840" t="str">
            <v>EA</v>
          </cell>
          <cell r="D840" t="str">
            <v>MA100</v>
          </cell>
          <cell r="E840">
            <v>68.700199999999995</v>
          </cell>
          <cell r="G840">
            <v>1616295</v>
          </cell>
        </row>
        <row r="841">
          <cell r="A841">
            <v>1616296</v>
          </cell>
          <cell r="B841" t="str">
            <v>30"X84" DEI DOOR JAMB</v>
          </cell>
          <cell r="C841" t="str">
            <v>EA</v>
          </cell>
          <cell r="D841" t="str">
            <v>MA100</v>
          </cell>
          <cell r="E841">
            <v>299.97894000000002</v>
          </cell>
          <cell r="G841">
            <v>1616296</v>
          </cell>
        </row>
        <row r="842">
          <cell r="A842">
            <v>1616299</v>
          </cell>
          <cell r="B842" t="str">
            <v>30"X84" DEI DOOR LEAF</v>
          </cell>
          <cell r="C842" t="str">
            <v>EA</v>
          </cell>
          <cell r="D842" t="str">
            <v>MA100</v>
          </cell>
          <cell r="E842">
            <v>2609.2782000000002</v>
          </cell>
          <cell r="G842">
            <v>1616299</v>
          </cell>
        </row>
        <row r="843">
          <cell r="A843">
            <v>1616300</v>
          </cell>
          <cell r="B843" t="str">
            <v>24"X24" DEI DOOR LEAF</v>
          </cell>
          <cell r="C843" t="str">
            <v>EA</v>
          </cell>
          <cell r="D843" t="str">
            <v>MA100</v>
          </cell>
          <cell r="E843">
            <v>1058.7376999999999</v>
          </cell>
          <cell r="G843">
            <v>1616300</v>
          </cell>
        </row>
        <row r="844">
          <cell r="A844">
            <v>1616301</v>
          </cell>
          <cell r="B844" t="str">
            <v>30"X84" DEI DOOR/DJ ASSY</v>
          </cell>
          <cell r="C844" t="str">
            <v>EA</v>
          </cell>
          <cell r="D844" t="str">
            <v>MA100</v>
          </cell>
          <cell r="E844">
            <v>5597.1731399999999</v>
          </cell>
          <cell r="G844">
            <v>1616301</v>
          </cell>
        </row>
        <row r="845">
          <cell r="A845">
            <v>1616304</v>
          </cell>
          <cell r="B845" t="str">
            <v>TRIM,D/J,T/B,1.5"x31.625",CRS,10GHZ</v>
          </cell>
          <cell r="C845" t="str">
            <v>EA</v>
          </cell>
          <cell r="D845" t="str">
            <v>RM100</v>
          </cell>
          <cell r="E845">
            <v>0</v>
          </cell>
          <cell r="G845">
            <v>1616304</v>
          </cell>
        </row>
        <row r="846">
          <cell r="A846">
            <v>1616305</v>
          </cell>
          <cell r="B846" t="str">
            <v>LIGHT BRUSHED BRIGHT CHROME</v>
          </cell>
          <cell r="C846" t="str">
            <v>EA</v>
          </cell>
          <cell r="D846" t="str">
            <v>RM100</v>
          </cell>
          <cell r="E846">
            <v>0</v>
          </cell>
          <cell r="G846">
            <v>1616305</v>
          </cell>
        </row>
        <row r="847">
          <cell r="A847">
            <v>1616306</v>
          </cell>
          <cell r="B847" t="str">
            <v>TRIM,D/J,1.5"x82.625",CRS,10GHZ</v>
          </cell>
          <cell r="C847" t="str">
            <v>EA</v>
          </cell>
          <cell r="D847" t="str">
            <v>RM100</v>
          </cell>
          <cell r="E847">
            <v>75</v>
          </cell>
          <cell r="G847">
            <v>1616306</v>
          </cell>
        </row>
        <row r="848">
          <cell r="A848">
            <v>1616307</v>
          </cell>
          <cell r="B848" t="str">
            <v>LIGHT BRUSHED BRIGHT CHROME</v>
          </cell>
          <cell r="C848" t="str">
            <v>EA</v>
          </cell>
          <cell r="D848" t="str">
            <v>RM100</v>
          </cell>
          <cell r="E848">
            <v>0</v>
          </cell>
          <cell r="G848">
            <v>1616307</v>
          </cell>
        </row>
        <row r="849">
          <cell r="A849">
            <v>1616309</v>
          </cell>
          <cell r="B849" t="str">
            <v>SPCR,D/J(CRS),31.625X3/4X3/8 10GHZ</v>
          </cell>
          <cell r="C849" t="str">
            <v>EA</v>
          </cell>
          <cell r="D849" t="str">
            <v>RM100</v>
          </cell>
          <cell r="E849">
            <v>0</v>
          </cell>
          <cell r="G849">
            <v>1616309</v>
          </cell>
        </row>
        <row r="850">
          <cell r="A850">
            <v>1616310</v>
          </cell>
          <cell r="B850" t="str">
            <v>LIGHT BRUSHED BRIGHT CHROME</v>
          </cell>
          <cell r="C850" t="str">
            <v>EA</v>
          </cell>
          <cell r="D850" t="str">
            <v>RM100</v>
          </cell>
          <cell r="E850">
            <v>0</v>
          </cell>
          <cell r="G850">
            <v>1616310</v>
          </cell>
        </row>
        <row r="851">
          <cell r="A851">
            <v>1616311</v>
          </cell>
          <cell r="B851" t="str">
            <v>SPCR,D/J(CRS),84.125X3/4X3/8 10GHZ</v>
          </cell>
          <cell r="C851" t="str">
            <v>EA</v>
          </cell>
          <cell r="D851" t="str">
            <v>RM100</v>
          </cell>
          <cell r="E851">
            <v>0</v>
          </cell>
          <cell r="G851">
            <v>1616311</v>
          </cell>
        </row>
        <row r="852">
          <cell r="A852">
            <v>1616312</v>
          </cell>
          <cell r="B852" t="str">
            <v>LIGHT BRUSHED BRIGHT CHROME</v>
          </cell>
          <cell r="C852" t="str">
            <v>EA</v>
          </cell>
          <cell r="D852" t="str">
            <v>RM100</v>
          </cell>
          <cell r="E852">
            <v>0</v>
          </cell>
          <cell r="G852">
            <v>1616312</v>
          </cell>
        </row>
        <row r="853">
          <cell r="A853">
            <v>1616408</v>
          </cell>
          <cell r="B853" t="str">
            <v>KIT,KEYPAD,PROXIMITY,PDK3000</v>
          </cell>
          <cell r="C853" t="str">
            <v>EA</v>
          </cell>
          <cell r="D853" t="str">
            <v>RM100</v>
          </cell>
          <cell r="E853">
            <v>596.35</v>
          </cell>
          <cell r="G853">
            <v>1616408</v>
          </cell>
        </row>
        <row r="854">
          <cell r="A854">
            <v>1616686</v>
          </cell>
          <cell r="B854" t="str">
            <v>PLT,CONN,BRS,COVER, 13X13, 2BNC</v>
          </cell>
          <cell r="C854" t="str">
            <v>EA</v>
          </cell>
          <cell r="D854" t="str">
            <v>MA100</v>
          </cell>
          <cell r="E854">
            <v>80.432659999999998</v>
          </cell>
          <cell r="G854">
            <v>1616686</v>
          </cell>
        </row>
        <row r="855">
          <cell r="A855">
            <v>1616714</v>
          </cell>
          <cell r="B855" t="str">
            <v>PLT,CONN,BRS,COVER, 13X13, BLANK</v>
          </cell>
          <cell r="C855" t="str">
            <v>EA</v>
          </cell>
          <cell r="D855" t="str">
            <v>MA100</v>
          </cell>
          <cell r="E855">
            <v>80.432659999999998</v>
          </cell>
          <cell r="G855">
            <v>1616714</v>
          </cell>
        </row>
        <row r="856">
          <cell r="A856">
            <v>1616720</v>
          </cell>
          <cell r="B856" t="str">
            <v>ASSY,CONN,BR,14.5x14.5-13x13-2BNC</v>
          </cell>
          <cell r="C856" t="str">
            <v>EA</v>
          </cell>
          <cell r="D856" t="str">
            <v>MA100</v>
          </cell>
          <cell r="E856">
            <v>203.04829000000001</v>
          </cell>
          <cell r="G856">
            <v>1616720</v>
          </cell>
        </row>
        <row r="857">
          <cell r="A857">
            <v>1616772</v>
          </cell>
          <cell r="B857" t="str">
            <v>EXTRU, ALUM. LATCH SIDE MACH. 87.25"</v>
          </cell>
          <cell r="C857" t="str">
            <v>EA</v>
          </cell>
          <cell r="D857" t="str">
            <v>RM100</v>
          </cell>
          <cell r="E857">
            <v>154.30000000000001</v>
          </cell>
          <cell r="G857">
            <v>1616772</v>
          </cell>
        </row>
        <row r="858">
          <cell r="A858">
            <v>1616773</v>
          </cell>
          <cell r="B858" t="str">
            <v>EXTRU, ALUM. HINGE SIDE MACH. 87.25"</v>
          </cell>
          <cell r="C858" t="str">
            <v>EA</v>
          </cell>
          <cell r="D858" t="str">
            <v>RM100</v>
          </cell>
          <cell r="E858">
            <v>154.30000000000001</v>
          </cell>
          <cell r="G858">
            <v>1616773</v>
          </cell>
        </row>
        <row r="859">
          <cell r="A859">
            <v>1616775</v>
          </cell>
          <cell r="B859" t="str">
            <v>DOOR BLANK 39.375X81.875 MRDS HATCH DOOR</v>
          </cell>
          <cell r="C859" t="str">
            <v>EA</v>
          </cell>
          <cell r="D859" t="str">
            <v>RM100</v>
          </cell>
          <cell r="E859">
            <v>227.9</v>
          </cell>
          <cell r="G859">
            <v>1616775</v>
          </cell>
        </row>
        <row r="860">
          <cell r="A860">
            <v>1616776</v>
          </cell>
          <cell r="B860" t="str">
            <v>ASSY, HATCH DOOR [LAMBOO] 39.75"x82.25"</v>
          </cell>
          <cell r="C860" t="str">
            <v>EA</v>
          </cell>
          <cell r="D860" t="str">
            <v>MA100</v>
          </cell>
          <cell r="E860">
            <v>1752.23876</v>
          </cell>
          <cell r="G860">
            <v>1616776</v>
          </cell>
        </row>
        <row r="861">
          <cell r="A861">
            <v>1616781</v>
          </cell>
          <cell r="B861" t="str">
            <v>TEMPLATE,MIN,MANUFACTURED PARTS</v>
          </cell>
          <cell r="C861" t="str">
            <v>EA</v>
          </cell>
          <cell r="D861" t="str">
            <v>MA100</v>
          </cell>
          <cell r="E861">
            <v>0</v>
          </cell>
          <cell r="G861">
            <v>1616781</v>
          </cell>
        </row>
        <row r="862">
          <cell r="A862">
            <v>1616792</v>
          </cell>
          <cell r="B862" t="str">
            <v>CRYO,TOSHIBA,6"X36",2 END FLNG</v>
          </cell>
          <cell r="C862" t="str">
            <v>EA</v>
          </cell>
          <cell r="D862" t="str">
            <v>RM100</v>
          </cell>
          <cell r="E862">
            <v>418</v>
          </cell>
          <cell r="G862">
            <v>1616792</v>
          </cell>
        </row>
        <row r="863">
          <cell r="A863">
            <v>1616821</v>
          </cell>
          <cell r="B863" t="str">
            <v>ASSY,MRI WINDOW 12X12 NO MTG HOLES</v>
          </cell>
          <cell r="C863" t="str">
            <v>EA</v>
          </cell>
          <cell r="D863" t="str">
            <v>MA100</v>
          </cell>
          <cell r="E863">
            <v>246.56582</v>
          </cell>
          <cell r="G863">
            <v>1616821</v>
          </cell>
        </row>
        <row r="864">
          <cell r="A864">
            <v>1617196</v>
          </cell>
          <cell r="B864" t="str">
            <v>PLATE,CON BR15-1/2X15-1/2,4N,1WGF6,10SMA</v>
          </cell>
          <cell r="C864" t="str">
            <v>EA</v>
          </cell>
          <cell r="D864" t="str">
            <v>MA100</v>
          </cell>
          <cell r="E864">
            <v>128.79432</v>
          </cell>
          <cell r="G864">
            <v>1617196</v>
          </cell>
        </row>
        <row r="865">
          <cell r="A865">
            <v>1617208</v>
          </cell>
          <cell r="B865" t="str">
            <v>EVO FRAME,3X7</v>
          </cell>
          <cell r="C865" t="str">
            <v>EA</v>
          </cell>
          <cell r="D865" t="str">
            <v>RM100</v>
          </cell>
          <cell r="E865">
            <v>623.01</v>
          </cell>
          <cell r="G865">
            <v>1617208</v>
          </cell>
        </row>
        <row r="866">
          <cell r="A866">
            <v>1617209</v>
          </cell>
          <cell r="B866" t="str">
            <v>NRF PANEL,3X7</v>
          </cell>
          <cell r="C866" t="str">
            <v>EA</v>
          </cell>
          <cell r="D866" t="str">
            <v>RM100</v>
          </cell>
          <cell r="E866">
            <v>0</v>
          </cell>
          <cell r="G866">
            <v>1617209</v>
          </cell>
        </row>
        <row r="867">
          <cell r="A867">
            <v>1617210</v>
          </cell>
          <cell r="B867" t="str">
            <v>EVO DOOR SLAB,3X7</v>
          </cell>
          <cell r="C867" t="str">
            <v>EA</v>
          </cell>
          <cell r="D867" t="str">
            <v>RM100</v>
          </cell>
          <cell r="E867">
            <v>0</v>
          </cell>
          <cell r="G867">
            <v>1617210</v>
          </cell>
        </row>
        <row r="868">
          <cell r="A868">
            <v>1617211</v>
          </cell>
          <cell r="B868" t="str">
            <v>LATCH BLOCK,EVO</v>
          </cell>
          <cell r="C868" t="str">
            <v>EA</v>
          </cell>
          <cell r="D868" t="str">
            <v>RM100</v>
          </cell>
          <cell r="E868">
            <v>0</v>
          </cell>
          <cell r="G868">
            <v>1617211</v>
          </cell>
        </row>
        <row r="869">
          <cell r="A869">
            <v>1617212</v>
          </cell>
          <cell r="B869" t="str">
            <v>3' MLV SPACER</v>
          </cell>
          <cell r="C869" t="str">
            <v>EA</v>
          </cell>
          <cell r="D869" t="str">
            <v>RM100</v>
          </cell>
          <cell r="E869">
            <v>0</v>
          </cell>
          <cell r="G869">
            <v>1617212</v>
          </cell>
        </row>
        <row r="870">
          <cell r="A870">
            <v>1617213</v>
          </cell>
          <cell r="B870" t="str">
            <v>RF PANEL,3X7</v>
          </cell>
          <cell r="C870" t="str">
            <v>EA</v>
          </cell>
          <cell r="D870" t="str">
            <v>RM100</v>
          </cell>
          <cell r="E870">
            <v>0</v>
          </cell>
          <cell r="G870">
            <v>1617213</v>
          </cell>
        </row>
        <row r="871">
          <cell r="A871">
            <v>1617214</v>
          </cell>
          <cell r="B871" t="str">
            <v>PNUMATIC SEAL BASE,36"</v>
          </cell>
          <cell r="C871" t="str">
            <v>EA</v>
          </cell>
          <cell r="D871" t="str">
            <v>RM100</v>
          </cell>
          <cell r="E871">
            <v>0</v>
          </cell>
          <cell r="G871">
            <v>1617214</v>
          </cell>
        </row>
        <row r="872">
          <cell r="A872">
            <v>1617215</v>
          </cell>
          <cell r="B872" t="str">
            <v>EVO FRAME,4X7</v>
          </cell>
          <cell r="C872" t="str">
            <v>EA</v>
          </cell>
          <cell r="D872" t="str">
            <v>RM100</v>
          </cell>
          <cell r="E872">
            <v>379.9</v>
          </cell>
          <cell r="G872">
            <v>1617215</v>
          </cell>
        </row>
        <row r="873">
          <cell r="A873">
            <v>1617216</v>
          </cell>
          <cell r="B873" t="str">
            <v>NRF PANEL,4X7</v>
          </cell>
          <cell r="C873" t="str">
            <v>EA</v>
          </cell>
          <cell r="D873" t="str">
            <v>RM100</v>
          </cell>
          <cell r="E873">
            <v>90.45</v>
          </cell>
          <cell r="G873">
            <v>1617216</v>
          </cell>
        </row>
        <row r="874">
          <cell r="A874">
            <v>1617217</v>
          </cell>
          <cell r="B874" t="str">
            <v>MLV SPACER,4'</v>
          </cell>
          <cell r="C874" t="str">
            <v>EA</v>
          </cell>
          <cell r="D874" t="str">
            <v>RM100</v>
          </cell>
          <cell r="E874">
            <v>0</v>
          </cell>
          <cell r="G874">
            <v>1617217</v>
          </cell>
        </row>
        <row r="875">
          <cell r="A875">
            <v>1617224</v>
          </cell>
          <cell r="B875" t="str">
            <v>RF PANEL,4X7</v>
          </cell>
          <cell r="C875" t="str">
            <v>EA</v>
          </cell>
          <cell r="D875" t="str">
            <v>RM100</v>
          </cell>
          <cell r="E875">
            <v>227.57</v>
          </cell>
          <cell r="G875">
            <v>1617224</v>
          </cell>
        </row>
        <row r="876">
          <cell r="A876">
            <v>1617225</v>
          </cell>
          <cell r="B876" t="str">
            <v>EVO DOOR SLAB,4X7</v>
          </cell>
          <cell r="C876" t="str">
            <v>EA</v>
          </cell>
          <cell r="D876" t="str">
            <v>RM100</v>
          </cell>
          <cell r="E876">
            <v>0</v>
          </cell>
          <cell r="G876">
            <v>1617225</v>
          </cell>
        </row>
        <row r="877">
          <cell r="A877">
            <v>1617226</v>
          </cell>
          <cell r="B877" t="str">
            <v>RF SEAL BASE,4'</v>
          </cell>
          <cell r="C877" t="str">
            <v>EA</v>
          </cell>
          <cell r="D877" t="str">
            <v>RM100</v>
          </cell>
          <cell r="E877">
            <v>85.8</v>
          </cell>
          <cell r="G877">
            <v>1617226</v>
          </cell>
        </row>
        <row r="878">
          <cell r="A878">
            <v>1617724</v>
          </cell>
          <cell r="B878" t="str">
            <v>EVO JAMB,3X7 RH</v>
          </cell>
          <cell r="C878" t="str">
            <v>EA</v>
          </cell>
          <cell r="D878" t="str">
            <v>MA100</v>
          </cell>
          <cell r="E878">
            <v>0</v>
          </cell>
          <cell r="G878">
            <v>1617724</v>
          </cell>
        </row>
        <row r="879">
          <cell r="A879">
            <v>1617725</v>
          </cell>
          <cell r="B879" t="str">
            <v>EVO JAMB,3X7 LH</v>
          </cell>
          <cell r="C879" t="str">
            <v>EA</v>
          </cell>
          <cell r="D879" t="str">
            <v>MA100</v>
          </cell>
          <cell r="E879">
            <v>0</v>
          </cell>
          <cell r="G879">
            <v>1617725</v>
          </cell>
        </row>
        <row r="880">
          <cell r="A880">
            <v>1617726</v>
          </cell>
          <cell r="B880" t="str">
            <v>EVO JAMB,4X7 RH</v>
          </cell>
          <cell r="C880" t="str">
            <v>EA</v>
          </cell>
          <cell r="D880" t="str">
            <v>MA100</v>
          </cell>
          <cell r="E880">
            <v>0</v>
          </cell>
          <cell r="G880">
            <v>1617726</v>
          </cell>
        </row>
        <row r="881">
          <cell r="A881">
            <v>1617727</v>
          </cell>
          <cell r="B881" t="str">
            <v>OBSOLETE</v>
          </cell>
          <cell r="C881" t="str">
            <v>EA</v>
          </cell>
          <cell r="D881" t="str">
            <v>MA100</v>
          </cell>
          <cell r="E881">
            <v>1080.7048</v>
          </cell>
          <cell r="G881">
            <v>1617727</v>
          </cell>
        </row>
        <row r="882">
          <cell r="A882">
            <v>1617728</v>
          </cell>
          <cell r="B882" t="str">
            <v>EVO JAMB,6X7</v>
          </cell>
          <cell r="C882" t="str">
            <v>EA</v>
          </cell>
          <cell r="D882" t="str">
            <v>MA100</v>
          </cell>
          <cell r="E882">
            <v>3063.3766999999998</v>
          </cell>
          <cell r="G882">
            <v>1617728</v>
          </cell>
        </row>
        <row r="883">
          <cell r="A883">
            <v>1617739</v>
          </cell>
          <cell r="B883" t="str">
            <v>EVO DOOR SLAB,4X7 FOR DBL</v>
          </cell>
          <cell r="C883" t="str">
            <v>EA</v>
          </cell>
          <cell r="D883" t="str">
            <v>MA100</v>
          </cell>
          <cell r="E883">
            <v>1768.3899799999999</v>
          </cell>
          <cell r="G883">
            <v>1617739</v>
          </cell>
        </row>
        <row r="884">
          <cell r="A884">
            <v>1617740</v>
          </cell>
          <cell r="B884" t="str">
            <v>NRF PANEL,4X7,BLANK</v>
          </cell>
          <cell r="C884" t="str">
            <v>EA</v>
          </cell>
          <cell r="D884" t="str">
            <v>MA100</v>
          </cell>
          <cell r="E884">
            <v>92.17</v>
          </cell>
          <cell r="G884">
            <v>1617740</v>
          </cell>
        </row>
        <row r="885">
          <cell r="A885">
            <v>1617741</v>
          </cell>
          <cell r="B885" t="str">
            <v>RF PANEL,4X7 BLANK</v>
          </cell>
          <cell r="C885" t="str">
            <v>EA</v>
          </cell>
          <cell r="D885" t="str">
            <v>MA100</v>
          </cell>
          <cell r="E885">
            <v>92.17</v>
          </cell>
          <cell r="G885">
            <v>1617741</v>
          </cell>
        </row>
        <row r="886">
          <cell r="A886">
            <v>1617742</v>
          </cell>
          <cell r="B886" t="str">
            <v>TRIM,DR LF,LOCK SIDE,EVO</v>
          </cell>
          <cell r="C886" t="str">
            <v>EA</v>
          </cell>
          <cell r="D886" t="str">
            <v>MA100</v>
          </cell>
          <cell r="E886">
            <v>99.89</v>
          </cell>
          <cell r="G886">
            <v>1617742</v>
          </cell>
        </row>
        <row r="887">
          <cell r="A887">
            <v>1617744</v>
          </cell>
          <cell r="B887" t="str">
            <v>EVO FRAME,2X7</v>
          </cell>
          <cell r="C887" t="str">
            <v>EA</v>
          </cell>
          <cell r="D887" t="str">
            <v>MA100</v>
          </cell>
          <cell r="E887">
            <v>300</v>
          </cell>
          <cell r="G887">
            <v>1617744</v>
          </cell>
        </row>
        <row r="888">
          <cell r="A888">
            <v>1617745</v>
          </cell>
          <cell r="B888" t="str">
            <v>EVO DOOR SLAB,2X7 FOR DBL</v>
          </cell>
          <cell r="C888" t="str">
            <v>EA</v>
          </cell>
          <cell r="D888" t="str">
            <v>MA100</v>
          </cell>
          <cell r="E888">
            <v>2186.95921</v>
          </cell>
          <cell r="G888">
            <v>1617745</v>
          </cell>
        </row>
        <row r="889">
          <cell r="A889">
            <v>1617746</v>
          </cell>
          <cell r="B889" t="str">
            <v>NRF PANEL,2X7,BLANK</v>
          </cell>
          <cell r="C889" t="str">
            <v>EA</v>
          </cell>
          <cell r="D889" t="str">
            <v>MA100</v>
          </cell>
          <cell r="E889">
            <v>90</v>
          </cell>
          <cell r="G889">
            <v>1617746</v>
          </cell>
        </row>
        <row r="890">
          <cell r="A890">
            <v>1617754</v>
          </cell>
          <cell r="B890" t="str">
            <v>PLATE,TOP/BOTTON,AIR CYL SUPPORT,24"</v>
          </cell>
          <cell r="C890" t="str">
            <v>EA</v>
          </cell>
          <cell r="D890" t="str">
            <v>RM100</v>
          </cell>
          <cell r="E890">
            <v>0</v>
          </cell>
          <cell r="G890">
            <v>1617754</v>
          </cell>
        </row>
        <row r="891">
          <cell r="A891">
            <v>1617755</v>
          </cell>
          <cell r="B891" t="str">
            <v>RF SEAL BASE,2'</v>
          </cell>
          <cell r="C891" t="str">
            <v>EA</v>
          </cell>
          <cell r="D891" t="str">
            <v>RM100</v>
          </cell>
          <cell r="E891">
            <v>0</v>
          </cell>
          <cell r="G891">
            <v>1617755</v>
          </cell>
        </row>
        <row r="892">
          <cell r="A892">
            <v>1617757</v>
          </cell>
          <cell r="B892" t="str">
            <v>MLV SPACER,2'</v>
          </cell>
          <cell r="C892" t="str">
            <v>EA</v>
          </cell>
          <cell r="D892" t="str">
            <v>RM100</v>
          </cell>
          <cell r="E892">
            <v>0</v>
          </cell>
          <cell r="G892">
            <v>1617757</v>
          </cell>
        </row>
        <row r="893">
          <cell r="A893">
            <v>1617758</v>
          </cell>
          <cell r="B893" t="str">
            <v>RF PANEL,2X7 BLANK</v>
          </cell>
          <cell r="C893" t="str">
            <v>EA</v>
          </cell>
          <cell r="D893" t="str">
            <v>RM100</v>
          </cell>
          <cell r="E893">
            <v>125.8197</v>
          </cell>
          <cell r="G893">
            <v>1617758</v>
          </cell>
        </row>
        <row r="894">
          <cell r="A894">
            <v>1617775</v>
          </cell>
          <cell r="B894" t="str">
            <v>7' 40MM CARTRIDGE,ANGLE I</v>
          </cell>
          <cell r="C894" t="str">
            <v>EA</v>
          </cell>
          <cell r="D894" t="str">
            <v>RM100</v>
          </cell>
          <cell r="E894">
            <v>0</v>
          </cell>
          <cell r="G894">
            <v>1617775</v>
          </cell>
        </row>
        <row r="895">
          <cell r="A895">
            <v>1617776</v>
          </cell>
          <cell r="B895" t="str">
            <v>7' 40MM CARTRIDGE,ANGLE II</v>
          </cell>
          <cell r="C895" t="str">
            <v>EA</v>
          </cell>
          <cell r="D895" t="str">
            <v>RM100</v>
          </cell>
          <cell r="E895">
            <v>0</v>
          </cell>
          <cell r="G895">
            <v>1617776</v>
          </cell>
        </row>
        <row r="896">
          <cell r="A896">
            <v>1617777</v>
          </cell>
          <cell r="B896" t="str">
            <v>7' 40MM CARTRIDGE</v>
          </cell>
          <cell r="C896" t="str">
            <v>EA</v>
          </cell>
          <cell r="D896" t="str">
            <v>RM100</v>
          </cell>
          <cell r="E896">
            <v>481.52868000000001</v>
          </cell>
          <cell r="G896">
            <v>1617777</v>
          </cell>
        </row>
        <row r="897">
          <cell r="A897">
            <v>1617894</v>
          </cell>
          <cell r="B897" t="str">
            <v>7' 40MM CARTRIDGE SEAL BRACKET</v>
          </cell>
          <cell r="C897" t="str">
            <v>EA</v>
          </cell>
          <cell r="D897" t="str">
            <v>RM100</v>
          </cell>
          <cell r="E897">
            <v>77.14</v>
          </cell>
          <cell r="G897">
            <v>1617894</v>
          </cell>
        </row>
        <row r="898">
          <cell r="A898">
            <v>1617895</v>
          </cell>
          <cell r="B898" t="str">
            <v>SEAL,RF,40MM CARTRIDGE,PC I</v>
          </cell>
          <cell r="C898" t="str">
            <v>EA</v>
          </cell>
          <cell r="D898" t="str">
            <v>RM100</v>
          </cell>
          <cell r="E898">
            <v>41.24</v>
          </cell>
          <cell r="G898">
            <v>1617895</v>
          </cell>
        </row>
        <row r="899">
          <cell r="A899">
            <v>1617896</v>
          </cell>
          <cell r="B899" t="str">
            <v>SEAL,RF,40MM CARTRIDGE,PC II</v>
          </cell>
          <cell r="C899" t="str">
            <v>EA</v>
          </cell>
          <cell r="D899" t="str">
            <v>RM100</v>
          </cell>
          <cell r="E899">
            <v>68.23</v>
          </cell>
          <cell r="G899">
            <v>1617896</v>
          </cell>
        </row>
        <row r="900">
          <cell r="A900">
            <v>1617897</v>
          </cell>
          <cell r="B900" t="str">
            <v>SEAL,RF,40MM CARTRIDGE,PC III</v>
          </cell>
          <cell r="C900" t="str">
            <v>EA</v>
          </cell>
          <cell r="D900" t="str">
            <v>RM100</v>
          </cell>
          <cell r="E900">
            <v>70.08</v>
          </cell>
          <cell r="G900">
            <v>1617897</v>
          </cell>
        </row>
        <row r="901">
          <cell r="A901">
            <v>1617905</v>
          </cell>
          <cell r="B901" t="str">
            <v>EVO,AIR,6X7 DBL,RH ACTIVE,IS (4-2)</v>
          </cell>
          <cell r="C901" t="str">
            <v>EA</v>
          </cell>
          <cell r="D901" t="str">
            <v>MA100</v>
          </cell>
          <cell r="E901">
            <v>13578.65</v>
          </cell>
          <cell r="G901">
            <v>1617905</v>
          </cell>
        </row>
        <row r="902">
          <cell r="A902">
            <v>1617906</v>
          </cell>
          <cell r="B902" t="str">
            <v>EVO 4X7,RH,OS</v>
          </cell>
          <cell r="C902" t="str">
            <v>EA</v>
          </cell>
          <cell r="D902" t="str">
            <v>MA100</v>
          </cell>
          <cell r="E902">
            <v>0</v>
          </cell>
          <cell r="G902">
            <v>1617906</v>
          </cell>
        </row>
        <row r="903">
          <cell r="A903">
            <v>1617908</v>
          </cell>
          <cell r="B903" t="str">
            <v>EVO 4X7,LH,OS</v>
          </cell>
          <cell r="C903" t="str">
            <v>EA</v>
          </cell>
          <cell r="D903" t="str">
            <v>MA100</v>
          </cell>
          <cell r="E903">
            <v>0</v>
          </cell>
          <cell r="G903">
            <v>1617908</v>
          </cell>
        </row>
        <row r="904">
          <cell r="A904">
            <v>1617909</v>
          </cell>
          <cell r="B904" t="str">
            <v>EVO 4X7,RH,OS</v>
          </cell>
          <cell r="C904" t="str">
            <v>EA</v>
          </cell>
          <cell r="D904" t="str">
            <v>MA100</v>
          </cell>
          <cell r="E904">
            <v>0</v>
          </cell>
          <cell r="G904">
            <v>1617909</v>
          </cell>
        </row>
        <row r="905">
          <cell r="A905">
            <v>1617910</v>
          </cell>
          <cell r="B905" t="str">
            <v>EVO,AIR,6X7 DBL,LH ACTIVE,IS (4-2)</v>
          </cell>
          <cell r="C905" t="str">
            <v>EA</v>
          </cell>
          <cell r="D905" t="str">
            <v>MA100</v>
          </cell>
          <cell r="E905">
            <v>12968.5</v>
          </cell>
          <cell r="G905">
            <v>1617910</v>
          </cell>
        </row>
        <row r="906">
          <cell r="A906">
            <v>1617920</v>
          </cell>
          <cell r="B906" t="str">
            <v>BIMBA BRACKET, 40MM CARTRIDGE</v>
          </cell>
          <cell r="C906" t="str">
            <v>EA</v>
          </cell>
          <cell r="D906" t="str">
            <v>RM100</v>
          </cell>
          <cell r="E906">
            <v>11.648899999999999</v>
          </cell>
          <cell r="G906">
            <v>1617920</v>
          </cell>
        </row>
        <row r="907">
          <cell r="A907">
            <v>1618139</v>
          </cell>
          <cell r="B907" t="str">
            <v xml:space="preserve">2.75X18 DEC DJ HEADER, 18"SQR CO </v>
          </cell>
          <cell r="C907" t="str">
            <v>EA</v>
          </cell>
          <cell r="D907" t="str">
            <v>RM100</v>
          </cell>
          <cell r="E907">
            <v>0</v>
          </cell>
          <cell r="G907">
            <v>1618139</v>
          </cell>
        </row>
        <row r="908">
          <cell r="A908">
            <v>1618140</v>
          </cell>
          <cell r="B908" t="str">
            <v xml:space="preserve">2.75X23.5 DEC DJ RAIL, 18"SQR CO </v>
          </cell>
          <cell r="C908" t="str">
            <v>EA</v>
          </cell>
          <cell r="D908" t="str">
            <v>RM100</v>
          </cell>
          <cell r="E908">
            <v>0</v>
          </cell>
          <cell r="G908">
            <v>1618140</v>
          </cell>
        </row>
        <row r="909">
          <cell r="A909">
            <v>1618148</v>
          </cell>
          <cell r="B909" t="str">
            <v>VENT,CRYO SS 10X32 SIEMENS  W/16X16X1/4*</v>
          </cell>
          <cell r="C909" t="str">
            <v>EA</v>
          </cell>
          <cell r="D909" t="str">
            <v>RM100</v>
          </cell>
          <cell r="E909">
            <v>790</v>
          </cell>
          <cell r="G909">
            <v>1618148</v>
          </cell>
        </row>
        <row r="910">
          <cell r="A910">
            <v>1618149</v>
          </cell>
          <cell r="B910" t="str">
            <v>DEC DJ ASSY, WOOD, 23.5 SQR X 18SQR CO</v>
          </cell>
          <cell r="C910" t="str">
            <v>EA</v>
          </cell>
          <cell r="D910" t="str">
            <v>RM100</v>
          </cell>
          <cell r="E910">
            <v>0</v>
          </cell>
          <cell r="G910">
            <v>1618149</v>
          </cell>
        </row>
        <row r="911">
          <cell r="A911">
            <v>1618151</v>
          </cell>
          <cell r="B911" t="str">
            <v>FLANGE, CRYO SS 10 INCH DIA TAPPED HOLES</v>
          </cell>
          <cell r="C911" t="str">
            <v>EA</v>
          </cell>
          <cell r="D911" t="str">
            <v>RM100</v>
          </cell>
          <cell r="E911">
            <v>143</v>
          </cell>
          <cell r="G911">
            <v>1618151</v>
          </cell>
        </row>
        <row r="912">
          <cell r="A912">
            <v>1618152</v>
          </cell>
          <cell r="B912" t="str">
            <v>FLANGE, CRYO SS 10 INCH DIA THRU HOLES</v>
          </cell>
          <cell r="C912" t="str">
            <v>EA</v>
          </cell>
          <cell r="D912" t="str">
            <v>RM100</v>
          </cell>
          <cell r="E912">
            <v>118</v>
          </cell>
          <cell r="G912">
            <v>1618152</v>
          </cell>
        </row>
        <row r="913">
          <cell r="A913">
            <v>1618153</v>
          </cell>
          <cell r="B913" t="str">
            <v>GASKET, NEOPRENE 10 INCH DIA</v>
          </cell>
          <cell r="C913" t="str">
            <v>EA</v>
          </cell>
          <cell r="D913" t="str">
            <v>RM100</v>
          </cell>
          <cell r="E913">
            <v>50</v>
          </cell>
          <cell r="G913">
            <v>1618153</v>
          </cell>
        </row>
        <row r="914">
          <cell r="A914">
            <v>1618154</v>
          </cell>
          <cell r="B914" t="str">
            <v>DEC DJ ASSY, 23.5X18 CO</v>
          </cell>
          <cell r="C914" t="str">
            <v>EA</v>
          </cell>
          <cell r="D914" t="str">
            <v>MA100</v>
          </cell>
          <cell r="E914">
            <v>22.078869999999998</v>
          </cell>
          <cell r="G914">
            <v>1618154</v>
          </cell>
        </row>
        <row r="915">
          <cell r="A915">
            <v>1618239</v>
          </cell>
          <cell r="B915" t="str">
            <v>PLT, CONN, BRS, BLNK,11.5 X 63.5 W WG</v>
          </cell>
          <cell r="C915" t="str">
            <v>EA</v>
          </cell>
          <cell r="D915" t="str">
            <v>MA100</v>
          </cell>
          <cell r="E915">
            <v>339.73365000000001</v>
          </cell>
          <cell r="G915">
            <v>1618239</v>
          </cell>
        </row>
        <row r="916">
          <cell r="A916">
            <v>1618332</v>
          </cell>
          <cell r="B916" t="str">
            <v>VENT,CRYO SS 8X42 SIEMENS W/ 16X16X1/4</v>
          </cell>
          <cell r="C916" t="str">
            <v>EA</v>
          </cell>
          <cell r="D916" t="str">
            <v>RM100</v>
          </cell>
          <cell r="E916">
            <v>0</v>
          </cell>
          <cell r="G916">
            <v>1618332</v>
          </cell>
        </row>
        <row r="917">
          <cell r="A917">
            <v>1618396</v>
          </cell>
          <cell r="B917" t="str">
            <v>VENT ASSY,24X24X1,STL 3/16 W/BRS FLG</v>
          </cell>
          <cell r="C917" t="str">
            <v>EA</v>
          </cell>
          <cell r="D917" t="str">
            <v>MA100</v>
          </cell>
          <cell r="E917">
            <v>473.41879999999998</v>
          </cell>
          <cell r="G917">
            <v>1618396</v>
          </cell>
        </row>
        <row r="918">
          <cell r="A918">
            <v>1618422</v>
          </cell>
          <cell r="B918" t="str">
            <v>ASSY,#12 COPPER SCREEN ROOM</v>
          </cell>
          <cell r="C918" t="str">
            <v>EA</v>
          </cell>
          <cell r="D918" t="str">
            <v>FG011</v>
          </cell>
          <cell r="E918">
            <v>8895.7976699999999</v>
          </cell>
          <cell r="G918">
            <v>1618422</v>
          </cell>
        </row>
        <row r="919">
          <cell r="A919">
            <v>1618423</v>
          </cell>
          <cell r="B919" t="str">
            <v>ASSY,#14 COPPER SCREEN ROOM</v>
          </cell>
          <cell r="C919" t="str">
            <v>EA</v>
          </cell>
          <cell r="D919" t="str">
            <v>FG011</v>
          </cell>
          <cell r="E919">
            <v>11158.45825</v>
          </cell>
          <cell r="G919">
            <v>1618423</v>
          </cell>
        </row>
        <row r="920">
          <cell r="A920">
            <v>1618424</v>
          </cell>
          <cell r="B920" t="str">
            <v>ASSY,#18 COPPER SCREEN ROOM</v>
          </cell>
          <cell r="C920" t="str">
            <v>EA</v>
          </cell>
          <cell r="D920" t="str">
            <v>FG011</v>
          </cell>
          <cell r="E920">
            <v>14930.11</v>
          </cell>
          <cell r="G920">
            <v>1618424</v>
          </cell>
        </row>
        <row r="921">
          <cell r="A921">
            <v>1618425</v>
          </cell>
          <cell r="B921" t="str">
            <v>ASSY,#22 COPPER SCREEN ROOM</v>
          </cell>
          <cell r="C921" t="str">
            <v>EA</v>
          </cell>
          <cell r="D921" t="str">
            <v>FG011</v>
          </cell>
          <cell r="E921">
            <v>7887.6339399999997</v>
          </cell>
          <cell r="G921">
            <v>1618425</v>
          </cell>
        </row>
        <row r="922">
          <cell r="A922">
            <v>1618426</v>
          </cell>
          <cell r="B922" t="str">
            <v>ASSY,#12W COPPER SCREEN ROOM</v>
          </cell>
          <cell r="C922" t="str">
            <v>EA</v>
          </cell>
          <cell r="D922" t="str">
            <v>FG011</v>
          </cell>
          <cell r="E922">
            <v>9363.2410099999997</v>
          </cell>
          <cell r="G922">
            <v>1618426</v>
          </cell>
        </row>
        <row r="923">
          <cell r="A923">
            <v>1618427</v>
          </cell>
          <cell r="B923" t="str">
            <v>ASSY,#14W COPPER SCREEN ROOM</v>
          </cell>
          <cell r="C923" t="str">
            <v>EA</v>
          </cell>
          <cell r="D923" t="str">
            <v>FG011</v>
          </cell>
          <cell r="E923">
            <v>5817.9066300000004</v>
          </cell>
          <cell r="G923">
            <v>1618427</v>
          </cell>
        </row>
        <row r="924">
          <cell r="A924">
            <v>1618428</v>
          </cell>
          <cell r="B924" t="str">
            <v>ASSY,#18W COPPER SCREEN ROOM</v>
          </cell>
          <cell r="C924" t="str">
            <v>EA</v>
          </cell>
          <cell r="D924" t="str">
            <v>FG011</v>
          </cell>
          <cell r="E924">
            <v>9015.3031800000008</v>
          </cell>
          <cell r="G924">
            <v>1618428</v>
          </cell>
        </row>
        <row r="925">
          <cell r="A925">
            <v>1618429</v>
          </cell>
          <cell r="B925" t="str">
            <v>ASSY,#22W COPPER SCREEN ROOM</v>
          </cell>
          <cell r="C925" t="str">
            <v>EA</v>
          </cell>
          <cell r="D925" t="str">
            <v>FG011</v>
          </cell>
          <cell r="E925">
            <v>17792.211139999999</v>
          </cell>
          <cell r="G925">
            <v>1618429</v>
          </cell>
        </row>
        <row r="926">
          <cell r="A926">
            <v>1618434</v>
          </cell>
          <cell r="B926" t="str">
            <v>DEI DOOR ASSY,  23.5 SQR DJ X 18SQR CO</v>
          </cell>
          <cell r="C926" t="str">
            <v>EA</v>
          </cell>
          <cell r="D926" t="str">
            <v>MA100</v>
          </cell>
          <cell r="E926">
            <v>475.56524000000002</v>
          </cell>
          <cell r="G926">
            <v>1618434</v>
          </cell>
        </row>
        <row r="927">
          <cell r="A927">
            <v>1618482</v>
          </cell>
          <cell r="B927" t="str">
            <v>COVER, MIDDLE, IOSD</v>
          </cell>
          <cell r="C927" t="str">
            <v>EA</v>
          </cell>
          <cell r="D927" t="str">
            <v>MA100</v>
          </cell>
          <cell r="E927">
            <v>77.58</v>
          </cell>
          <cell r="G927">
            <v>1618482</v>
          </cell>
        </row>
        <row r="928">
          <cell r="A928">
            <v>1618613</v>
          </cell>
          <cell r="B928" t="str">
            <v>VENT,CRYO ALUM 8X36 W/14X14X1/4, 24-1/4"</v>
          </cell>
          <cell r="C928" t="str">
            <v>EA</v>
          </cell>
          <cell r="D928" t="str">
            <v>RM100</v>
          </cell>
          <cell r="E928">
            <v>109</v>
          </cell>
          <cell r="G928">
            <v>1618613</v>
          </cell>
        </row>
        <row r="929">
          <cell r="A929">
            <v>1618697</v>
          </cell>
          <cell r="B929" t="str">
            <v>VENT,CRYO ALUM 8X36, 11.375" OFFSET</v>
          </cell>
          <cell r="C929" t="str">
            <v>EA</v>
          </cell>
          <cell r="D929" t="str">
            <v>RM100</v>
          </cell>
          <cell r="E929">
            <v>110</v>
          </cell>
          <cell r="G929">
            <v>1618697</v>
          </cell>
        </row>
        <row r="930">
          <cell r="A930">
            <v>1618881</v>
          </cell>
          <cell r="B930" t="str">
            <v>CART,34.50 X 36.50 X 30.00</v>
          </cell>
          <cell r="C930" t="str">
            <v>EA</v>
          </cell>
          <cell r="D930" t="str">
            <v>MA420</v>
          </cell>
          <cell r="E930">
            <v>579.37392</v>
          </cell>
          <cell r="G930">
            <v>1618881</v>
          </cell>
        </row>
        <row r="931">
          <cell r="A931">
            <v>1618882</v>
          </cell>
          <cell r="B931" t="str">
            <v>PLYWOOD SHELF 34.5 X 36.5 CART</v>
          </cell>
          <cell r="C931" t="str">
            <v>EA</v>
          </cell>
          <cell r="D931" t="str">
            <v>MA100</v>
          </cell>
          <cell r="E931">
            <v>0</v>
          </cell>
          <cell r="G931">
            <v>1618882</v>
          </cell>
        </row>
        <row r="932">
          <cell r="A932">
            <v>1618908</v>
          </cell>
          <cell r="B932" t="str">
            <v>ENCLOSURE, AUTO OPERATOR, RH, 81"L</v>
          </cell>
          <cell r="C932" t="str">
            <v>EA</v>
          </cell>
          <cell r="D932" t="str">
            <v>MA100</v>
          </cell>
          <cell r="E932">
            <v>276.33999999999997</v>
          </cell>
          <cell r="G932">
            <v>1618908</v>
          </cell>
        </row>
        <row r="933">
          <cell r="A933">
            <v>1618995</v>
          </cell>
          <cell r="B933" t="str">
            <v>CPA-12x12-B-4S,2N,2B,1DC,1USB3</v>
          </cell>
          <cell r="C933" t="str">
            <v>EA</v>
          </cell>
          <cell r="D933" t="str">
            <v>MA410</v>
          </cell>
          <cell r="E933">
            <v>176.83418</v>
          </cell>
          <cell r="G933">
            <v>1618995</v>
          </cell>
        </row>
        <row r="934">
          <cell r="A934">
            <v>1618996</v>
          </cell>
          <cell r="B934" t="str">
            <v>CP-12x12-B-4S,2N,2B,1DC,1USB3</v>
          </cell>
          <cell r="C934" t="str">
            <v>EA</v>
          </cell>
          <cell r="D934" t="str">
            <v>MA410</v>
          </cell>
          <cell r="E934">
            <v>47.34178</v>
          </cell>
          <cell r="G934">
            <v>1618996</v>
          </cell>
        </row>
        <row r="935">
          <cell r="A935">
            <v>1619069</v>
          </cell>
          <cell r="B935" t="str">
            <v>VENT,CRYO SS 8X32 SIEMENS 6 INCH OFFSET</v>
          </cell>
          <cell r="C935" t="str">
            <v>EA</v>
          </cell>
          <cell r="D935" t="str">
            <v>RM100</v>
          </cell>
          <cell r="E935">
            <v>465</v>
          </cell>
          <cell r="G935">
            <v>1619069</v>
          </cell>
        </row>
        <row r="936">
          <cell r="A936">
            <v>1619109</v>
          </cell>
          <cell r="B936" t="str">
            <v>OBSOLETE</v>
          </cell>
          <cell r="C936" t="str">
            <v>EA</v>
          </cell>
          <cell r="D936" t="str">
            <v>RM100</v>
          </cell>
          <cell r="E936">
            <v>55.619</v>
          </cell>
          <cell r="G936">
            <v>1619109</v>
          </cell>
        </row>
        <row r="937">
          <cell r="A937">
            <v>1619314</v>
          </cell>
          <cell r="B937" t="str">
            <v>CRYO,TOSHIBA,6"X33",2 END FLNG</v>
          </cell>
          <cell r="C937" t="str">
            <v>EA</v>
          </cell>
          <cell r="D937" t="str">
            <v>RM100</v>
          </cell>
          <cell r="E937">
            <v>399</v>
          </cell>
          <cell r="G937">
            <v>1619314</v>
          </cell>
        </row>
        <row r="938">
          <cell r="A938">
            <v>1619316</v>
          </cell>
          <cell r="B938" t="str">
            <v>5240-36 TABLE MODEL (IG43275)</v>
          </cell>
          <cell r="C938" t="str">
            <v>EA</v>
          </cell>
          <cell r="D938" t="str">
            <v>MA100</v>
          </cell>
          <cell r="E938">
            <v>5204.2147199999999</v>
          </cell>
          <cell r="G938">
            <v>1619316</v>
          </cell>
        </row>
        <row r="939">
          <cell r="A939">
            <v>1619346</v>
          </cell>
          <cell r="B939" t="str">
            <v>CORD 3COND M/F UK UNSHIELD 2.5M</v>
          </cell>
          <cell r="C939" t="str">
            <v>EA</v>
          </cell>
          <cell r="D939" t="str">
            <v>RM100</v>
          </cell>
          <cell r="E939">
            <v>9.58</v>
          </cell>
          <cell r="G939">
            <v>1619346</v>
          </cell>
        </row>
        <row r="940">
          <cell r="A940">
            <v>1619373</v>
          </cell>
          <cell r="B940" t="str">
            <v>CP-12x12-B-2W</v>
          </cell>
          <cell r="C940" t="str">
            <v>EA</v>
          </cell>
          <cell r="D940" t="str">
            <v>MA100</v>
          </cell>
          <cell r="E940">
            <v>72.934380000000004</v>
          </cell>
          <cell r="G940">
            <v>1619373</v>
          </cell>
        </row>
        <row r="941">
          <cell r="A941">
            <v>1619374</v>
          </cell>
          <cell r="B941" t="str">
            <v>CPA-12x12-B-4N,2D25,1W</v>
          </cell>
          <cell r="C941" t="str">
            <v>EA</v>
          </cell>
          <cell r="D941" t="str">
            <v>MA410</v>
          </cell>
          <cell r="E941">
            <v>346.55178000000001</v>
          </cell>
          <cell r="G941">
            <v>1619374</v>
          </cell>
        </row>
        <row r="942">
          <cell r="A942">
            <v>1619375</v>
          </cell>
          <cell r="B942" t="str">
            <v>ASSY,#12 COPPER SCREEN ROOM,INSIDE BOLT</v>
          </cell>
          <cell r="C942" t="str">
            <v>EA</v>
          </cell>
          <cell r="D942" t="str">
            <v>MA100</v>
          </cell>
          <cell r="E942">
            <v>3990.3428199999998</v>
          </cell>
          <cell r="G942">
            <v>1619375</v>
          </cell>
        </row>
        <row r="943">
          <cell r="A943">
            <v>1619376</v>
          </cell>
          <cell r="B943" t="str">
            <v>ASSY,#14 COPPER SCREEN ROOM,INSIDE BOLT</v>
          </cell>
          <cell r="C943" t="str">
            <v>EA</v>
          </cell>
          <cell r="D943" t="str">
            <v>MA100</v>
          </cell>
          <cell r="E943">
            <v>14027.93669</v>
          </cell>
          <cell r="G943">
            <v>1619376</v>
          </cell>
        </row>
        <row r="944">
          <cell r="A944">
            <v>1619377</v>
          </cell>
          <cell r="B944" t="str">
            <v>ASSY,#18 COPPER SCREEN ROOM,INSIDE BOLT</v>
          </cell>
          <cell r="C944" t="str">
            <v>EA</v>
          </cell>
          <cell r="D944" t="str">
            <v>MA100</v>
          </cell>
          <cell r="E944">
            <v>5512.4235600000002</v>
          </cell>
          <cell r="G944">
            <v>1619377</v>
          </cell>
        </row>
        <row r="945">
          <cell r="A945">
            <v>1619378</v>
          </cell>
          <cell r="B945" t="str">
            <v>ASSY,#22 COPPER SCREEN ROOM,INSIDE BOLT</v>
          </cell>
          <cell r="C945" t="str">
            <v>EA</v>
          </cell>
          <cell r="D945" t="str">
            <v>MA100</v>
          </cell>
          <cell r="E945">
            <v>7383.5632800000003</v>
          </cell>
          <cell r="G945">
            <v>1619378</v>
          </cell>
        </row>
        <row r="946">
          <cell r="A946">
            <v>1619379</v>
          </cell>
          <cell r="B946" t="str">
            <v>ASSY,#12W COPPER SCREEN ROOM,INSIDE BOLT</v>
          </cell>
          <cell r="C946" t="str">
            <v>EA</v>
          </cell>
          <cell r="D946" t="str">
            <v>MA100</v>
          </cell>
          <cell r="E946">
            <v>4269.14282</v>
          </cell>
          <cell r="G946">
            <v>1619379</v>
          </cell>
        </row>
        <row r="947">
          <cell r="A947">
            <v>1619380</v>
          </cell>
          <cell r="B947" t="str">
            <v>ASSY,#14W COPPER SCREEN ROOM,INSIDE BOLT</v>
          </cell>
          <cell r="C947" t="str">
            <v>EA</v>
          </cell>
          <cell r="D947" t="str">
            <v>MA100</v>
          </cell>
          <cell r="E947">
            <v>5510.9306500000002</v>
          </cell>
          <cell r="G947">
            <v>1619380</v>
          </cell>
        </row>
        <row r="948">
          <cell r="A948">
            <v>1619381</v>
          </cell>
          <cell r="B948" t="str">
            <v>ASSY,#18W COPPER SCREEN ROOM,INSIDE BOLT</v>
          </cell>
          <cell r="C948" t="str">
            <v>EA</v>
          </cell>
          <cell r="D948" t="str">
            <v>MA100</v>
          </cell>
          <cell r="E948">
            <v>16420.161059999999</v>
          </cell>
          <cell r="G948">
            <v>1619381</v>
          </cell>
        </row>
        <row r="949">
          <cell r="A949">
            <v>1619382</v>
          </cell>
          <cell r="B949" t="str">
            <v>ASSY,#22W COPPER SCREEN ROOM,INSIDE BOLT</v>
          </cell>
          <cell r="C949" t="str">
            <v>EA</v>
          </cell>
          <cell r="D949" t="str">
            <v>MA100</v>
          </cell>
          <cell r="E949">
            <v>8000.2032799999997</v>
          </cell>
          <cell r="G949">
            <v>1619382</v>
          </cell>
        </row>
        <row r="950">
          <cell r="A950">
            <v>1619387</v>
          </cell>
          <cell r="B950" t="str">
            <v>EVO44,S,48",OS,BA,LH,NO,MA, 8-FT</v>
          </cell>
          <cell r="C950" t="str">
            <v>EA</v>
          </cell>
          <cell r="D950" t="str">
            <v>MA100</v>
          </cell>
          <cell r="E950">
            <v>5558.7905499999997</v>
          </cell>
          <cell r="G950">
            <v>1619387</v>
          </cell>
        </row>
        <row r="951">
          <cell r="A951">
            <v>1619522</v>
          </cell>
          <cell r="B951" t="str">
            <v>PLT,BR,8.5"X95"X1/8",6SMA, 1WG1-1/2"</v>
          </cell>
          <cell r="C951" t="str">
            <v>EA</v>
          </cell>
          <cell r="D951" t="str">
            <v>MA100</v>
          </cell>
          <cell r="E951">
            <v>68.777879999999996</v>
          </cell>
          <cell r="G951">
            <v>1619522</v>
          </cell>
        </row>
        <row r="952">
          <cell r="A952">
            <v>1619538</v>
          </cell>
          <cell r="B952" t="str">
            <v>5240-CUSTOM, 36x30x36, (IG43263)</v>
          </cell>
          <cell r="C952" t="str">
            <v>EA</v>
          </cell>
          <cell r="D952" t="str">
            <v>MA100</v>
          </cell>
          <cell r="E952">
            <v>0</v>
          </cell>
          <cell r="G952">
            <v>1619538</v>
          </cell>
        </row>
        <row r="953">
          <cell r="A953">
            <v>1619546</v>
          </cell>
          <cell r="B953" t="str">
            <v>PLATE, LAP PLATE FOR 4"-6" CRYO SIEMENS</v>
          </cell>
          <cell r="C953" t="str">
            <v>EA</v>
          </cell>
          <cell r="D953" t="str">
            <v>MA100</v>
          </cell>
          <cell r="E953">
            <v>196.90415999999999</v>
          </cell>
          <cell r="G953">
            <v>1619546</v>
          </cell>
        </row>
        <row r="954">
          <cell r="A954">
            <v>1619673</v>
          </cell>
          <cell r="B954" t="str">
            <v>PLATE, LAP PLATE FOR EMER HATCH W/ JAMB</v>
          </cell>
          <cell r="C954" t="str">
            <v>EA</v>
          </cell>
          <cell r="D954" t="str">
            <v>MA100</v>
          </cell>
          <cell r="E954">
            <v>225.4119</v>
          </cell>
          <cell r="G954">
            <v>1619673</v>
          </cell>
        </row>
        <row r="955">
          <cell r="A955">
            <v>1619674</v>
          </cell>
          <cell r="B955" t="str">
            <v>PLT,CONN,BRS,FRM RECVR PLT,22X25</v>
          </cell>
          <cell r="C955" t="str">
            <v>EA</v>
          </cell>
          <cell r="D955" t="str">
            <v>MA100</v>
          </cell>
          <cell r="E955">
            <v>170.34884</v>
          </cell>
          <cell r="G955">
            <v>1619674</v>
          </cell>
        </row>
        <row r="956">
          <cell r="A956">
            <v>1619677</v>
          </cell>
          <cell r="B956" t="str">
            <v>PLT,CONN,BRS,COVER, 19X22</v>
          </cell>
          <cell r="C956" t="str">
            <v>EA</v>
          </cell>
          <cell r="D956" t="str">
            <v>MA100</v>
          </cell>
          <cell r="E956">
            <v>22.255749999999999</v>
          </cell>
          <cell r="G956">
            <v>1619677</v>
          </cell>
        </row>
        <row r="957">
          <cell r="A957">
            <v>1619680</v>
          </cell>
          <cell r="B957" t="str">
            <v>ASSY,CONN,BR,19X22-22X25</v>
          </cell>
          <cell r="C957" t="str">
            <v>EA</v>
          </cell>
          <cell r="D957" t="str">
            <v>MA100</v>
          </cell>
          <cell r="E957">
            <v>192.60459</v>
          </cell>
          <cell r="G957">
            <v>1619680</v>
          </cell>
        </row>
        <row r="958">
          <cell r="A958">
            <v>1619813</v>
          </cell>
          <cell r="B958" t="str">
            <v>CPA-12x12-B-BLANK</v>
          </cell>
          <cell r="C958" t="str">
            <v>EA</v>
          </cell>
          <cell r="D958" t="str">
            <v>MA100</v>
          </cell>
          <cell r="E958">
            <v>252.43458999999999</v>
          </cell>
          <cell r="G958">
            <v>1619813</v>
          </cell>
        </row>
        <row r="959">
          <cell r="A959">
            <v>1619814</v>
          </cell>
          <cell r="B959" t="str">
            <v>CP-12x12-B-BLANK</v>
          </cell>
          <cell r="C959" t="str">
            <v>EA</v>
          </cell>
          <cell r="D959" t="str">
            <v>MA410</v>
          </cell>
          <cell r="E959">
            <v>36.467190000000002</v>
          </cell>
          <cell r="G959">
            <v>1619814</v>
          </cell>
        </row>
        <row r="960">
          <cell r="A960">
            <v>1619875</v>
          </cell>
          <cell r="B960" t="str">
            <v>TRIM,DR LEF,CARTRIDGE SIDE,EVO</v>
          </cell>
          <cell r="C960" t="str">
            <v>EA</v>
          </cell>
          <cell r="D960" t="str">
            <v>RM100</v>
          </cell>
          <cell r="E960">
            <v>96</v>
          </cell>
          <cell r="G960">
            <v>1619875</v>
          </cell>
        </row>
        <row r="961">
          <cell r="A961">
            <v>1619878</v>
          </cell>
          <cell r="B961" t="str">
            <v>VENT,CRYO ALUM 8X36, 12" OFFSET</v>
          </cell>
          <cell r="C961" t="str">
            <v>EA</v>
          </cell>
          <cell r="D961" t="str">
            <v>RM100</v>
          </cell>
          <cell r="E961">
            <v>110</v>
          </cell>
          <cell r="G961">
            <v>1619878</v>
          </cell>
        </row>
        <row r="962">
          <cell r="A962">
            <v>1619913</v>
          </cell>
          <cell r="B962" t="str">
            <v>PLATE,TOP/BOTTOM,AIR CYL SUPPORT,36"</v>
          </cell>
          <cell r="C962" t="str">
            <v>EA</v>
          </cell>
          <cell r="D962" t="str">
            <v>RM100</v>
          </cell>
          <cell r="E962">
            <v>0</v>
          </cell>
          <cell r="G962">
            <v>1619913</v>
          </cell>
        </row>
        <row r="963">
          <cell r="A963">
            <v>1619914</v>
          </cell>
          <cell r="B963" t="str">
            <v>ROD,7/16DIAx35.5L,403SS,EVO CYL TOP/BOTT</v>
          </cell>
          <cell r="C963" t="str">
            <v>EA</v>
          </cell>
          <cell r="D963" t="str">
            <v>RM100</v>
          </cell>
          <cell r="E963">
            <v>23.4</v>
          </cell>
          <cell r="G963">
            <v>1619914</v>
          </cell>
        </row>
        <row r="964">
          <cell r="A964">
            <v>1619915</v>
          </cell>
          <cell r="B964" t="str">
            <v>CVR,BASE,3FT DR SEAL MECHANISM,EVO</v>
          </cell>
          <cell r="C964" t="str">
            <v>EA</v>
          </cell>
          <cell r="D964" t="str">
            <v>RM100</v>
          </cell>
          <cell r="E964">
            <v>29.27</v>
          </cell>
          <cell r="G964">
            <v>1619915</v>
          </cell>
        </row>
        <row r="965">
          <cell r="A965">
            <v>1619916</v>
          </cell>
          <cell r="B965" t="str">
            <v>EDGE GUARD, EVO 36"</v>
          </cell>
          <cell r="C965" t="str">
            <v>EA</v>
          </cell>
          <cell r="D965" t="str">
            <v>RM100</v>
          </cell>
          <cell r="E965">
            <v>8.27</v>
          </cell>
          <cell r="G965">
            <v>1619916</v>
          </cell>
        </row>
        <row r="966">
          <cell r="A966">
            <v>1619964</v>
          </cell>
          <cell r="B966" t="str">
            <v>PLATE,CONN BR 15-1/2x15-1/2, (1)S</v>
          </cell>
          <cell r="C966" t="str">
            <v>EA</v>
          </cell>
          <cell r="D966" t="str">
            <v>MA100</v>
          </cell>
          <cell r="E966">
            <v>100.54582000000001</v>
          </cell>
          <cell r="G966">
            <v>1619964</v>
          </cell>
        </row>
        <row r="967">
          <cell r="A967">
            <v>1619991</v>
          </cell>
          <cell r="B967" t="str">
            <v>VENT,CRYO ALUM 8X36 W/14X14X1/4, 4" END</v>
          </cell>
          <cell r="C967" t="str">
            <v>EA</v>
          </cell>
          <cell r="D967" t="str">
            <v>RM100</v>
          </cell>
          <cell r="E967">
            <v>0</v>
          </cell>
          <cell r="G967">
            <v>1619991</v>
          </cell>
        </row>
        <row r="968">
          <cell r="A968">
            <v>1620092</v>
          </cell>
          <cell r="B968" t="str">
            <v>VENT,CRYO SS 8X36 W/14X14X1/4, 4" END</v>
          </cell>
          <cell r="C968" t="str">
            <v>EA</v>
          </cell>
          <cell r="D968" t="str">
            <v>RM100</v>
          </cell>
          <cell r="E968">
            <v>110</v>
          </cell>
          <cell r="G968">
            <v>1620092</v>
          </cell>
        </row>
        <row r="969">
          <cell r="A969">
            <v>1621129</v>
          </cell>
          <cell r="B969" t="str">
            <v>VENT,CRYO SS 4X16 SIEMENS 4-12</v>
          </cell>
          <cell r="C969" t="str">
            <v>EA</v>
          </cell>
          <cell r="D969" t="str">
            <v>MA100</v>
          </cell>
          <cell r="E969">
            <v>310</v>
          </cell>
          <cell r="G969">
            <v>1621129</v>
          </cell>
        </row>
        <row r="970">
          <cell r="A970">
            <v>1621276</v>
          </cell>
          <cell r="B970" t="str">
            <v>CART,30.50 X 36.50 X 20.00</v>
          </cell>
          <cell r="C970" t="str">
            <v>EA</v>
          </cell>
          <cell r="D970" t="str">
            <v>MA420</v>
          </cell>
          <cell r="E970">
            <v>579.37392</v>
          </cell>
          <cell r="G970">
            <v>1621276</v>
          </cell>
        </row>
        <row r="971">
          <cell r="A971">
            <v>1621357</v>
          </cell>
          <cell r="B971" t="str">
            <v>ASSY,5240-24,18"X18"DR,2" DR TRIM</v>
          </cell>
          <cell r="C971" t="str">
            <v>EA</v>
          </cell>
          <cell r="D971" t="str">
            <v>MA100</v>
          </cell>
          <cell r="E971">
            <v>2023.89436</v>
          </cell>
          <cell r="G971">
            <v>1621357</v>
          </cell>
        </row>
        <row r="972">
          <cell r="A972">
            <v>1621358</v>
          </cell>
          <cell r="B972" t="str">
            <v>CP-12x12-B-1S,1W4</v>
          </cell>
          <cell r="C972" t="str">
            <v>EA</v>
          </cell>
          <cell r="D972" t="str">
            <v>MA100</v>
          </cell>
          <cell r="E972">
            <v>85.46969</v>
          </cell>
          <cell r="G972">
            <v>1621358</v>
          </cell>
        </row>
        <row r="973">
          <cell r="A973">
            <v>1621359</v>
          </cell>
          <cell r="B973" t="str">
            <v>CPA-12x12-B-6S,1W6</v>
          </cell>
          <cell r="C973" t="str">
            <v>EA</v>
          </cell>
          <cell r="D973" t="str">
            <v>MA410</v>
          </cell>
          <cell r="E973">
            <v>117.9624</v>
          </cell>
          <cell r="G973">
            <v>1621359</v>
          </cell>
        </row>
        <row r="974">
          <cell r="A974">
            <v>1621370</v>
          </cell>
          <cell r="B974" t="str">
            <v>LFB,BLU PAINT 2" THK CUSTOM</v>
          </cell>
          <cell r="C974" t="str">
            <v>EA</v>
          </cell>
          <cell r="D974" t="str">
            <v>FG201</v>
          </cell>
          <cell r="E974">
            <v>38.47</v>
          </cell>
          <cell r="G974">
            <v>1621370</v>
          </cell>
        </row>
        <row r="975">
          <cell r="A975">
            <v>1621371</v>
          </cell>
          <cell r="B975" t="str">
            <v>LFB,BLU PAINT 2" THK CUSTOM</v>
          </cell>
          <cell r="C975" t="str">
            <v>EA</v>
          </cell>
          <cell r="D975" t="str">
            <v>FG201</v>
          </cell>
          <cell r="E975">
            <v>38.47</v>
          </cell>
          <cell r="G975">
            <v>1621371</v>
          </cell>
        </row>
        <row r="976">
          <cell r="A976">
            <v>1621372</v>
          </cell>
          <cell r="B976" t="str">
            <v>LFB,BLU PAINT 2" THK CUSTOM</v>
          </cell>
          <cell r="C976" t="str">
            <v>EA</v>
          </cell>
          <cell r="D976" t="str">
            <v>FG201</v>
          </cell>
          <cell r="E976">
            <v>38.46</v>
          </cell>
          <cell r="G976">
            <v>1621372</v>
          </cell>
        </row>
        <row r="977">
          <cell r="A977">
            <v>1621373</v>
          </cell>
          <cell r="B977" t="str">
            <v>LFB,BLU PAINT 2" THK CUSTOM</v>
          </cell>
          <cell r="C977" t="str">
            <v>EA</v>
          </cell>
          <cell r="D977" t="str">
            <v>FG201</v>
          </cell>
          <cell r="E977">
            <v>38.46</v>
          </cell>
          <cell r="G977">
            <v>1621373</v>
          </cell>
        </row>
        <row r="978">
          <cell r="A978">
            <v>1621714</v>
          </cell>
          <cell r="B978" t="str">
            <v>ASSY,5240-36x30x36,2'x2'DR,2" DR TRIM</v>
          </cell>
          <cell r="C978" t="str">
            <v>EA</v>
          </cell>
          <cell r="D978" t="str">
            <v>MA100</v>
          </cell>
          <cell r="E978">
            <v>3818.8538199999998</v>
          </cell>
          <cell r="G978">
            <v>1621714</v>
          </cell>
        </row>
        <row r="979">
          <cell r="A979">
            <v>1621715</v>
          </cell>
          <cell r="B979" t="str">
            <v>5240-CUSTM,2'x2' DR,COPPER SKIN ASSEMBLY</v>
          </cell>
          <cell r="C979" t="str">
            <v>EA</v>
          </cell>
          <cell r="D979" t="str">
            <v>MA420</v>
          </cell>
          <cell r="E979">
            <v>3041.8827500000002</v>
          </cell>
          <cell r="G979">
            <v>1621715</v>
          </cell>
        </row>
        <row r="980">
          <cell r="A980">
            <v>1621716</v>
          </cell>
          <cell r="B980" t="str">
            <v>5240-36,WOOD STRUCTURE,2'x2'C.O. DOOR</v>
          </cell>
          <cell r="C980" t="str">
            <v>EA</v>
          </cell>
          <cell r="D980" t="str">
            <v>MA420</v>
          </cell>
          <cell r="E980">
            <v>35.45055</v>
          </cell>
          <cell r="G980">
            <v>1621716</v>
          </cell>
        </row>
        <row r="981">
          <cell r="A981">
            <v>1621717</v>
          </cell>
          <cell r="B981" t="str">
            <v>5240-36,WOOD STRUCTURE,2'x2'C.O. DOOR</v>
          </cell>
          <cell r="C981" t="str">
            <v>EA</v>
          </cell>
          <cell r="D981" t="str">
            <v>MA420</v>
          </cell>
          <cell r="E981">
            <v>35.45055</v>
          </cell>
          <cell r="G981">
            <v>1621717</v>
          </cell>
        </row>
        <row r="982">
          <cell r="A982">
            <v>1621718</v>
          </cell>
          <cell r="B982" t="str">
            <v>5240-36,WOOD STRUCTURE,2'x2'C.O. DOOR</v>
          </cell>
          <cell r="C982" t="str">
            <v>EA</v>
          </cell>
          <cell r="D982" t="str">
            <v>MA420</v>
          </cell>
          <cell r="E982">
            <v>35.45055</v>
          </cell>
          <cell r="G982">
            <v>1621718</v>
          </cell>
        </row>
        <row r="983">
          <cell r="A983">
            <v>1621719</v>
          </cell>
          <cell r="B983" t="str">
            <v>5240-36,WOOD STRUCTURE,2'x2'C.O. DOOR</v>
          </cell>
          <cell r="C983" t="str">
            <v>EA</v>
          </cell>
          <cell r="D983" t="str">
            <v>MA420</v>
          </cell>
          <cell r="E983">
            <v>35.45055</v>
          </cell>
          <cell r="G983">
            <v>1621719</v>
          </cell>
        </row>
        <row r="984">
          <cell r="A984">
            <v>1621720</v>
          </cell>
          <cell r="B984" t="str">
            <v>CU,24OZ,5240-CUSTOM,SIDES</v>
          </cell>
          <cell r="C984" t="str">
            <v>EA</v>
          </cell>
          <cell r="D984" t="str">
            <v>MA420</v>
          </cell>
          <cell r="E984">
            <v>0</v>
          </cell>
          <cell r="G984">
            <v>1621720</v>
          </cell>
        </row>
        <row r="985">
          <cell r="A985">
            <v>1621721</v>
          </cell>
          <cell r="B985" t="str">
            <v>CU,24OZ,5240-CUSTOM,TOP &amp; BOTTOM</v>
          </cell>
          <cell r="C985" t="str">
            <v>EA</v>
          </cell>
          <cell r="D985" t="str">
            <v>MA420</v>
          </cell>
          <cell r="E985">
            <v>0</v>
          </cell>
          <cell r="G985">
            <v>1621721</v>
          </cell>
        </row>
        <row r="986">
          <cell r="A986">
            <v>1621722</v>
          </cell>
          <cell r="B986" t="str">
            <v>D/J LUM,1-3/4"x5-1/4"x34-1/2"</v>
          </cell>
          <cell r="C986" t="str">
            <v>EA</v>
          </cell>
          <cell r="D986" t="str">
            <v>MA100</v>
          </cell>
          <cell r="E986">
            <v>8.5500000000000007</v>
          </cell>
          <cell r="G986">
            <v>1621722</v>
          </cell>
        </row>
        <row r="987">
          <cell r="A987">
            <v>1621723</v>
          </cell>
          <cell r="B987" t="str">
            <v>5240-CUSTM,D/J,34-1/2"x34-1/2",2'x2'C.O.</v>
          </cell>
          <cell r="C987" t="str">
            <v>EA</v>
          </cell>
          <cell r="D987" t="str">
            <v>MA100</v>
          </cell>
          <cell r="E987">
            <v>34.930030000000002</v>
          </cell>
          <cell r="G987">
            <v>1621723</v>
          </cell>
        </row>
        <row r="988">
          <cell r="A988">
            <v>1621724</v>
          </cell>
          <cell r="B988" t="str">
            <v>PLYWOOD,34-1/2"x34-1/2"x3/4",ACX</v>
          </cell>
          <cell r="C988" t="str">
            <v>EA</v>
          </cell>
          <cell r="D988" t="str">
            <v>MA420</v>
          </cell>
          <cell r="E988">
            <v>0</v>
          </cell>
          <cell r="G988">
            <v>1621724</v>
          </cell>
        </row>
        <row r="989">
          <cell r="A989">
            <v>1621725</v>
          </cell>
          <cell r="B989" t="str">
            <v>PLYWOOD,34-1/2"x30"x3/4",ACX</v>
          </cell>
          <cell r="C989" t="str">
            <v>EA</v>
          </cell>
          <cell r="D989" t="str">
            <v>MA420</v>
          </cell>
          <cell r="E989">
            <v>0</v>
          </cell>
          <cell r="G989">
            <v>1621725</v>
          </cell>
        </row>
        <row r="990">
          <cell r="A990">
            <v>1621726</v>
          </cell>
          <cell r="B990" t="str">
            <v>PLYWOOD,36"x30"x3/4",ACX</v>
          </cell>
          <cell r="C990" t="str">
            <v>EA</v>
          </cell>
          <cell r="D990" t="str">
            <v>MA420</v>
          </cell>
          <cell r="E990">
            <v>0</v>
          </cell>
          <cell r="G990">
            <v>1621726</v>
          </cell>
        </row>
        <row r="991">
          <cell r="A991">
            <v>1621727</v>
          </cell>
          <cell r="B991" t="str">
            <v>5240-36,WOOD STRUCTURE,2'x2'C.O. DOOR</v>
          </cell>
          <cell r="C991" t="str">
            <v>EA</v>
          </cell>
          <cell r="D991" t="str">
            <v>MA420</v>
          </cell>
          <cell r="E991">
            <v>35.45055</v>
          </cell>
          <cell r="G991">
            <v>1621727</v>
          </cell>
        </row>
        <row r="992">
          <cell r="A992">
            <v>1621728</v>
          </cell>
          <cell r="B992" t="str">
            <v>5240-36,WOOD STRUCTURE,2'x2'C.O. DOOR</v>
          </cell>
          <cell r="C992" t="str">
            <v>EA</v>
          </cell>
          <cell r="D992" t="str">
            <v>MA420</v>
          </cell>
          <cell r="E992">
            <v>35.45055</v>
          </cell>
          <cell r="G992">
            <v>1621728</v>
          </cell>
        </row>
        <row r="993">
          <cell r="A993">
            <v>1621729</v>
          </cell>
          <cell r="B993" t="str">
            <v>5240-CUSTOM,WOOD STRUCTURE,2'X2' C.O.</v>
          </cell>
          <cell r="C993" t="str">
            <v>EA</v>
          </cell>
          <cell r="D993" t="str">
            <v>MA100</v>
          </cell>
          <cell r="E993">
            <v>35.439630000000001</v>
          </cell>
          <cell r="G993">
            <v>1621729</v>
          </cell>
        </row>
        <row r="994">
          <cell r="A994">
            <v>1621734</v>
          </cell>
          <cell r="B994" t="str">
            <v>CRYO, HITACHI, 4" ID, 29 3/8" LONG</v>
          </cell>
          <cell r="C994" t="str">
            <v>EA</v>
          </cell>
          <cell r="D994" t="str">
            <v>MA100</v>
          </cell>
          <cell r="E994">
            <v>306.25</v>
          </cell>
          <cell r="G994">
            <v>1621734</v>
          </cell>
        </row>
        <row r="995">
          <cell r="A995">
            <v>1621735</v>
          </cell>
          <cell r="B995" t="str">
            <v>ASSY,5240-CUSTOM,36"X30"X36",2'X2' DR,</v>
          </cell>
          <cell r="C995" t="str">
            <v>EA</v>
          </cell>
          <cell r="D995" t="str">
            <v>MA100</v>
          </cell>
          <cell r="E995">
            <v>8062.3000599999996</v>
          </cell>
          <cell r="G995">
            <v>1621735</v>
          </cell>
        </row>
        <row r="996">
          <cell r="A996">
            <v>1621736</v>
          </cell>
          <cell r="B996" t="str">
            <v>LFB,BLU PAINT 2" THK CUSTOM</v>
          </cell>
          <cell r="C996" t="str">
            <v>EA</v>
          </cell>
          <cell r="D996" t="str">
            <v>FG201</v>
          </cell>
          <cell r="E996">
            <v>33.353189999999998</v>
          </cell>
          <cell r="G996">
            <v>1621736</v>
          </cell>
        </row>
        <row r="997">
          <cell r="A997">
            <v>1621737</v>
          </cell>
          <cell r="B997" t="str">
            <v>LFB,BLU PAINT 2" THK CUSTOM</v>
          </cell>
          <cell r="C997" t="str">
            <v>EA</v>
          </cell>
          <cell r="D997" t="str">
            <v>FG201</v>
          </cell>
          <cell r="E997">
            <v>33.353189999999998</v>
          </cell>
          <cell r="G997">
            <v>1621737</v>
          </cell>
        </row>
        <row r="998">
          <cell r="A998">
            <v>1621738</v>
          </cell>
          <cell r="B998" t="str">
            <v>LFB,BLU PAINT 2" THK CUSTOM</v>
          </cell>
          <cell r="C998" t="str">
            <v>EA</v>
          </cell>
          <cell r="D998" t="str">
            <v>FG201</v>
          </cell>
          <cell r="E998">
            <v>33.353189999999998</v>
          </cell>
          <cell r="G998">
            <v>1621738</v>
          </cell>
        </row>
        <row r="999">
          <cell r="A999">
            <v>1621750</v>
          </cell>
          <cell r="B999" t="str">
            <v>KIT,DUPLEX OUTLET</v>
          </cell>
          <cell r="C999" t="str">
            <v>EA</v>
          </cell>
          <cell r="D999" t="str">
            <v>MA100</v>
          </cell>
          <cell r="E999">
            <v>21.702349999999999</v>
          </cell>
          <cell r="G999">
            <v>1621750</v>
          </cell>
        </row>
        <row r="1000">
          <cell r="A1000">
            <v>1621826</v>
          </cell>
          <cell r="B1000" t="str">
            <v>ASSY,5240-18,12"X12"DR,STD TRIM,CUSTOM</v>
          </cell>
          <cell r="C1000" t="str">
            <v>EA</v>
          </cell>
          <cell r="D1000" t="str">
            <v>MA100</v>
          </cell>
          <cell r="E1000">
            <v>1071.8695499999999</v>
          </cell>
          <cell r="G1000">
            <v>1621826</v>
          </cell>
        </row>
        <row r="1001">
          <cell r="A1001">
            <v>1621841</v>
          </cell>
          <cell r="B1001" t="str">
            <v>ASSY,5240-18,12"X12"DR,STD TRIM</v>
          </cell>
          <cell r="C1001" t="str">
            <v>EA</v>
          </cell>
          <cell r="D1001" t="str">
            <v>MA100</v>
          </cell>
          <cell r="E1001">
            <v>682.80159000000003</v>
          </cell>
          <cell r="G1001">
            <v>1621841</v>
          </cell>
        </row>
        <row r="1002">
          <cell r="A1002">
            <v>1621923</v>
          </cell>
          <cell r="B1002" t="str">
            <v>PLATE,LAP PLT,6" DBL PHILIPS PATIENT AIR</v>
          </cell>
          <cell r="C1002" t="str">
            <v>EA</v>
          </cell>
          <cell r="D1002" t="str">
            <v>MA100</v>
          </cell>
          <cell r="E1002">
            <v>29.1873</v>
          </cell>
          <cell r="G1002">
            <v>1621923</v>
          </cell>
        </row>
        <row r="1003">
          <cell r="A1003">
            <v>1621951</v>
          </cell>
          <cell r="B1003" t="str">
            <v>EVO LATCH SWITCH SPACER</v>
          </cell>
          <cell r="C1003" t="str">
            <v>EA</v>
          </cell>
          <cell r="D1003" t="str">
            <v>RM100</v>
          </cell>
          <cell r="E1003">
            <v>4.0999999999999996</v>
          </cell>
          <cell r="G1003">
            <v>1621951</v>
          </cell>
        </row>
        <row r="1004">
          <cell r="A1004">
            <v>1622010</v>
          </cell>
          <cell r="B1004" t="str">
            <v>LAP PLATE,3/8"x4" INTGR 12x16 AIR VENT</v>
          </cell>
          <cell r="C1004" t="str">
            <v>EA</v>
          </cell>
          <cell r="D1004" t="str">
            <v>MA100</v>
          </cell>
          <cell r="E1004">
            <v>34.486519999999999</v>
          </cell>
          <cell r="G1004">
            <v>1622010</v>
          </cell>
        </row>
        <row r="1005">
          <cell r="A1005">
            <v>1622014</v>
          </cell>
          <cell r="B1005" t="str">
            <v>LAM,SS CVR,IOSD ACOUSTIC,RH</v>
          </cell>
          <cell r="C1005" t="str">
            <v>EA</v>
          </cell>
          <cell r="D1005" t="str">
            <v>MA100</v>
          </cell>
          <cell r="E1005">
            <v>275</v>
          </cell>
          <cell r="G1005">
            <v>1622014</v>
          </cell>
        </row>
        <row r="1006">
          <cell r="A1006">
            <v>1622192</v>
          </cell>
          <cell r="B1006" t="str">
            <v>EVO 7' JAMB NUT BAR MANUAL LATCH SIDE</v>
          </cell>
          <cell r="C1006" t="str">
            <v>EA</v>
          </cell>
          <cell r="D1006" t="str">
            <v>RM100</v>
          </cell>
          <cell r="E1006">
            <v>12.2</v>
          </cell>
          <cell r="G1006">
            <v>1622192</v>
          </cell>
        </row>
        <row r="1007">
          <cell r="A1007">
            <v>1622206</v>
          </cell>
          <cell r="B1007" t="str">
            <v>CRYO, HITACHI, 4" ID, 46-3/4" LONG</v>
          </cell>
          <cell r="C1007" t="str">
            <v>EA</v>
          </cell>
          <cell r="D1007" t="str">
            <v>RM100</v>
          </cell>
          <cell r="E1007">
            <v>418</v>
          </cell>
          <cell r="G1007">
            <v>1622206</v>
          </cell>
        </row>
        <row r="1008">
          <cell r="A1008">
            <v>1622229</v>
          </cell>
          <cell r="B1008" t="str">
            <v>LAMINATE COVER,RF SIDE</v>
          </cell>
          <cell r="C1008" t="str">
            <v>EA</v>
          </cell>
          <cell r="D1008" t="str">
            <v>MA100</v>
          </cell>
          <cell r="E1008">
            <v>0</v>
          </cell>
          <cell r="G1008">
            <v>1622229</v>
          </cell>
        </row>
        <row r="1009">
          <cell r="A1009">
            <v>1622230</v>
          </cell>
          <cell r="B1009" t="str">
            <v>LAMINATE COVER,NRF SIDE</v>
          </cell>
          <cell r="C1009" t="str">
            <v>EA</v>
          </cell>
          <cell r="D1009" t="str">
            <v>MA100</v>
          </cell>
          <cell r="E1009">
            <v>0</v>
          </cell>
          <cell r="G1009">
            <v>1622230</v>
          </cell>
        </row>
        <row r="1010">
          <cell r="A1010">
            <v>1622357</v>
          </cell>
          <cell r="B1010" t="str">
            <v>CPA-6x12-B-6S,18B</v>
          </cell>
          <cell r="C1010" t="str">
            <v>EA</v>
          </cell>
          <cell r="D1010" t="str">
            <v>MA410</v>
          </cell>
          <cell r="E1010">
            <v>306.36471999999998</v>
          </cell>
          <cell r="G1010">
            <v>1622357</v>
          </cell>
        </row>
        <row r="1011">
          <cell r="A1011">
            <v>1622358</v>
          </cell>
          <cell r="B1011" t="str">
            <v>CP-6x12-B-6S,18B</v>
          </cell>
          <cell r="C1011" t="str">
            <v>EA</v>
          </cell>
          <cell r="D1011" t="str">
            <v>MA410</v>
          </cell>
          <cell r="E1011">
            <v>108.86236</v>
          </cell>
          <cell r="G1011">
            <v>1622358</v>
          </cell>
        </row>
        <row r="1012">
          <cell r="A1012">
            <v>1622360</v>
          </cell>
          <cell r="B1012" t="str">
            <v>WLDMNT, CONN. PNL, 6x12, BRASS</v>
          </cell>
          <cell r="C1012" t="str">
            <v>EA</v>
          </cell>
          <cell r="D1012" t="str">
            <v>MA410</v>
          </cell>
          <cell r="E1012">
            <v>77.992360000000005</v>
          </cell>
          <cell r="G1012">
            <v>1622360</v>
          </cell>
        </row>
        <row r="1013">
          <cell r="A1013">
            <v>1622361</v>
          </cell>
          <cell r="B1013" t="str">
            <v>OBSOLETE</v>
          </cell>
          <cell r="C1013" t="str">
            <v>EA</v>
          </cell>
          <cell r="D1013" t="str">
            <v>MA100</v>
          </cell>
          <cell r="E1013">
            <v>6.45</v>
          </cell>
          <cell r="G1013">
            <v>1622361</v>
          </cell>
        </row>
        <row r="1014">
          <cell r="A1014">
            <v>1622362</v>
          </cell>
          <cell r="B1014" t="str">
            <v>OBSOLETE</v>
          </cell>
          <cell r="C1014" t="str">
            <v>EA</v>
          </cell>
          <cell r="D1014" t="str">
            <v>MA100</v>
          </cell>
          <cell r="E1014">
            <v>4.3</v>
          </cell>
          <cell r="G1014">
            <v>1622362</v>
          </cell>
        </row>
        <row r="1015">
          <cell r="A1015">
            <v>1622363</v>
          </cell>
          <cell r="B1015" t="str">
            <v>OBSOLETE</v>
          </cell>
          <cell r="C1015" t="str">
            <v>EA</v>
          </cell>
          <cell r="D1015" t="str">
            <v>MA100</v>
          </cell>
          <cell r="E1015">
            <v>6.45</v>
          </cell>
          <cell r="G1015">
            <v>1622363</v>
          </cell>
        </row>
        <row r="1016">
          <cell r="A1016">
            <v>1622364</v>
          </cell>
          <cell r="B1016" t="str">
            <v>OBSOLETE</v>
          </cell>
          <cell r="C1016" t="str">
            <v>EA</v>
          </cell>
          <cell r="D1016" t="str">
            <v>MA100</v>
          </cell>
          <cell r="E1016">
            <v>2.15</v>
          </cell>
          <cell r="G1016">
            <v>1622364</v>
          </cell>
        </row>
        <row r="1017">
          <cell r="A1017">
            <v>1622561</v>
          </cell>
          <cell r="B1017" t="str">
            <v>KWIK WIRE ROPE, 3/16",250' ROLL</v>
          </cell>
          <cell r="C1017" t="str">
            <v>FT</v>
          </cell>
          <cell r="D1017" t="str">
            <v>RM100</v>
          </cell>
          <cell r="E1017">
            <v>0.59699999999999998</v>
          </cell>
          <cell r="G1017">
            <v>1622561</v>
          </cell>
        </row>
        <row r="1018">
          <cell r="A1018">
            <v>1622562</v>
          </cell>
          <cell r="B1018" t="str">
            <v>KWIK WIRE CLAMP, 3/16"</v>
          </cell>
          <cell r="C1018" t="str">
            <v>EA</v>
          </cell>
          <cell r="D1018" t="str">
            <v>RM100</v>
          </cell>
          <cell r="E1018">
            <v>0.95</v>
          </cell>
          <cell r="G1018">
            <v>1622562</v>
          </cell>
        </row>
        <row r="1019">
          <cell r="A1019">
            <v>1622565</v>
          </cell>
          <cell r="B1019" t="str">
            <v>CORNER PROTECTOR, 9" X 9" X 11"</v>
          </cell>
          <cell r="C1019" t="str">
            <v>EA</v>
          </cell>
          <cell r="D1019" t="str">
            <v>RM100</v>
          </cell>
          <cell r="E1019">
            <v>10.119999999999999</v>
          </cell>
          <cell r="G1019">
            <v>1622565</v>
          </cell>
        </row>
        <row r="1020">
          <cell r="A1020">
            <v>1622567</v>
          </cell>
          <cell r="B1020" t="str">
            <v>ASSY,SEISMIC3"x2"x3/8"x15",3/8PWRS,STRAP</v>
          </cell>
          <cell r="C1020" t="str">
            <v>EA</v>
          </cell>
          <cell r="D1020" t="str">
            <v>MA100</v>
          </cell>
          <cell r="E1020">
            <v>78.979500000000002</v>
          </cell>
          <cell r="G1020">
            <v>1622567</v>
          </cell>
        </row>
        <row r="1021">
          <cell r="A1021">
            <v>1622721</v>
          </cell>
          <cell r="B1021" t="str">
            <v>PLT,BR,14"x18"x3/16",MAIN PLT</v>
          </cell>
          <cell r="C1021" t="str">
            <v>EA</v>
          </cell>
          <cell r="D1021" t="str">
            <v>MA100</v>
          </cell>
          <cell r="E1021">
            <v>559.952</v>
          </cell>
          <cell r="G1021">
            <v>1622721</v>
          </cell>
        </row>
        <row r="1022">
          <cell r="A1022">
            <v>1622751</v>
          </cell>
          <cell r="B1022" t="str">
            <v>LFB,BLU PAINT 4 1/2" THK CUSTOM</v>
          </cell>
          <cell r="C1022" t="str">
            <v>EA</v>
          </cell>
          <cell r="D1022" t="str">
            <v>FG201</v>
          </cell>
          <cell r="E1022">
            <v>0</v>
          </cell>
          <cell r="G1022">
            <v>1622751</v>
          </cell>
        </row>
        <row r="1023">
          <cell r="A1023">
            <v>1622752</v>
          </cell>
          <cell r="B1023" t="str">
            <v>LFB,BLU PAINT 4 1/2" THK CUSTOM</v>
          </cell>
          <cell r="C1023" t="str">
            <v>EA</v>
          </cell>
          <cell r="D1023" t="str">
            <v>FG201</v>
          </cell>
          <cell r="E1023">
            <v>0</v>
          </cell>
          <cell r="G1023">
            <v>1622752</v>
          </cell>
        </row>
        <row r="1024">
          <cell r="A1024">
            <v>1622753</v>
          </cell>
          <cell r="B1024" t="str">
            <v>LFB,BLU PAINT 4 1/2" THK CUSTOM</v>
          </cell>
          <cell r="C1024" t="str">
            <v>EA</v>
          </cell>
          <cell r="D1024" t="str">
            <v>FG201</v>
          </cell>
          <cell r="E1024">
            <v>0</v>
          </cell>
          <cell r="G1024">
            <v>1622753</v>
          </cell>
        </row>
        <row r="1025">
          <cell r="A1025">
            <v>1622754</v>
          </cell>
          <cell r="B1025" t="str">
            <v>CPA-12x12-B-2N,2S,1DB25</v>
          </cell>
          <cell r="C1025" t="str">
            <v>EA</v>
          </cell>
          <cell r="D1025" t="str">
            <v>MA100</v>
          </cell>
          <cell r="E1025">
            <v>289.3039</v>
          </cell>
          <cell r="G1025">
            <v>1622754</v>
          </cell>
        </row>
        <row r="1026">
          <cell r="A1026">
            <v>1622755</v>
          </cell>
          <cell r="B1026" t="str">
            <v>CP-12x12-B-2N,2S,1DB25</v>
          </cell>
          <cell r="C1026" t="str">
            <v>EA</v>
          </cell>
          <cell r="D1026" t="str">
            <v>MA410</v>
          </cell>
          <cell r="E1026">
            <v>73.336500000000001</v>
          </cell>
          <cell r="G1026">
            <v>1622755</v>
          </cell>
        </row>
        <row r="1027">
          <cell r="A1027">
            <v>1622794</v>
          </cell>
          <cell r="B1027" t="str">
            <v>LAM,EVO4X8 RH,WIN,NRF,SS</v>
          </cell>
          <cell r="C1027" t="str">
            <v>EA</v>
          </cell>
          <cell r="D1027" t="str">
            <v>MA100</v>
          </cell>
          <cell r="E1027">
            <v>183.98500000000001</v>
          </cell>
          <cell r="G1027">
            <v>1622794</v>
          </cell>
        </row>
        <row r="1028">
          <cell r="A1028">
            <v>1622795</v>
          </cell>
          <cell r="B1028" t="str">
            <v>LAM,EVO4X8 RH,WIN,RF,SS</v>
          </cell>
          <cell r="C1028" t="str">
            <v>EA</v>
          </cell>
          <cell r="D1028" t="str">
            <v>MA100</v>
          </cell>
          <cell r="E1028">
            <v>183.98500000000001</v>
          </cell>
          <cell r="G1028">
            <v>1622795</v>
          </cell>
        </row>
        <row r="1029">
          <cell r="A1029">
            <v>1622798</v>
          </cell>
          <cell r="B1029" t="str">
            <v>VENT,CRYO ALUM 8X36 W/14X14X1/4, 22"</v>
          </cell>
          <cell r="C1029" t="str">
            <v>EA</v>
          </cell>
          <cell r="D1029" t="str">
            <v>RM100</v>
          </cell>
          <cell r="E1029">
            <v>109</v>
          </cell>
          <cell r="G1029">
            <v>1622798</v>
          </cell>
        </row>
        <row r="1030">
          <cell r="A1030">
            <v>1622853</v>
          </cell>
          <cell r="B1030" t="str">
            <v>PLT,BR,4"X5.25"X1/8", SUB PLT</v>
          </cell>
          <cell r="C1030" t="str">
            <v>EA</v>
          </cell>
          <cell r="D1030" t="str">
            <v>MA100</v>
          </cell>
          <cell r="E1030">
            <v>28.02075</v>
          </cell>
          <cell r="G1030">
            <v>1622853</v>
          </cell>
        </row>
        <row r="1031">
          <cell r="A1031">
            <v>1622856</v>
          </cell>
          <cell r="B1031" t="str">
            <v>PLT,BR,4"X5.25"X1/8", SUB PLT</v>
          </cell>
          <cell r="C1031" t="str">
            <v>EA</v>
          </cell>
          <cell r="D1031" t="str">
            <v>MA100</v>
          </cell>
          <cell r="E1031">
            <v>28.02075</v>
          </cell>
          <cell r="G1031">
            <v>1622856</v>
          </cell>
        </row>
        <row r="1032">
          <cell r="A1032">
            <v>1622857</v>
          </cell>
          <cell r="B1032" t="str">
            <v>PLT,BR,4"X5.25"X1/8",BLNK,SUB PLT</v>
          </cell>
          <cell r="C1032" t="str">
            <v>EA</v>
          </cell>
          <cell r="D1032" t="str">
            <v>MA100</v>
          </cell>
          <cell r="E1032">
            <v>28.02075</v>
          </cell>
          <cell r="G1032">
            <v>1622857</v>
          </cell>
        </row>
        <row r="1033">
          <cell r="A1033">
            <v>1622858</v>
          </cell>
          <cell r="B1033" t="str">
            <v>PLT, CONN, BRS, BLNK</v>
          </cell>
          <cell r="C1033" t="str">
            <v>EA</v>
          </cell>
          <cell r="D1033" t="str">
            <v>MA100</v>
          </cell>
          <cell r="E1033">
            <v>279.976</v>
          </cell>
          <cell r="G1033">
            <v>1622858</v>
          </cell>
        </row>
        <row r="1034">
          <cell r="A1034">
            <v>1622868</v>
          </cell>
          <cell r="B1034" t="str">
            <v>ASSY,CONN,BR,14x18-4X5.25</v>
          </cell>
          <cell r="C1034" t="str">
            <v>EA</v>
          </cell>
          <cell r="D1034" t="str">
            <v>MA100</v>
          </cell>
          <cell r="E1034">
            <v>732.25019999999995</v>
          </cell>
          <cell r="G1034">
            <v>1622868</v>
          </cell>
        </row>
        <row r="1035">
          <cell r="A1035">
            <v>1622904</v>
          </cell>
          <cell r="B1035" t="str">
            <v>VENT,CRYO SS 6X24 SIEMENS 18-6</v>
          </cell>
          <cell r="C1035" t="str">
            <v>EA</v>
          </cell>
          <cell r="D1035" t="str">
            <v>RM100</v>
          </cell>
          <cell r="E1035">
            <v>246</v>
          </cell>
          <cell r="G1035">
            <v>1622904</v>
          </cell>
        </row>
        <row r="1036">
          <cell r="A1036">
            <v>1622918</v>
          </cell>
          <cell r="B1036" t="str">
            <v>ASSY,SIEMENS PP, INTGR 29.5"X54.25"</v>
          </cell>
          <cell r="C1036" t="str">
            <v>EA</v>
          </cell>
          <cell r="D1036" t="str">
            <v>MA100</v>
          </cell>
          <cell r="E1036">
            <v>472.14305999999999</v>
          </cell>
          <cell r="G1036">
            <v>1622918</v>
          </cell>
        </row>
        <row r="1037">
          <cell r="A1037">
            <v>1623018</v>
          </cell>
          <cell r="B1037" t="str">
            <v>EVO 3X7 ACTIVE DOOR SLAB,WIN</v>
          </cell>
          <cell r="C1037" t="str">
            <v>EA</v>
          </cell>
          <cell r="D1037" t="str">
            <v>MA100</v>
          </cell>
          <cell r="E1037">
            <v>2823.7568500000002</v>
          </cell>
          <cell r="G1037">
            <v>1623018</v>
          </cell>
        </row>
        <row r="1038">
          <cell r="A1038">
            <v>1623019</v>
          </cell>
          <cell r="B1038" t="str">
            <v>EVO 3X7 INACTIVE DOOR SLAB,WIN</v>
          </cell>
          <cell r="C1038" t="str">
            <v>EA</v>
          </cell>
          <cell r="D1038" t="str">
            <v>MA100</v>
          </cell>
          <cell r="E1038">
            <v>3871.3947400000002</v>
          </cell>
          <cell r="G1038">
            <v>1623019</v>
          </cell>
        </row>
        <row r="1039">
          <cell r="A1039">
            <v>1623020</v>
          </cell>
          <cell r="B1039" t="str">
            <v>EVO,AIR,6X7 DBL,RH ACTIVE,IS (3-3),WIN</v>
          </cell>
          <cell r="C1039" t="str">
            <v>EA</v>
          </cell>
          <cell r="D1039" t="str">
            <v>MA100</v>
          </cell>
          <cell r="E1039">
            <v>14741.49</v>
          </cell>
          <cell r="G1039">
            <v>1623020</v>
          </cell>
        </row>
        <row r="1040">
          <cell r="A1040">
            <v>1623021</v>
          </cell>
          <cell r="B1040" t="str">
            <v>KIT,OPERATOR,EVO,RH,IS,DUAL,6'</v>
          </cell>
          <cell r="C1040" t="str">
            <v>EA</v>
          </cell>
          <cell r="D1040" t="str">
            <v>MA100</v>
          </cell>
          <cell r="E1040">
            <v>4499.2147000000004</v>
          </cell>
          <cell r="G1040">
            <v>1623021</v>
          </cell>
        </row>
        <row r="1041">
          <cell r="A1041">
            <v>1623022</v>
          </cell>
          <cell r="B1041" t="str">
            <v>MDF PANEL,EVO 3X7</v>
          </cell>
          <cell r="C1041" t="str">
            <v>EA</v>
          </cell>
          <cell r="D1041" t="str">
            <v>MA100</v>
          </cell>
          <cell r="E1041">
            <v>42.26</v>
          </cell>
          <cell r="G1041">
            <v>1623022</v>
          </cell>
        </row>
        <row r="1042">
          <cell r="A1042">
            <v>1623023</v>
          </cell>
          <cell r="B1042" t="str">
            <v>MDF PANEL,EVO 3X7,IA</v>
          </cell>
          <cell r="C1042" t="str">
            <v>EA</v>
          </cell>
          <cell r="D1042" t="str">
            <v>MA100</v>
          </cell>
          <cell r="E1042">
            <v>42.26</v>
          </cell>
          <cell r="G1042">
            <v>1623023</v>
          </cell>
        </row>
        <row r="1043">
          <cell r="A1043">
            <v>1623024</v>
          </cell>
          <cell r="B1043" t="str">
            <v>RF PANEL,3X7,BLANK</v>
          </cell>
          <cell r="C1043" t="str">
            <v>EA</v>
          </cell>
          <cell r="D1043" t="str">
            <v>RM100</v>
          </cell>
          <cell r="E1043">
            <v>186.55</v>
          </cell>
          <cell r="G1043">
            <v>1623024</v>
          </cell>
        </row>
        <row r="1044">
          <cell r="A1044">
            <v>1623025</v>
          </cell>
          <cell r="B1044" t="str">
            <v>NRF PANEL,3X7,BLANK</v>
          </cell>
          <cell r="C1044" t="str">
            <v>EA</v>
          </cell>
          <cell r="D1044" t="str">
            <v>RM100</v>
          </cell>
          <cell r="E1044">
            <v>236.01</v>
          </cell>
          <cell r="G1044">
            <v>1623025</v>
          </cell>
        </row>
        <row r="1045">
          <cell r="A1045">
            <v>1623026</v>
          </cell>
          <cell r="B1045" t="str">
            <v>ARMORED CORD COVER SPACER</v>
          </cell>
          <cell r="C1045" t="str">
            <v>EA</v>
          </cell>
          <cell r="D1045" t="str">
            <v>RM100</v>
          </cell>
          <cell r="E1045">
            <v>23.94</v>
          </cell>
          <cell r="G1045">
            <v>1623026</v>
          </cell>
        </row>
        <row r="1046">
          <cell r="A1046">
            <v>1623027</v>
          </cell>
          <cell r="B1046" t="str">
            <v>EDGE CAP,7' LATCH SIDE,NO MORTISE</v>
          </cell>
          <cell r="C1046" t="str">
            <v>EA</v>
          </cell>
          <cell r="D1046" t="str">
            <v>RM100</v>
          </cell>
          <cell r="E1046">
            <v>154.5</v>
          </cell>
          <cell r="G1046">
            <v>1623027</v>
          </cell>
        </row>
        <row r="1047">
          <cell r="A1047">
            <v>1623028</v>
          </cell>
          <cell r="B1047" t="str">
            <v>3X7 INACTIVE DOOR FRAME,SQTU</v>
          </cell>
          <cell r="C1047" t="str">
            <v>EA</v>
          </cell>
          <cell r="D1047" t="str">
            <v>RM100</v>
          </cell>
          <cell r="E1047">
            <v>616.89</v>
          </cell>
          <cell r="G1047">
            <v>1623028</v>
          </cell>
        </row>
        <row r="1048">
          <cell r="A1048">
            <v>1623029</v>
          </cell>
          <cell r="B1048" t="str">
            <v>3' INACTIVE SEAL ROD</v>
          </cell>
          <cell r="C1048" t="str">
            <v>EA</v>
          </cell>
          <cell r="D1048" t="str">
            <v>RM100</v>
          </cell>
          <cell r="E1048">
            <v>43</v>
          </cell>
          <cell r="G1048">
            <v>1623029</v>
          </cell>
        </row>
        <row r="1049">
          <cell r="A1049">
            <v>1623030</v>
          </cell>
          <cell r="B1049" t="str">
            <v>3' INACTIVE EDGE GUARD</v>
          </cell>
          <cell r="C1049" t="str">
            <v>EA</v>
          </cell>
          <cell r="D1049" t="str">
            <v>RM100</v>
          </cell>
          <cell r="E1049">
            <v>8.27</v>
          </cell>
          <cell r="G1049">
            <v>1623030</v>
          </cell>
        </row>
        <row r="1050">
          <cell r="A1050">
            <v>1623031</v>
          </cell>
          <cell r="B1050" t="str">
            <v>3' INACTIVE SEAL PLATE</v>
          </cell>
          <cell r="C1050" t="str">
            <v>EA</v>
          </cell>
          <cell r="D1050" t="str">
            <v>RM100</v>
          </cell>
          <cell r="E1050">
            <v>19.07</v>
          </cell>
          <cell r="G1050">
            <v>1623031</v>
          </cell>
        </row>
        <row r="1051">
          <cell r="A1051">
            <v>1623032</v>
          </cell>
          <cell r="B1051" t="str">
            <v>3' INACTIVE RF SEAL</v>
          </cell>
          <cell r="C1051" t="str">
            <v>EA</v>
          </cell>
          <cell r="D1051" t="str">
            <v>RM100</v>
          </cell>
          <cell r="E1051">
            <v>37.409999999999997</v>
          </cell>
          <cell r="G1051">
            <v>1623032</v>
          </cell>
        </row>
        <row r="1052">
          <cell r="A1052">
            <v>1623033</v>
          </cell>
          <cell r="B1052" t="str">
            <v>3' INACTIVE RF SEAL HOLDER</v>
          </cell>
          <cell r="C1052" t="str">
            <v>EA</v>
          </cell>
          <cell r="D1052" t="str">
            <v>RM100</v>
          </cell>
          <cell r="E1052">
            <v>13.35</v>
          </cell>
          <cell r="G1052">
            <v>1623033</v>
          </cell>
        </row>
        <row r="1053">
          <cell r="A1053">
            <v>1623034</v>
          </cell>
          <cell r="B1053" t="str">
            <v>RF PANEL,3X7,BLANK,IA</v>
          </cell>
          <cell r="C1053" t="str">
            <v>EA</v>
          </cell>
          <cell r="D1053" t="str">
            <v>RM100</v>
          </cell>
          <cell r="E1053">
            <v>188.82</v>
          </cell>
          <cell r="G1053">
            <v>1623034</v>
          </cell>
        </row>
        <row r="1054">
          <cell r="A1054">
            <v>1623035</v>
          </cell>
          <cell r="B1054" t="str">
            <v>NRF PANEL 3X7,BLANK,IA</v>
          </cell>
          <cell r="C1054" t="str">
            <v>EA</v>
          </cell>
          <cell r="D1054" t="str">
            <v>RM100</v>
          </cell>
          <cell r="E1054">
            <v>209.28</v>
          </cell>
          <cell r="G1054">
            <v>1623035</v>
          </cell>
        </row>
        <row r="1055">
          <cell r="A1055">
            <v>1623036</v>
          </cell>
          <cell r="B1055" t="str">
            <v>3' INACTIVE COVER PLATE</v>
          </cell>
          <cell r="C1055" t="str">
            <v>EA</v>
          </cell>
          <cell r="D1055" t="str">
            <v>RM100</v>
          </cell>
          <cell r="E1055">
            <v>28.86</v>
          </cell>
          <cell r="G1055">
            <v>1623036</v>
          </cell>
        </row>
        <row r="1056">
          <cell r="A1056">
            <v>1623037</v>
          </cell>
          <cell r="B1056" t="str">
            <v>ENCLOSURE,AUTO OPERATOR,DUAL,81"L</v>
          </cell>
          <cell r="C1056" t="str">
            <v>EA</v>
          </cell>
          <cell r="D1056" t="str">
            <v>RM100</v>
          </cell>
          <cell r="E1056">
            <v>273.8</v>
          </cell>
          <cell r="G1056">
            <v>1623037</v>
          </cell>
        </row>
        <row r="1057">
          <cell r="A1057">
            <v>1623090</v>
          </cell>
          <cell r="B1057" t="str">
            <v>LAM,EVO4X8 LH,NRF</v>
          </cell>
          <cell r="C1057" t="str">
            <v>EA</v>
          </cell>
          <cell r="D1057" t="str">
            <v>MA100</v>
          </cell>
          <cell r="E1057">
            <v>169.57249999999999</v>
          </cell>
          <cell r="G1057">
            <v>1623090</v>
          </cell>
        </row>
        <row r="1058">
          <cell r="A1058">
            <v>1623091</v>
          </cell>
          <cell r="B1058" t="str">
            <v>LAM,EVO4X8 LH,RF</v>
          </cell>
          <cell r="C1058" t="str">
            <v>EA</v>
          </cell>
          <cell r="D1058" t="str">
            <v>MA100</v>
          </cell>
          <cell r="E1058">
            <v>169.57249999999999</v>
          </cell>
          <cell r="G1058">
            <v>1623091</v>
          </cell>
        </row>
        <row r="1059">
          <cell r="A1059">
            <v>1623097</v>
          </cell>
          <cell r="B1059" t="str">
            <v>EVO HINGE SHIM,DOOR</v>
          </cell>
          <cell r="C1059" t="str">
            <v>EA</v>
          </cell>
          <cell r="D1059" t="str">
            <v>MA100</v>
          </cell>
          <cell r="E1059">
            <v>5.9672499999999999</v>
          </cell>
          <cell r="G1059">
            <v>1623097</v>
          </cell>
        </row>
        <row r="1060">
          <cell r="A1060">
            <v>1623098</v>
          </cell>
          <cell r="B1060" t="str">
            <v>CRYO, HITACHI 4X46.75-6.75END W/12X12PLT</v>
          </cell>
          <cell r="C1060" t="str">
            <v>EA</v>
          </cell>
          <cell r="D1060" t="str">
            <v>RM100</v>
          </cell>
          <cell r="E1060">
            <v>179</v>
          </cell>
          <cell r="G1060">
            <v>1623098</v>
          </cell>
        </row>
        <row r="1061">
          <cell r="A1061">
            <v>1632133</v>
          </cell>
          <cell r="B1061" t="str">
            <v>VENT,CRYO ALUM 8X36 W/14X14X1/4, 32.125"</v>
          </cell>
          <cell r="C1061" t="str">
            <v>EA</v>
          </cell>
          <cell r="D1061" t="str">
            <v>RM100</v>
          </cell>
          <cell r="E1061">
            <v>0</v>
          </cell>
          <cell r="G1061">
            <v>1632133</v>
          </cell>
        </row>
        <row r="1062">
          <cell r="A1062">
            <v>1632155</v>
          </cell>
          <cell r="B1062" t="str">
            <v>VENT,CRYO SS 6X24 SIEMENS 4-20</v>
          </cell>
          <cell r="C1062" t="str">
            <v>EA</v>
          </cell>
          <cell r="D1062" t="str">
            <v>RM100</v>
          </cell>
          <cell r="E1062">
            <v>425</v>
          </cell>
          <cell r="G1062">
            <v>1632155</v>
          </cell>
        </row>
        <row r="1063">
          <cell r="A1063">
            <v>1632184</v>
          </cell>
          <cell r="B1063" t="str">
            <v>VENT,CRYO SS 10X40 SIEMENS  W/16X16X1/4*</v>
          </cell>
          <cell r="C1063" t="str">
            <v>EA</v>
          </cell>
          <cell r="D1063" t="str">
            <v>MA100</v>
          </cell>
          <cell r="E1063">
            <v>0</v>
          </cell>
          <cell r="G1063">
            <v>1632184</v>
          </cell>
        </row>
        <row r="1064">
          <cell r="A1064">
            <v>1632188</v>
          </cell>
          <cell r="B1064" t="str">
            <v>WINDOW MOUNTING SPACER,EVO SQTU</v>
          </cell>
          <cell r="C1064" t="str">
            <v>EA</v>
          </cell>
          <cell r="D1064" t="str">
            <v>RM100</v>
          </cell>
          <cell r="E1064">
            <v>88.59</v>
          </cell>
          <cell r="G1064">
            <v>1632188</v>
          </cell>
        </row>
        <row r="1065">
          <cell r="A1065">
            <v>1632189</v>
          </cell>
          <cell r="B1065" t="str">
            <v>EVO DBL PULL HANDLE</v>
          </cell>
          <cell r="C1065" t="str">
            <v>EA</v>
          </cell>
          <cell r="D1065" t="str">
            <v>RM100</v>
          </cell>
          <cell r="E1065">
            <v>24.06</v>
          </cell>
          <cell r="G1065">
            <v>1632189</v>
          </cell>
        </row>
        <row r="1066">
          <cell r="A1066">
            <v>1632263</v>
          </cell>
          <cell r="B1066" t="str">
            <v>PLT,BRS, BLNK,11.25X11.25</v>
          </cell>
          <cell r="C1066" t="str">
            <v>EA</v>
          </cell>
          <cell r="D1066" t="str">
            <v>MA100</v>
          </cell>
          <cell r="E1066">
            <v>30.45412</v>
          </cell>
          <cell r="G1066">
            <v>1632263</v>
          </cell>
        </row>
        <row r="1067">
          <cell r="A1067">
            <v>1632348</v>
          </cell>
          <cell r="B1067" t="str">
            <v>SCREW,12-14X1-1/2,PH,PN,410SS,SELF-DRILL</v>
          </cell>
          <cell r="C1067" t="str">
            <v>EA</v>
          </cell>
          <cell r="D1067" t="str">
            <v>RM100</v>
          </cell>
          <cell r="E1067">
            <v>0.23119999999999999</v>
          </cell>
          <cell r="G1067">
            <v>1632348</v>
          </cell>
        </row>
        <row r="1068">
          <cell r="A1068">
            <v>1632356</v>
          </cell>
          <cell r="B1068" t="str">
            <v>PLT, CONN, BRS,11.25 X 11.25 W HOLES</v>
          </cell>
          <cell r="C1068" t="str">
            <v>EA</v>
          </cell>
          <cell r="D1068" t="str">
            <v>MA100</v>
          </cell>
          <cell r="E1068">
            <v>88.808049999999994</v>
          </cell>
          <cell r="G1068">
            <v>1632356</v>
          </cell>
        </row>
        <row r="1069">
          <cell r="A1069">
            <v>1632357</v>
          </cell>
          <cell r="B1069" t="str">
            <v>PLATE,CON BR15-1/2X15-1/2,4N,2WGF6</v>
          </cell>
          <cell r="C1069" t="str">
            <v>EA</v>
          </cell>
          <cell r="D1069" t="str">
            <v>MA100</v>
          </cell>
          <cell r="E1069">
            <v>128.79432</v>
          </cell>
          <cell r="G1069">
            <v>1632357</v>
          </cell>
        </row>
        <row r="1070">
          <cell r="A1070">
            <v>1632364</v>
          </cell>
          <cell r="B1070" t="str">
            <v>DEC DJ ASSY, WOOD, 29.125SQR X 24SQR CO</v>
          </cell>
          <cell r="C1070" t="str">
            <v>EA</v>
          </cell>
          <cell r="D1070" t="str">
            <v>MA100</v>
          </cell>
          <cell r="E1070">
            <v>66.323400000000007</v>
          </cell>
          <cell r="G1070">
            <v>1632364</v>
          </cell>
        </row>
        <row r="1071">
          <cell r="A1071">
            <v>1632365</v>
          </cell>
          <cell r="B1071" t="str">
            <v xml:space="preserve">DEC DJ ASSY,  29.125SQR X 24SQR CO </v>
          </cell>
          <cell r="C1071" t="str">
            <v>EA</v>
          </cell>
          <cell r="D1071" t="str">
            <v>MA100</v>
          </cell>
          <cell r="E1071">
            <v>315.58262000000002</v>
          </cell>
          <cell r="G1071">
            <v>1632365</v>
          </cell>
        </row>
        <row r="1072">
          <cell r="A1072">
            <v>1632366</v>
          </cell>
          <cell r="B1072" t="str">
            <v xml:space="preserve">DEI DOOR ASSY,  29.125SQR DJ X 24SQR CO </v>
          </cell>
          <cell r="C1072" t="str">
            <v>EA</v>
          </cell>
          <cell r="D1072" t="str">
            <v>MA100</v>
          </cell>
          <cell r="E1072">
            <v>2108.1356900000001</v>
          </cell>
          <cell r="G1072">
            <v>1632366</v>
          </cell>
        </row>
        <row r="1073">
          <cell r="A1073">
            <v>1632378</v>
          </cell>
          <cell r="B1073" t="str">
            <v>PLT,BR,26"x14.25"x3/16",MAIN PLT</v>
          </cell>
          <cell r="C1073" t="str">
            <v>EA</v>
          </cell>
          <cell r="D1073" t="str">
            <v>MA100</v>
          </cell>
          <cell r="E1073">
            <v>191.04560000000001</v>
          </cell>
          <cell r="G1073">
            <v>1632378</v>
          </cell>
        </row>
        <row r="1074">
          <cell r="A1074">
            <v>1632384</v>
          </cell>
          <cell r="B1074" t="str">
            <v>ASSY,CONN,BR,26x14.5-11.25X11.25 w HOLES</v>
          </cell>
          <cell r="C1074" t="str">
            <v>EA</v>
          </cell>
          <cell r="D1074" t="str">
            <v>MA100</v>
          </cell>
          <cell r="E1074">
            <v>373.32697000000002</v>
          </cell>
          <cell r="G1074">
            <v>1632384</v>
          </cell>
        </row>
        <row r="1075">
          <cell r="A1075">
            <v>1632472</v>
          </cell>
          <cell r="B1075" t="str">
            <v>ASSY,CONN,BR,26x14.25-11.25X11.25 BLANKS</v>
          </cell>
          <cell r="C1075" t="str">
            <v>EA</v>
          </cell>
          <cell r="D1075" t="str">
            <v>MA100</v>
          </cell>
          <cell r="E1075">
            <v>314.97304000000003</v>
          </cell>
          <cell r="G1075">
            <v>1632472</v>
          </cell>
        </row>
        <row r="1076">
          <cell r="A1076">
            <v>1632510</v>
          </cell>
          <cell r="B1076" t="str">
            <v>ASSY,DR DEC DR 24X24 STD, UNILATCH</v>
          </cell>
          <cell r="C1076" t="str">
            <v>EA</v>
          </cell>
          <cell r="D1076" t="str">
            <v>MA100</v>
          </cell>
          <cell r="E1076">
            <v>864.18746999999996</v>
          </cell>
          <cell r="G1076">
            <v>1632510</v>
          </cell>
        </row>
        <row r="1077">
          <cell r="A1077">
            <v>1632530</v>
          </cell>
          <cell r="B1077" t="str">
            <v>WINDOW TRIM SPACER,24"</v>
          </cell>
          <cell r="C1077" t="str">
            <v>EA</v>
          </cell>
          <cell r="D1077" t="str">
            <v>RM100</v>
          </cell>
          <cell r="E1077">
            <v>7.6270899999999999</v>
          </cell>
          <cell r="G1077">
            <v>1632530</v>
          </cell>
        </row>
        <row r="1078">
          <cell r="A1078">
            <v>1632663</v>
          </cell>
          <cell r="B1078" t="str">
            <v>SEAL ROD, 40MM CARTRIDGE</v>
          </cell>
          <cell r="C1078" t="str">
            <v>EA</v>
          </cell>
          <cell r="D1078" t="str">
            <v>RM100</v>
          </cell>
          <cell r="E1078">
            <v>56.14</v>
          </cell>
          <cell r="G1078">
            <v>1632663</v>
          </cell>
        </row>
        <row r="1079">
          <cell r="A1079">
            <v>1632664</v>
          </cell>
          <cell r="B1079" t="str">
            <v>BRKT,EVO RH DR,MAGLOCK,ALUM</v>
          </cell>
          <cell r="C1079" t="str">
            <v>EA</v>
          </cell>
          <cell r="D1079" t="str">
            <v>RM100</v>
          </cell>
          <cell r="E1079">
            <v>33.479999999999997</v>
          </cell>
          <cell r="G1079">
            <v>1632664</v>
          </cell>
        </row>
        <row r="1080">
          <cell r="A1080">
            <v>1632722</v>
          </cell>
          <cell r="B1080" t="str">
            <v>SCR,#6-32x1/4,TORX,STL,RND HD,THRD-FORM</v>
          </cell>
          <cell r="C1080" t="str">
            <v>EA</v>
          </cell>
          <cell r="D1080" t="str">
            <v>RM100</v>
          </cell>
          <cell r="E1080">
            <v>0.224</v>
          </cell>
          <cell r="G1080">
            <v>1632722</v>
          </cell>
        </row>
        <row r="1081">
          <cell r="A1081">
            <v>1632866</v>
          </cell>
          <cell r="B1081" t="str">
            <v>CRYO,TOSHIBA,6"X35",2 END FLNG</v>
          </cell>
          <cell r="C1081" t="str">
            <v>EA</v>
          </cell>
          <cell r="D1081" t="str">
            <v>RM100</v>
          </cell>
          <cell r="E1081">
            <v>399</v>
          </cell>
          <cell r="G1081">
            <v>1632866</v>
          </cell>
        </row>
        <row r="1082">
          <cell r="A1082">
            <v>1633244</v>
          </cell>
          <cell r="B1082" t="str">
            <v>VENT,CRYO ALUM 8X32 W/14X14X1/4, 26"</v>
          </cell>
          <cell r="C1082" t="str">
            <v>EA</v>
          </cell>
          <cell r="D1082" t="str">
            <v>RM100</v>
          </cell>
          <cell r="E1082">
            <v>120</v>
          </cell>
          <cell r="G1082">
            <v>1633244</v>
          </cell>
        </row>
        <row r="1083">
          <cell r="A1083">
            <v>1633663</v>
          </cell>
          <cell r="B1083" t="str">
            <v>PNEUMATIC SYSTEM CARTRIDGE CORE,36"INACT</v>
          </cell>
          <cell r="C1083" t="str">
            <v>EA</v>
          </cell>
          <cell r="D1083" t="str">
            <v>RM100</v>
          </cell>
          <cell r="E1083">
            <v>58.62</v>
          </cell>
          <cell r="G1083">
            <v>1633663</v>
          </cell>
        </row>
        <row r="1084">
          <cell r="A1084">
            <v>1633664</v>
          </cell>
          <cell r="B1084" t="str">
            <v>PNEUMATIC SYSTEM CARTRIDGE CORE EVO</v>
          </cell>
          <cell r="C1084" t="str">
            <v>EA</v>
          </cell>
          <cell r="D1084" t="str">
            <v>RM100</v>
          </cell>
          <cell r="E1084">
            <v>0</v>
          </cell>
          <cell r="G1084">
            <v>1633664</v>
          </cell>
        </row>
        <row r="1085">
          <cell r="A1085">
            <v>1633700</v>
          </cell>
          <cell r="B1085" t="str">
            <v>SEAL,RF,BOTTOM/TOP 3FT DR,EVO</v>
          </cell>
          <cell r="C1085" t="str">
            <v>EA</v>
          </cell>
          <cell r="D1085" t="str">
            <v>RM100</v>
          </cell>
          <cell r="E1085">
            <v>59.475000000000001</v>
          </cell>
          <cell r="G1085">
            <v>1633700</v>
          </cell>
        </row>
        <row r="1086">
          <cell r="A1086">
            <v>1633732</v>
          </cell>
          <cell r="B1086" t="str">
            <v>PLT, CONN, BRS, BLNK,21X33</v>
          </cell>
          <cell r="C1086" t="str">
            <v>EA</v>
          </cell>
          <cell r="D1086" t="str">
            <v>MA100</v>
          </cell>
          <cell r="E1086">
            <v>474.00391000000002</v>
          </cell>
          <cell r="G1086">
            <v>1633732</v>
          </cell>
        </row>
        <row r="1087">
          <cell r="A1087">
            <v>1634011</v>
          </cell>
          <cell r="B1087" t="str">
            <v>EVO MANUAL DOOR CORE,N-AC</v>
          </cell>
          <cell r="C1087" t="str">
            <v>EA</v>
          </cell>
          <cell r="D1087" t="str">
            <v>RM100</v>
          </cell>
          <cell r="E1087">
            <v>196.1925</v>
          </cell>
          <cell r="G1087">
            <v>1634011</v>
          </cell>
        </row>
        <row r="1088">
          <cell r="A1088">
            <v>1634012</v>
          </cell>
          <cell r="B1088" t="str">
            <v>EDGE CAP,HINGE SIDE,EVO MANUAL</v>
          </cell>
          <cell r="C1088" t="str">
            <v>EA</v>
          </cell>
          <cell r="D1088" t="str">
            <v>RM100</v>
          </cell>
          <cell r="E1088">
            <v>82.265000000000001</v>
          </cell>
          <cell r="G1088">
            <v>1634012</v>
          </cell>
        </row>
        <row r="1089">
          <cell r="A1089">
            <v>1634013</v>
          </cell>
          <cell r="B1089" t="str">
            <v>EDGE CAP,LATCH SIDE,EVO MANUAL</v>
          </cell>
          <cell r="C1089" t="str">
            <v>EA</v>
          </cell>
          <cell r="D1089" t="str">
            <v>RM100</v>
          </cell>
          <cell r="E1089">
            <v>69.959999999999994</v>
          </cell>
          <cell r="G1089">
            <v>1634013</v>
          </cell>
        </row>
        <row r="1090">
          <cell r="A1090">
            <v>1634014</v>
          </cell>
          <cell r="B1090" t="str">
            <v>TEMPLATE, MIN, PURCHASED PARTS</v>
          </cell>
          <cell r="C1090" t="str">
            <v>EA</v>
          </cell>
          <cell r="D1090" t="str">
            <v>RM100</v>
          </cell>
          <cell r="E1090">
            <v>0</v>
          </cell>
          <cell r="G1090">
            <v>1634014</v>
          </cell>
        </row>
        <row r="1091">
          <cell r="A1091">
            <v>1634015</v>
          </cell>
          <cell r="B1091" t="str">
            <v>HINGE BLOCK,EVO 2-INCH</v>
          </cell>
          <cell r="C1091" t="str">
            <v>EA</v>
          </cell>
          <cell r="D1091" t="str">
            <v>RM100</v>
          </cell>
          <cell r="E1091">
            <v>105.38567</v>
          </cell>
          <cell r="G1091">
            <v>1634015</v>
          </cell>
        </row>
        <row r="1092">
          <cell r="A1092">
            <v>1634016</v>
          </cell>
          <cell r="B1092" t="str">
            <v>2-INCH EDGE CAP EXTRUSION</v>
          </cell>
          <cell r="C1092" t="str">
            <v>EA</v>
          </cell>
          <cell r="D1092" t="str">
            <v>RM100</v>
          </cell>
          <cell r="E1092">
            <v>0</v>
          </cell>
          <cell r="G1092">
            <v>1634016</v>
          </cell>
        </row>
        <row r="1093">
          <cell r="A1093">
            <v>1634017</v>
          </cell>
          <cell r="B1093" t="str">
            <v>CONTACT SWITCH,BOLT BODY,M6X1,SS303</v>
          </cell>
          <cell r="C1093" t="str">
            <v>EA</v>
          </cell>
          <cell r="D1093" t="str">
            <v>RM100</v>
          </cell>
          <cell r="E1093">
            <v>37</v>
          </cell>
          <cell r="G1093">
            <v>1634017</v>
          </cell>
        </row>
        <row r="1094">
          <cell r="A1094">
            <v>1634018</v>
          </cell>
          <cell r="B1094" t="str">
            <v>EVO28 4X7 DOOR SLAB</v>
          </cell>
          <cell r="C1094" t="str">
            <v>EA</v>
          </cell>
          <cell r="D1094" t="str">
            <v>MA100</v>
          </cell>
          <cell r="E1094">
            <v>959.20655999999997</v>
          </cell>
          <cell r="G1094">
            <v>1634018</v>
          </cell>
        </row>
        <row r="1095">
          <cell r="A1095">
            <v>1634019</v>
          </cell>
          <cell r="B1095" t="str">
            <v>TEMPLATE,MIN,MANUFACTURED PARTS</v>
          </cell>
          <cell r="C1095" t="str">
            <v>EA</v>
          </cell>
          <cell r="D1095" t="str">
            <v>MA100</v>
          </cell>
          <cell r="E1095">
            <v>0</v>
          </cell>
          <cell r="G1095">
            <v>1634019</v>
          </cell>
        </row>
        <row r="1096">
          <cell r="A1096">
            <v>1634020</v>
          </cell>
          <cell r="B1096" t="str">
            <v>EVO, ECO, STC28, 4X7,LH</v>
          </cell>
          <cell r="C1096" t="str">
            <v>EA</v>
          </cell>
          <cell r="D1096" t="str">
            <v>MA100</v>
          </cell>
          <cell r="E1096">
            <v>2647.59076</v>
          </cell>
          <cell r="G1096">
            <v>1634020</v>
          </cell>
        </row>
        <row r="1097">
          <cell r="A1097">
            <v>1634021</v>
          </cell>
          <cell r="B1097" t="str">
            <v>TEMPLATE,MIN,MANUFACTURED PARTS</v>
          </cell>
          <cell r="C1097" t="str">
            <v>EA</v>
          </cell>
          <cell r="D1097" t="str">
            <v>MA100</v>
          </cell>
          <cell r="E1097">
            <v>0</v>
          </cell>
          <cell r="G1097">
            <v>1634021</v>
          </cell>
        </row>
        <row r="1098">
          <cell r="A1098">
            <v>1634022</v>
          </cell>
          <cell r="B1098" t="str">
            <v>EVO28 JAMB,4X7,LH</v>
          </cell>
          <cell r="C1098" t="str">
            <v>EA</v>
          </cell>
          <cell r="D1098" t="str">
            <v>MA100</v>
          </cell>
          <cell r="E1098">
            <v>1248.10601</v>
          </cell>
          <cell r="G1098">
            <v>1634022</v>
          </cell>
        </row>
        <row r="1099">
          <cell r="A1099">
            <v>1634453</v>
          </cell>
          <cell r="B1099" t="str">
            <v>VENT,CRYO SS 4X16 SIEMENS 2.5-13.5</v>
          </cell>
          <cell r="C1099" t="str">
            <v>EA</v>
          </cell>
          <cell r="D1099" t="str">
            <v>MA100</v>
          </cell>
          <cell r="E1099">
            <v>310</v>
          </cell>
          <cell r="G1099">
            <v>1634453</v>
          </cell>
        </row>
        <row r="1100">
          <cell r="A1100">
            <v>1634464</v>
          </cell>
          <cell r="B1100" t="str">
            <v>18 ga 6x6 plate with DB9</v>
          </cell>
          <cell r="C1100" t="str">
            <v>EA</v>
          </cell>
          <cell r="D1100" t="str">
            <v>MA100</v>
          </cell>
          <cell r="E1100">
            <v>35.639090000000003</v>
          </cell>
          <cell r="G1100">
            <v>1634464</v>
          </cell>
        </row>
        <row r="1101">
          <cell r="A1101">
            <v>1634556</v>
          </cell>
          <cell r="B1101" t="str">
            <v>CP-12x12-B-4N,10S,1WGF6</v>
          </cell>
          <cell r="C1101" t="str">
            <v>EA</v>
          </cell>
          <cell r="D1101" t="str">
            <v>MA100</v>
          </cell>
          <cell r="E1101">
            <v>57.22119</v>
          </cell>
          <cell r="G1101">
            <v>1634556</v>
          </cell>
        </row>
        <row r="1102">
          <cell r="A1102">
            <v>1634557</v>
          </cell>
          <cell r="B1102" t="str">
            <v>CPA-12x12-B-4N,10S,1WGF6</v>
          </cell>
          <cell r="C1102" t="str">
            <v>EA</v>
          </cell>
          <cell r="D1102" t="str">
            <v>MA100</v>
          </cell>
          <cell r="E1102">
            <v>272.86059</v>
          </cell>
          <cell r="G1102">
            <v>1634557</v>
          </cell>
        </row>
        <row r="1103">
          <cell r="A1103">
            <v>1634677</v>
          </cell>
          <cell r="B1103" t="str">
            <v>CRYO,TOSHIBA,6"X33",2END FLNG,8 HOLES</v>
          </cell>
          <cell r="C1103" t="str">
            <v>EA</v>
          </cell>
          <cell r="D1103" t="str">
            <v>RM100</v>
          </cell>
          <cell r="E1103">
            <v>425</v>
          </cell>
          <cell r="G1103">
            <v>1634677</v>
          </cell>
        </row>
        <row r="1104">
          <cell r="A1104">
            <v>1634719</v>
          </cell>
          <cell r="B1104" t="str">
            <v>ASSY,DR DEI 12X12 10GHZ 24OZ CU TGL LTCH</v>
          </cell>
          <cell r="C1104" t="str">
            <v>EA</v>
          </cell>
          <cell r="D1104" t="str">
            <v>MA100</v>
          </cell>
          <cell r="E1104">
            <v>496.74824000000001</v>
          </cell>
          <cell r="G1104">
            <v>1634719</v>
          </cell>
        </row>
        <row r="1105">
          <cell r="A1105">
            <v>1634720</v>
          </cell>
          <cell r="B1105" t="str">
            <v>CU,24OZ,DEI DOOR LEAF,12"x12"</v>
          </cell>
          <cell r="C1105" t="str">
            <v>EA</v>
          </cell>
          <cell r="D1105" t="str">
            <v>MA100</v>
          </cell>
          <cell r="E1105">
            <v>7.3775599999999999</v>
          </cell>
          <cell r="G1105">
            <v>1634720</v>
          </cell>
        </row>
        <row r="1106">
          <cell r="A1106">
            <v>1634721</v>
          </cell>
          <cell r="B1106" t="str">
            <v>DOOR LEAF,DEI,12"x12",CORE</v>
          </cell>
          <cell r="C1106" t="str">
            <v>EA</v>
          </cell>
          <cell r="D1106" t="str">
            <v>MA100</v>
          </cell>
          <cell r="E1106">
            <v>5.1074999999999999</v>
          </cell>
          <cell r="G1106">
            <v>1634721</v>
          </cell>
        </row>
        <row r="1107">
          <cell r="A1107">
            <v>1634801</v>
          </cell>
          <cell r="B1107" t="str">
            <v>VENT,CRYO SS 6X24 SIEMENS 16 7/8 END</v>
          </cell>
          <cell r="C1107" t="str">
            <v>EA</v>
          </cell>
          <cell r="D1107" t="str">
            <v>RM100</v>
          </cell>
          <cell r="E1107">
            <v>240</v>
          </cell>
          <cell r="G1107">
            <v>1634801</v>
          </cell>
        </row>
        <row r="1108">
          <cell r="A1108">
            <v>1634885</v>
          </cell>
          <cell r="B1108" t="str">
            <v>CRYO, HITACHI, 4" ID, 47 1/8" LONG</v>
          </cell>
          <cell r="C1108" t="str">
            <v>EA</v>
          </cell>
          <cell r="D1108" t="str">
            <v>MA100</v>
          </cell>
          <cell r="E1108">
            <v>580</v>
          </cell>
          <cell r="G1108">
            <v>1634885</v>
          </cell>
        </row>
        <row r="1109">
          <cell r="A1109">
            <v>1634893</v>
          </cell>
          <cell r="B1109" t="str">
            <v>14x14 SS RESEARCH PLATE WITH HOLES</v>
          </cell>
          <cell r="C1109" t="str">
            <v>EA</v>
          </cell>
          <cell r="D1109" t="str">
            <v>MA100</v>
          </cell>
          <cell r="E1109">
            <v>68.552549999999997</v>
          </cell>
          <cell r="G1109">
            <v>1634893</v>
          </cell>
        </row>
        <row r="1110">
          <cell r="A1110">
            <v>1634949</v>
          </cell>
          <cell r="B1110" t="str">
            <v>CP-15.5X15.5-B(3/16)-4N,10S,1WGF6</v>
          </cell>
          <cell r="C1110" t="str">
            <v>EA</v>
          </cell>
          <cell r="D1110" t="str">
            <v>MA100</v>
          </cell>
          <cell r="E1110">
            <v>91.076279999999997</v>
          </cell>
          <cell r="G1110">
            <v>1634949</v>
          </cell>
        </row>
        <row r="1111">
          <cell r="A1111">
            <v>1634957</v>
          </cell>
          <cell r="B1111" t="str">
            <v>EDGE CAP,HINGE SIDE,EVO MANUAL,MACH</v>
          </cell>
          <cell r="C1111" t="str">
            <v>EA</v>
          </cell>
          <cell r="D1111" t="str">
            <v>RM100</v>
          </cell>
          <cell r="E1111">
            <v>520</v>
          </cell>
          <cell r="G1111">
            <v>1634957</v>
          </cell>
        </row>
        <row r="1112">
          <cell r="A1112">
            <v>1634958</v>
          </cell>
          <cell r="B1112" t="str">
            <v>EDGE CAP,LATCH SIDE,EVO MANUAL,MACH</v>
          </cell>
          <cell r="C1112" t="str">
            <v>EA</v>
          </cell>
          <cell r="D1112" t="str">
            <v>RM100</v>
          </cell>
          <cell r="E1112">
            <v>520</v>
          </cell>
          <cell r="G1112">
            <v>1634958</v>
          </cell>
        </row>
        <row r="1113">
          <cell r="A1113">
            <v>1634959</v>
          </cell>
          <cell r="B1113" t="str">
            <v>TEMPLATE, MIN, PURCHASED PARTS</v>
          </cell>
          <cell r="C1113" t="str">
            <v>EA</v>
          </cell>
          <cell r="D1113" t="str">
            <v>RM100</v>
          </cell>
          <cell r="E1113">
            <v>0</v>
          </cell>
          <cell r="G1113">
            <v>1634959</v>
          </cell>
        </row>
        <row r="1114">
          <cell r="A1114">
            <v>1635140</v>
          </cell>
          <cell r="B1114" t="str">
            <v>ASSY,5240-30,2'x2'DR,10GHz DR TRIM</v>
          </cell>
          <cell r="C1114" t="str">
            <v>EA</v>
          </cell>
          <cell r="D1114" t="str">
            <v>MA420</v>
          </cell>
          <cell r="E1114">
            <v>4371.4683199999999</v>
          </cell>
          <cell r="G1114">
            <v>1635140</v>
          </cell>
        </row>
        <row r="1115">
          <cell r="A1115">
            <v>1635142</v>
          </cell>
          <cell r="B1115" t="str">
            <v>5240-30,2'x2' DR,10GHz,Cu SKIN ASSEMBLY</v>
          </cell>
          <cell r="C1115" t="str">
            <v>EA</v>
          </cell>
          <cell r="D1115" t="str">
            <v>MA100</v>
          </cell>
          <cell r="E1115">
            <v>0</v>
          </cell>
          <cell r="G1115">
            <v>1635142</v>
          </cell>
        </row>
        <row r="1116">
          <cell r="A1116">
            <v>1635143</v>
          </cell>
          <cell r="B1116" t="str">
            <v>CU,24OZ,5240-30,10GHz,SIDES</v>
          </cell>
          <cell r="C1116" t="str">
            <v>EA</v>
          </cell>
          <cell r="D1116" t="str">
            <v>MA100</v>
          </cell>
          <cell r="E1116">
            <v>0</v>
          </cell>
          <cell r="G1116">
            <v>1635143</v>
          </cell>
        </row>
        <row r="1117">
          <cell r="A1117">
            <v>1635144</v>
          </cell>
          <cell r="B1117" t="str">
            <v>CU,24OZ,5240-30,10GHz,TOP &amp; BOTTOM</v>
          </cell>
          <cell r="C1117" t="str">
            <v>EA</v>
          </cell>
          <cell r="D1117" t="str">
            <v>MA100</v>
          </cell>
          <cell r="E1117">
            <v>0</v>
          </cell>
          <cell r="G1117">
            <v>1635144</v>
          </cell>
        </row>
        <row r="1118">
          <cell r="A1118">
            <v>1635145</v>
          </cell>
          <cell r="B1118" t="str">
            <v>5240-30,WOOD STRUCT,2'x2'C.O. DOOR,10GHz</v>
          </cell>
          <cell r="C1118" t="str">
            <v>EA</v>
          </cell>
          <cell r="D1118" t="str">
            <v>MA100</v>
          </cell>
          <cell r="E1118">
            <v>0</v>
          </cell>
          <cell r="G1118">
            <v>1635145</v>
          </cell>
        </row>
        <row r="1119">
          <cell r="A1119">
            <v>1635146</v>
          </cell>
          <cell r="B1119" t="str">
            <v>5240-30,D/J,28-1/2"x29-1/2",2'x2'C.O. DR</v>
          </cell>
          <cell r="C1119" t="str">
            <v>EA</v>
          </cell>
          <cell r="D1119" t="str">
            <v>MA100</v>
          </cell>
          <cell r="E1119">
            <v>0</v>
          </cell>
          <cell r="G1119">
            <v>1635146</v>
          </cell>
        </row>
        <row r="1120">
          <cell r="A1120">
            <v>1635156</v>
          </cell>
          <cell r="B1120" t="str">
            <v>ASSY,5240-30,18"x18"DR,10GHz DR TRIM</v>
          </cell>
          <cell r="C1120" t="str">
            <v>EA</v>
          </cell>
          <cell r="D1120" t="str">
            <v>MA100</v>
          </cell>
          <cell r="E1120">
            <v>4112.9701699999996</v>
          </cell>
          <cell r="G1120">
            <v>1635156</v>
          </cell>
        </row>
        <row r="1121">
          <cell r="A1121">
            <v>1635157</v>
          </cell>
          <cell r="B1121" t="str">
            <v>ASSY,5240-24,12"x12"DR,10GHz DR TRIM</v>
          </cell>
          <cell r="C1121" t="str">
            <v>EA</v>
          </cell>
          <cell r="D1121" t="str">
            <v>MA420</v>
          </cell>
          <cell r="E1121">
            <v>863.74189000000001</v>
          </cell>
          <cell r="G1121">
            <v>1635157</v>
          </cell>
        </row>
        <row r="1122">
          <cell r="A1122">
            <v>1635192</v>
          </cell>
          <cell r="B1122" t="str">
            <v>RESEARCH PLATE ASSEMBLY 18x18</v>
          </cell>
          <cell r="C1122" t="str">
            <v>EA</v>
          </cell>
          <cell r="D1122" t="str">
            <v>MA100</v>
          </cell>
          <cell r="E1122">
            <v>539.80422999999996</v>
          </cell>
          <cell r="G1122">
            <v>1635192</v>
          </cell>
        </row>
        <row r="1123">
          <cell r="A1123">
            <v>1635247</v>
          </cell>
          <cell r="B1123" t="str">
            <v>CP-15.5X15.5-B(3/16)-6S</v>
          </cell>
          <cell r="C1123" t="str">
            <v>EA</v>
          </cell>
          <cell r="D1123" t="str">
            <v>MA100</v>
          </cell>
          <cell r="E1123">
            <v>91.076279999999997</v>
          </cell>
          <cell r="G1123">
            <v>1635247</v>
          </cell>
        </row>
        <row r="1124">
          <cell r="A1124">
            <v>1635377</v>
          </cell>
          <cell r="B1124" t="str">
            <v>CRYO, HITACHI, 4" OD, 24" LONG, 17" END</v>
          </cell>
          <cell r="C1124" t="str">
            <v>EA</v>
          </cell>
          <cell r="D1124" t="str">
            <v>RM100</v>
          </cell>
          <cell r="E1124">
            <v>355</v>
          </cell>
          <cell r="G1124">
            <v>1635377</v>
          </cell>
        </row>
        <row r="1125">
          <cell r="A1125">
            <v>1635464</v>
          </cell>
          <cell r="B1125" t="str">
            <v>VENT,CRYO SS 8X50.25SIEMENSW/16X16X1/4*</v>
          </cell>
          <cell r="C1125" t="str">
            <v>EA</v>
          </cell>
          <cell r="D1125" t="str">
            <v>MA100</v>
          </cell>
          <cell r="E1125">
            <v>656</v>
          </cell>
          <cell r="G1125">
            <v>1635464</v>
          </cell>
        </row>
        <row r="1126">
          <cell r="A1126">
            <v>1635648</v>
          </cell>
          <cell r="B1126" t="str">
            <v>RIVET, .125"DIA x .062" GRIP, AL,DOME HD</v>
          </cell>
          <cell r="C1126" t="str">
            <v>EA</v>
          </cell>
          <cell r="D1126" t="str">
            <v>RM100</v>
          </cell>
          <cell r="E1126">
            <v>2.904E-2</v>
          </cell>
          <cell r="G1126">
            <v>1635648</v>
          </cell>
        </row>
        <row r="1127">
          <cell r="A1127">
            <v>1635808</v>
          </cell>
          <cell r="B1127" t="str">
            <v>KIT, OPNR/CLSR, EVO, LH, I.S. , 3'</v>
          </cell>
          <cell r="C1127" t="str">
            <v>EA</v>
          </cell>
          <cell r="D1127" t="str">
            <v>MA100</v>
          </cell>
          <cell r="E1127">
            <v>2771.7451299999998</v>
          </cell>
          <cell r="G1127">
            <v>1635808</v>
          </cell>
        </row>
        <row r="1128">
          <cell r="A1128">
            <v>1635809</v>
          </cell>
          <cell r="B1128" t="str">
            <v>KIT, OPNR/CLSR, EVO, RH, I.S. , 3'</v>
          </cell>
          <cell r="C1128" t="str">
            <v>EA</v>
          </cell>
          <cell r="D1128" t="str">
            <v>MA100</v>
          </cell>
          <cell r="E1128">
            <v>2769.6255299999998</v>
          </cell>
          <cell r="G1128">
            <v>1635809</v>
          </cell>
        </row>
        <row r="1129">
          <cell r="A1129">
            <v>1635810</v>
          </cell>
          <cell r="B1129" t="str">
            <v>KIT, OPNR/CLSR, EVO, RH, O.S. , 3'</v>
          </cell>
          <cell r="C1129" t="str">
            <v>EA</v>
          </cell>
          <cell r="D1129" t="str">
            <v>MA100</v>
          </cell>
          <cell r="E1129">
            <v>2839.0715300000002</v>
          </cell>
          <cell r="G1129">
            <v>1635810</v>
          </cell>
        </row>
        <row r="1130">
          <cell r="A1130">
            <v>1635811</v>
          </cell>
          <cell r="B1130" t="str">
            <v>KIT, OPNR/CLSR, EVO, LH, O.S. , 3'</v>
          </cell>
          <cell r="C1130" t="str">
            <v>EA</v>
          </cell>
          <cell r="D1130" t="str">
            <v>MA100</v>
          </cell>
          <cell r="E1130">
            <v>2836.9519300000002</v>
          </cell>
          <cell r="G1130">
            <v>1635811</v>
          </cell>
        </row>
        <row r="1131">
          <cell r="A1131">
            <v>1635812</v>
          </cell>
          <cell r="B1131" t="str">
            <v>KIT,OPERATOR,EVO,LH,IS,SINGLE,6'</v>
          </cell>
          <cell r="C1131" t="str">
            <v>EA</v>
          </cell>
          <cell r="D1131" t="str">
            <v>MA100</v>
          </cell>
          <cell r="E1131">
            <v>4818.3683300000002</v>
          </cell>
          <cell r="G1131">
            <v>1635812</v>
          </cell>
        </row>
        <row r="1132">
          <cell r="A1132">
            <v>1635813</v>
          </cell>
          <cell r="B1132" t="str">
            <v>KIT,OPERATOR,EVO,RH,IS,SINGLE,6'</v>
          </cell>
          <cell r="C1132" t="str">
            <v>EA</v>
          </cell>
          <cell r="D1132" t="str">
            <v>MA100</v>
          </cell>
          <cell r="E1132">
            <v>3431.4529600000001</v>
          </cell>
          <cell r="G1132">
            <v>1635813</v>
          </cell>
        </row>
        <row r="1133">
          <cell r="A1133">
            <v>1635814</v>
          </cell>
          <cell r="B1133" t="str">
            <v>KIT,OPERATOR,EVO,RH,OS,SINGLE,6'</v>
          </cell>
          <cell r="C1133" t="str">
            <v>EA</v>
          </cell>
          <cell r="D1133" t="str">
            <v>MA100</v>
          </cell>
          <cell r="E1133">
            <v>4145.7674800000004</v>
          </cell>
          <cell r="G1133">
            <v>1635814</v>
          </cell>
        </row>
        <row r="1134">
          <cell r="A1134">
            <v>1635815</v>
          </cell>
          <cell r="B1134" t="str">
            <v>KIT,OPERATOR,EVO,LH,OS,SINGLE,6'</v>
          </cell>
          <cell r="C1134" t="str">
            <v>EA</v>
          </cell>
          <cell r="D1134" t="str">
            <v>MA100</v>
          </cell>
          <cell r="E1134">
            <v>4232.1864800000003</v>
          </cell>
          <cell r="G1134">
            <v>1635815</v>
          </cell>
        </row>
        <row r="1135">
          <cell r="A1135">
            <v>1635829</v>
          </cell>
          <cell r="B1135" t="str">
            <v>PROCEDURE,IOSD RF COPPER FINGER &amp; TRACK</v>
          </cell>
          <cell r="C1135" t="str">
            <v>EA</v>
          </cell>
          <cell r="D1135" t="str">
            <v>MA100</v>
          </cell>
          <cell r="E1135">
            <v>2.8824999999999998</v>
          </cell>
          <cell r="G1135">
            <v>1635829</v>
          </cell>
        </row>
        <row r="1136">
          <cell r="A1136">
            <v>1636372</v>
          </cell>
          <cell r="B1136" t="str">
            <v>FLAT THRESHOLD ISOLATOR, EVO AIR 72"</v>
          </cell>
          <cell r="C1136" t="str">
            <v>EA</v>
          </cell>
          <cell r="D1136" t="str">
            <v>RM100</v>
          </cell>
          <cell r="E1136">
            <v>356</v>
          </cell>
          <cell r="G1136">
            <v>1636372</v>
          </cell>
        </row>
        <row r="1137">
          <cell r="A1137">
            <v>1636401</v>
          </cell>
          <cell r="B1137" t="str">
            <v>ISOLATOR, EVO AIR 72",PT 1, TEMP</v>
          </cell>
          <cell r="C1137" t="str">
            <v>EA</v>
          </cell>
          <cell r="D1137" t="str">
            <v>RM100</v>
          </cell>
          <cell r="E1137">
            <v>0</v>
          </cell>
          <cell r="G1137">
            <v>1636401</v>
          </cell>
        </row>
        <row r="1138">
          <cell r="A1138">
            <v>1636402</v>
          </cell>
          <cell r="B1138" t="str">
            <v>ISOLATOR, EVO AIR 72",PT 2, TEMP</v>
          </cell>
          <cell r="C1138" t="str">
            <v>EA</v>
          </cell>
          <cell r="D1138" t="str">
            <v>RM100</v>
          </cell>
          <cell r="E1138">
            <v>0</v>
          </cell>
          <cell r="G1138">
            <v>1636402</v>
          </cell>
        </row>
        <row r="1139">
          <cell r="A1139">
            <v>1636409</v>
          </cell>
          <cell r="B1139" t="str">
            <v>18 ga SS 6x6 plate with (2) DB9</v>
          </cell>
          <cell r="C1139" t="str">
            <v>EA</v>
          </cell>
          <cell r="D1139" t="str">
            <v>MA100</v>
          </cell>
          <cell r="E1139">
            <v>29.6008</v>
          </cell>
          <cell r="G1139">
            <v>1636409</v>
          </cell>
        </row>
        <row r="1140">
          <cell r="A1140">
            <v>1636434</v>
          </cell>
          <cell r="B1140" t="str">
            <v>CRYO,TOSHIBA,4"X32",2 END FLANGE</v>
          </cell>
          <cell r="C1140" t="str">
            <v>EA</v>
          </cell>
          <cell r="D1140" t="str">
            <v>RM100</v>
          </cell>
          <cell r="E1140">
            <v>198</v>
          </cell>
          <cell r="G1140">
            <v>1636434</v>
          </cell>
        </row>
        <row r="1141">
          <cell r="A1141">
            <v>1636556</v>
          </cell>
          <cell r="B1141" t="str">
            <v>CRYO, OASIS, 4" ID, 17 1/8" LONG</v>
          </cell>
          <cell r="C1141" t="str">
            <v>EA</v>
          </cell>
          <cell r="D1141" t="str">
            <v>MA100</v>
          </cell>
          <cell r="E1141">
            <v>320</v>
          </cell>
          <cell r="G1141">
            <v>1636556</v>
          </cell>
        </row>
        <row r="1142">
          <cell r="A1142">
            <v>1636596</v>
          </cell>
          <cell r="B1142" t="str">
            <v>TEMPLATE,MIN,MANUFACTURED PARTS</v>
          </cell>
          <cell r="C1142" t="str">
            <v>EA</v>
          </cell>
          <cell r="D1142" t="str">
            <v>MA100</v>
          </cell>
          <cell r="E1142">
            <v>0</v>
          </cell>
          <cell r="G1142">
            <v>1636596</v>
          </cell>
        </row>
        <row r="1143">
          <cell r="A1143">
            <v>1636718</v>
          </cell>
          <cell r="B1143" t="str">
            <v>18GA SS 5X5 PLATE WITH 4DB9</v>
          </cell>
          <cell r="C1143" t="str">
            <v>EA</v>
          </cell>
          <cell r="D1143" t="str">
            <v>MA100</v>
          </cell>
          <cell r="E1143">
            <v>14.46701</v>
          </cell>
          <cell r="G1143">
            <v>1636718</v>
          </cell>
        </row>
        <row r="1144">
          <cell r="A1144">
            <v>1636820</v>
          </cell>
          <cell r="B1144" t="str">
            <v>MANUAL,IOSD</v>
          </cell>
          <cell r="C1144" t="str">
            <v>EA</v>
          </cell>
          <cell r="D1144" t="str">
            <v>MA420</v>
          </cell>
          <cell r="E1144">
            <v>0</v>
          </cell>
          <cell r="G1144">
            <v>1636820</v>
          </cell>
        </row>
        <row r="1145">
          <cell r="A1145">
            <v>1636837</v>
          </cell>
          <cell r="B1145" t="str">
            <v>VENT,CRYO ALUM 8X36 W/14X14X1/4,25.5"END</v>
          </cell>
          <cell r="C1145" t="str">
            <v>EA</v>
          </cell>
          <cell r="D1145" t="str">
            <v>RM100</v>
          </cell>
          <cell r="E1145">
            <v>112</v>
          </cell>
          <cell r="G1145">
            <v>1636837</v>
          </cell>
        </row>
        <row r="1146">
          <cell r="A1146">
            <v>1637104</v>
          </cell>
          <cell r="B1146" t="str">
            <v>10" DIAMETER CUSTOM CRYO WITH 90</v>
          </cell>
          <cell r="C1146" t="str">
            <v>EA</v>
          </cell>
          <cell r="D1146" t="str">
            <v>RM100</v>
          </cell>
          <cell r="E1146">
            <v>2165</v>
          </cell>
          <cell r="G1146">
            <v>1637104</v>
          </cell>
        </row>
        <row r="1147">
          <cell r="A1147">
            <v>1637247</v>
          </cell>
          <cell r="B1147" t="str">
            <v>CU, 10"X24"X3" PAN, TOSHIBA TRENCH DUCT</v>
          </cell>
          <cell r="C1147" t="str">
            <v>EA</v>
          </cell>
          <cell r="D1147" t="str">
            <v>MA100</v>
          </cell>
          <cell r="E1147">
            <v>85.068910000000002</v>
          </cell>
          <cell r="G1147">
            <v>1637247</v>
          </cell>
        </row>
        <row r="1148">
          <cell r="A1148">
            <v>1637248</v>
          </cell>
          <cell r="B1148" t="str">
            <v>ALUM, 11"X25"CO, HF, FRAME, TOSHIBA</v>
          </cell>
          <cell r="C1148" t="str">
            <v>EA</v>
          </cell>
          <cell r="D1148" t="str">
            <v>MA100</v>
          </cell>
          <cell r="E1148">
            <v>116.72</v>
          </cell>
          <cell r="G1148">
            <v>1637248</v>
          </cell>
        </row>
        <row r="1149">
          <cell r="A1149">
            <v>1637289</v>
          </cell>
          <cell r="B1149" t="str">
            <v>LAM,WILSONART,#XXXXXXX,NAME</v>
          </cell>
          <cell r="C1149" t="str">
            <v>EA</v>
          </cell>
          <cell r="D1149" t="str">
            <v>RM100</v>
          </cell>
          <cell r="E1149">
            <v>0</v>
          </cell>
          <cell r="G1149">
            <v>1637289</v>
          </cell>
        </row>
        <row r="1150">
          <cell r="A1150">
            <v>1637290</v>
          </cell>
          <cell r="B1150" t="str">
            <v>TEMPLATE,MIN,MANUFACTURED PARTS</v>
          </cell>
          <cell r="C1150" t="str">
            <v>EA</v>
          </cell>
          <cell r="D1150" t="str">
            <v>MA100</v>
          </cell>
          <cell r="E1150">
            <v>0</v>
          </cell>
          <cell r="G1150">
            <v>1637290</v>
          </cell>
        </row>
        <row r="1151">
          <cell r="A1151">
            <v>1637291</v>
          </cell>
          <cell r="B1151" t="str">
            <v>TEMPLATE, MIN, PURCHASED PARTS</v>
          </cell>
          <cell r="C1151" t="str">
            <v>EA</v>
          </cell>
          <cell r="D1151" t="str">
            <v>RM100</v>
          </cell>
          <cell r="E1151">
            <v>0</v>
          </cell>
          <cell r="G1151">
            <v>1637291</v>
          </cell>
        </row>
        <row r="1152">
          <cell r="A1152">
            <v>1637294</v>
          </cell>
          <cell r="B1152" t="str">
            <v>ANG,STL 1/8X1.5X1.5X6 CUT FROM 504607</v>
          </cell>
          <cell r="C1152" t="str">
            <v>EA</v>
          </cell>
          <cell r="D1152" t="str">
            <v>MA100</v>
          </cell>
          <cell r="E1152">
            <v>1.18662</v>
          </cell>
          <cell r="G1152">
            <v>1637294</v>
          </cell>
        </row>
        <row r="1153">
          <cell r="A1153">
            <v>1677317</v>
          </cell>
          <cell r="B1153" t="str">
            <v>CUSTOM 8 INCH DIA CRYO 2.6 INCH OFFSET</v>
          </cell>
          <cell r="C1153" t="str">
            <v>EA</v>
          </cell>
          <cell r="D1153" t="str">
            <v>RM100</v>
          </cell>
          <cell r="E1153">
            <v>260</v>
          </cell>
          <cell r="G1153">
            <v>1677317</v>
          </cell>
        </row>
        <row r="1154">
          <cell r="A1154">
            <v>1677318</v>
          </cell>
          <cell r="B1154" t="str">
            <v>CUSTOM 8 INCH DIA CRYO 1.35 INCH OFFSET</v>
          </cell>
          <cell r="C1154" t="str">
            <v>EA</v>
          </cell>
          <cell r="D1154" t="str">
            <v>RM100</v>
          </cell>
          <cell r="E1154">
            <v>260</v>
          </cell>
          <cell r="G1154">
            <v>1677318</v>
          </cell>
        </row>
        <row r="1155">
          <cell r="A1155">
            <v>1677319</v>
          </cell>
          <cell r="B1155" t="str">
            <v>CUSTOM 8 INCH DIA CRYO 1.05 INCH OFFSET</v>
          </cell>
          <cell r="C1155" t="str">
            <v>EA</v>
          </cell>
          <cell r="D1155" t="str">
            <v>RM100</v>
          </cell>
          <cell r="E1155">
            <v>260</v>
          </cell>
          <cell r="G1155">
            <v>1677319</v>
          </cell>
        </row>
        <row r="1156">
          <cell r="A1156">
            <v>1677320</v>
          </cell>
          <cell r="B1156" t="str">
            <v>CUSTOM 8 INCH DIA CRYO 0.95 INCH OFFSET</v>
          </cell>
          <cell r="C1156" t="str">
            <v>EA</v>
          </cell>
          <cell r="D1156" t="str">
            <v>RM100</v>
          </cell>
          <cell r="E1156">
            <v>260</v>
          </cell>
          <cell r="G1156">
            <v>1677320</v>
          </cell>
        </row>
        <row r="1157">
          <cell r="A1157">
            <v>1677563</v>
          </cell>
          <cell r="B1157" t="str">
            <v>VENT,CRYO SS 4X16 SIEMENS 2.375-13.625</v>
          </cell>
          <cell r="C1157" t="str">
            <v>EA</v>
          </cell>
          <cell r="D1157" t="str">
            <v>RM100</v>
          </cell>
          <cell r="E1157">
            <v>460</v>
          </cell>
          <cell r="G1157">
            <v>1677563</v>
          </cell>
        </row>
        <row r="1158">
          <cell r="A1158">
            <v>1677564</v>
          </cell>
          <cell r="B1158" t="str">
            <v>VENT,CRYO SS 8x42-1/16 BRUKER TAPER 36</v>
          </cell>
          <cell r="C1158" t="str">
            <v>EA</v>
          </cell>
          <cell r="D1158" t="str">
            <v>RM100</v>
          </cell>
          <cell r="E1158">
            <v>1138.18</v>
          </cell>
          <cell r="G1158">
            <v>1677564</v>
          </cell>
        </row>
        <row r="1159">
          <cell r="A1159">
            <v>1677622</v>
          </cell>
          <cell r="B1159" t="str">
            <v>PLATE,BR,24"X18"X3/16 THICK W/ VOIDS</v>
          </cell>
          <cell r="C1159" t="str">
            <v>EA</v>
          </cell>
          <cell r="D1159" t="str">
            <v>MA100</v>
          </cell>
          <cell r="E1159">
            <v>168.81299999999999</v>
          </cell>
          <cell r="G1159">
            <v>1677622</v>
          </cell>
        </row>
        <row r="1160">
          <cell r="A1160">
            <v>1677623</v>
          </cell>
          <cell r="B1160" t="str">
            <v>PLT, BRASS, 24" X 18" X 3/16" W/ VOIDS</v>
          </cell>
          <cell r="C1160" t="str">
            <v>EA</v>
          </cell>
          <cell r="D1160" t="str">
            <v>MA100</v>
          </cell>
          <cell r="E1160">
            <v>0</v>
          </cell>
          <cell r="G1160">
            <v>1677623</v>
          </cell>
        </row>
        <row r="1161">
          <cell r="A1161">
            <v>1677624</v>
          </cell>
          <cell r="B1161" t="str">
            <v>TEMPLATE,MIN,MANUFACTURED PARTS</v>
          </cell>
          <cell r="C1161" t="str">
            <v>EA</v>
          </cell>
          <cell r="D1161" t="str">
            <v>MA100</v>
          </cell>
          <cell r="E1161">
            <v>0</v>
          </cell>
          <cell r="G1161">
            <v>1677624</v>
          </cell>
        </row>
        <row r="1162">
          <cell r="A1162">
            <v>1678397</v>
          </cell>
          <cell r="B1162" t="str">
            <v>BRACKET,SWITCH,IS EVO,LONG</v>
          </cell>
          <cell r="C1162" t="str">
            <v>EA</v>
          </cell>
          <cell r="D1162" t="str">
            <v>MA100</v>
          </cell>
          <cell r="E1162">
            <v>1.6249400000000001</v>
          </cell>
          <cell r="G1162">
            <v>1678397</v>
          </cell>
        </row>
        <row r="1163">
          <cell r="A1163">
            <v>1678457</v>
          </cell>
          <cell r="B1163" t="str">
            <v>VENT,CRYO ALUM 8X33  W/14X14X1/4, 3" END</v>
          </cell>
          <cell r="C1163" t="str">
            <v>EA</v>
          </cell>
          <cell r="D1163" t="str">
            <v>RM100</v>
          </cell>
          <cell r="E1163">
            <v>150</v>
          </cell>
          <cell r="G1163">
            <v>1678457</v>
          </cell>
        </row>
        <row r="1164">
          <cell r="A1164">
            <v>1678471</v>
          </cell>
          <cell r="B1164" t="str">
            <v>D/J,DEC,19-1/4x19-1/4,LOW PROFILE,WOOD</v>
          </cell>
          <cell r="C1164" t="str">
            <v>EA</v>
          </cell>
          <cell r="D1164" t="str">
            <v>MA100</v>
          </cell>
          <cell r="E1164">
            <v>182.12799000000001</v>
          </cell>
          <cell r="G1164">
            <v>1678471</v>
          </cell>
        </row>
        <row r="1165">
          <cell r="A1165">
            <v>1678480</v>
          </cell>
          <cell r="B1165" t="str">
            <v>DOOR LEAF,DEC,19-1/4x19-1/4,WOOD CORE</v>
          </cell>
          <cell r="C1165" t="str">
            <v>EA</v>
          </cell>
          <cell r="D1165" t="str">
            <v>MA100</v>
          </cell>
          <cell r="E1165">
            <v>107.75624999999999</v>
          </cell>
          <cell r="G1165">
            <v>1678480</v>
          </cell>
        </row>
        <row r="1166">
          <cell r="A1166">
            <v>1678977</v>
          </cell>
          <cell r="B1166" t="str">
            <v>VENT,CRYO SS 4X16 SIEMENS 12 3/4 - 3 1/4</v>
          </cell>
          <cell r="C1166" t="str">
            <v>EA</v>
          </cell>
          <cell r="D1166" t="str">
            <v>RM100</v>
          </cell>
          <cell r="E1166">
            <v>256</v>
          </cell>
          <cell r="G1166">
            <v>1678977</v>
          </cell>
        </row>
        <row r="1167">
          <cell r="A1167">
            <v>1679004</v>
          </cell>
          <cell r="B1167" t="str">
            <v>EVO 3X7 ACTIVE DOOR SLAB</v>
          </cell>
          <cell r="C1167" t="str">
            <v>EA</v>
          </cell>
          <cell r="D1167" t="str">
            <v>MA100</v>
          </cell>
          <cell r="E1167">
            <v>1965.5080800000001</v>
          </cell>
          <cell r="G1167">
            <v>1679004</v>
          </cell>
        </row>
        <row r="1168">
          <cell r="A1168">
            <v>1679005</v>
          </cell>
          <cell r="B1168" t="str">
            <v>EVO,AIR,6X7 DBL,RH ACTIVE,IS (3-3)</v>
          </cell>
          <cell r="C1168" t="str">
            <v>EA</v>
          </cell>
          <cell r="D1168" t="str">
            <v>MA100</v>
          </cell>
          <cell r="E1168">
            <v>12759.15</v>
          </cell>
          <cell r="G1168">
            <v>1679005</v>
          </cell>
        </row>
        <row r="1169">
          <cell r="A1169">
            <v>1679006</v>
          </cell>
          <cell r="B1169" t="str">
            <v>EVO 3X7 INACTIVE DOOR SLAB</v>
          </cell>
          <cell r="C1169" t="str">
            <v>EA</v>
          </cell>
          <cell r="D1169" t="str">
            <v>MA100</v>
          </cell>
          <cell r="E1169">
            <v>2216.13672</v>
          </cell>
          <cell r="G1169">
            <v>1679006</v>
          </cell>
        </row>
        <row r="1170">
          <cell r="A1170">
            <v>1679007</v>
          </cell>
          <cell r="B1170" t="str">
            <v>3X7 ACTIVE MDF PNL,DBL DR 33-3/4x76x1/2</v>
          </cell>
          <cell r="C1170" t="str">
            <v>EA</v>
          </cell>
          <cell r="D1170" t="str">
            <v>RM100</v>
          </cell>
          <cell r="E1170">
            <v>0</v>
          </cell>
          <cell r="G1170">
            <v>1679007</v>
          </cell>
        </row>
        <row r="1171">
          <cell r="A1171">
            <v>1679008</v>
          </cell>
          <cell r="B1171" t="str">
            <v>3X7 ACTIVE RF PANEL,DBL DR</v>
          </cell>
          <cell r="C1171" t="str">
            <v>EA</v>
          </cell>
          <cell r="D1171" t="str">
            <v>RM100</v>
          </cell>
          <cell r="E1171">
            <v>203.57</v>
          </cell>
          <cell r="G1171">
            <v>1679008</v>
          </cell>
        </row>
        <row r="1172">
          <cell r="A1172">
            <v>1679009</v>
          </cell>
          <cell r="B1172" t="str">
            <v>3X7 ACTIVE NRF PANEL,DBL DR</v>
          </cell>
          <cell r="C1172" t="str">
            <v>EA</v>
          </cell>
          <cell r="D1172" t="str">
            <v>RM100</v>
          </cell>
          <cell r="E1172">
            <v>203.57</v>
          </cell>
          <cell r="G1172">
            <v>1679009</v>
          </cell>
        </row>
        <row r="1173">
          <cell r="A1173">
            <v>1679010</v>
          </cell>
          <cell r="B1173" t="str">
            <v>3X7 INACTIVE NRF PANEL,DBL DR</v>
          </cell>
          <cell r="C1173" t="str">
            <v>EA</v>
          </cell>
          <cell r="D1173" t="str">
            <v>RM100</v>
          </cell>
          <cell r="E1173">
            <v>0</v>
          </cell>
          <cell r="G1173">
            <v>1679010</v>
          </cell>
        </row>
        <row r="1174">
          <cell r="A1174">
            <v>1679011</v>
          </cell>
          <cell r="B1174" t="str">
            <v>3X7 INACTIVE RF PANEL,DBL DR</v>
          </cell>
          <cell r="C1174" t="str">
            <v>EA</v>
          </cell>
          <cell r="D1174" t="str">
            <v>RM100</v>
          </cell>
          <cell r="E1174">
            <v>203.57</v>
          </cell>
          <cell r="G1174">
            <v>1679011</v>
          </cell>
        </row>
        <row r="1175">
          <cell r="A1175">
            <v>1679012</v>
          </cell>
          <cell r="B1175" t="str">
            <v>3X7 INACTIVE NRF PANEL,DBL DR</v>
          </cell>
          <cell r="C1175" t="str">
            <v>EA</v>
          </cell>
          <cell r="D1175" t="str">
            <v>RM100</v>
          </cell>
          <cell r="E1175">
            <v>203.57</v>
          </cell>
          <cell r="G1175">
            <v>1679012</v>
          </cell>
        </row>
        <row r="1176">
          <cell r="A1176">
            <v>1679013</v>
          </cell>
          <cell r="B1176" t="str">
            <v>FINGER ATTACHMENT BRACKET</v>
          </cell>
          <cell r="C1176" t="str">
            <v>EA</v>
          </cell>
          <cell r="D1176" t="str">
            <v>RM100</v>
          </cell>
          <cell r="E1176">
            <v>30.6</v>
          </cell>
          <cell r="G1176">
            <v>1679013</v>
          </cell>
        </row>
        <row r="1177">
          <cell r="A1177">
            <v>1679014</v>
          </cell>
          <cell r="B1177" t="str">
            <v>PNEUMATIC ATTACHMENT BRACKET</v>
          </cell>
          <cell r="C1177" t="str">
            <v>EA</v>
          </cell>
          <cell r="D1177" t="str">
            <v>RM100</v>
          </cell>
          <cell r="E1177">
            <v>30.75</v>
          </cell>
          <cell r="G1177">
            <v>1679014</v>
          </cell>
        </row>
        <row r="1178">
          <cell r="A1178">
            <v>1679015</v>
          </cell>
          <cell r="B1178" t="str">
            <v>FNG STK,LOW PRO,FREE HEIGHT .08",.21"W</v>
          </cell>
          <cell r="C1178" t="str">
            <v>EA</v>
          </cell>
          <cell r="D1178" t="str">
            <v>RM100</v>
          </cell>
          <cell r="E1178">
            <v>5.56</v>
          </cell>
          <cell r="G1178">
            <v>1679015</v>
          </cell>
        </row>
        <row r="1179">
          <cell r="A1179">
            <v>1679104</v>
          </cell>
          <cell r="B1179" t="str">
            <v>VENT, 3.25"x8.25"x.75" SCREEN WAVEGUIDE</v>
          </cell>
          <cell r="C1179" t="str">
            <v>EA</v>
          </cell>
          <cell r="D1179" t="str">
            <v>MA100</v>
          </cell>
          <cell r="E1179">
            <v>52.945</v>
          </cell>
          <cell r="G1179">
            <v>1679104</v>
          </cell>
        </row>
        <row r="1180">
          <cell r="A1180">
            <v>1679121</v>
          </cell>
          <cell r="B1180" t="str">
            <v>VENT,CRYO SS 8" SIEMENS 90DEG 6"INSIDE</v>
          </cell>
          <cell r="C1180" t="str">
            <v>EA</v>
          </cell>
          <cell r="D1180" t="str">
            <v>RM100</v>
          </cell>
          <cell r="E1180">
            <v>0</v>
          </cell>
          <cell r="G1180">
            <v>1679121</v>
          </cell>
        </row>
        <row r="1181">
          <cell r="A1181">
            <v>1679122</v>
          </cell>
          <cell r="B1181" t="str">
            <v>VENT,CRYO 8" SIEMENS 90DEG 18.25" INSIDE</v>
          </cell>
          <cell r="C1181" t="str">
            <v>EA</v>
          </cell>
          <cell r="D1181" t="str">
            <v>RM100</v>
          </cell>
          <cell r="E1181">
            <v>0</v>
          </cell>
          <cell r="G1181">
            <v>1679122</v>
          </cell>
        </row>
        <row r="1182">
          <cell r="A1182">
            <v>1679144</v>
          </cell>
          <cell r="B1182" t="str">
            <v>SCR,#10-32X3/8,SLT,THUMB,MMC#91746A696</v>
          </cell>
          <cell r="C1182" t="str">
            <v>EA</v>
          </cell>
          <cell r="D1182" t="str">
            <v>RM100</v>
          </cell>
          <cell r="E1182">
            <v>2.86</v>
          </cell>
          <cell r="G1182">
            <v>1679144</v>
          </cell>
        </row>
        <row r="1183">
          <cell r="A1183">
            <v>1679334</v>
          </cell>
          <cell r="B1183" t="str">
            <v>BRKT,90DEG,LEVELER MNTG PROJECT/MONITOR</v>
          </cell>
          <cell r="C1183" t="str">
            <v>EA</v>
          </cell>
          <cell r="D1183" t="str">
            <v>MA100</v>
          </cell>
          <cell r="E1183">
            <v>3.0129100000000002</v>
          </cell>
          <cell r="G1183">
            <v>1679334</v>
          </cell>
        </row>
        <row r="1184">
          <cell r="A1184">
            <v>1679567</v>
          </cell>
          <cell r="B1184" t="str">
            <v>ANCH,CARTRGD ADH, HILTI #HY200-A*</v>
          </cell>
          <cell r="C1184" t="str">
            <v>EA</v>
          </cell>
          <cell r="D1184" t="str">
            <v>RM100</v>
          </cell>
          <cell r="E1184">
            <v>46.94</v>
          </cell>
          <cell r="G1184">
            <v>1679567</v>
          </cell>
        </row>
        <row r="1185">
          <cell r="A1185">
            <v>1679568</v>
          </cell>
          <cell r="B1185" t="str">
            <v>KIT,MAGNET ANCHOR, SIEMENS-SEISMIC,4ANC</v>
          </cell>
          <cell r="C1185" t="str">
            <v>EA</v>
          </cell>
          <cell r="D1185" t="str">
            <v>MA100</v>
          </cell>
          <cell r="E1185">
            <v>155.9444</v>
          </cell>
          <cell r="G1185">
            <v>1679568</v>
          </cell>
        </row>
        <row r="1186">
          <cell r="A1186">
            <v>1679635</v>
          </cell>
          <cell r="B1186" t="str">
            <v>KIT,PATIENT TABLE,SIEMENS RETROFIT,SEISM</v>
          </cell>
          <cell r="C1186" t="str">
            <v>EA</v>
          </cell>
          <cell r="D1186" t="str">
            <v>MA100</v>
          </cell>
          <cell r="E1186">
            <v>153.53232</v>
          </cell>
          <cell r="G1186">
            <v>1679635</v>
          </cell>
        </row>
        <row r="1187">
          <cell r="A1187">
            <v>1679724</v>
          </cell>
          <cell r="B1187" t="str">
            <v>ASSY,5240-30,2'x2'DR,2" DR TRIM,2.25"ABS</v>
          </cell>
          <cell r="C1187" t="str">
            <v>EA</v>
          </cell>
          <cell r="D1187" t="str">
            <v>MA100</v>
          </cell>
          <cell r="E1187">
            <v>3973.8704600000001</v>
          </cell>
          <cell r="G1187">
            <v>1679724</v>
          </cell>
        </row>
        <row r="1188">
          <cell r="A1188">
            <v>1679784</v>
          </cell>
          <cell r="B1188" t="str">
            <v>SCR,1/4x3",PH,PN,STL,CUTTING</v>
          </cell>
          <cell r="C1188" t="str">
            <v>EA</v>
          </cell>
          <cell r="D1188" t="str">
            <v>RM100</v>
          </cell>
          <cell r="E1188">
            <v>0.33279999999999998</v>
          </cell>
          <cell r="G1188">
            <v>1679784</v>
          </cell>
        </row>
        <row r="1189">
          <cell r="A1189">
            <v>1679814</v>
          </cell>
          <cell r="B1189" t="str">
            <v>ASSY,GE PP,INTGR 60.75"X80.5" DBL OPNG</v>
          </cell>
          <cell r="C1189" t="str">
            <v>EA</v>
          </cell>
          <cell r="D1189" t="str">
            <v>MA100</v>
          </cell>
          <cell r="E1189">
            <v>219.24708000000001</v>
          </cell>
          <cell r="G1189">
            <v>1679814</v>
          </cell>
        </row>
        <row r="1190">
          <cell r="A1190">
            <v>1679817</v>
          </cell>
          <cell r="B1190" t="str">
            <v>LAP PLATE, 3/8"x4" INTGR 4x7 EVO DOOR</v>
          </cell>
          <cell r="C1190" t="str">
            <v>EA</v>
          </cell>
          <cell r="D1190" t="str">
            <v>MA100</v>
          </cell>
          <cell r="E1190">
            <v>372.60615999999999</v>
          </cell>
          <cell r="G1190">
            <v>1679817</v>
          </cell>
        </row>
        <row r="1191">
          <cell r="A1191">
            <v>1679821</v>
          </cell>
          <cell r="B1191" t="str">
            <v>VENT ASSY,18X18X1,STL 3/16 W/BRS FLG</v>
          </cell>
          <cell r="C1191" t="str">
            <v>EA</v>
          </cell>
          <cell r="D1191" t="str">
            <v>MA100</v>
          </cell>
          <cell r="E1191">
            <v>177.8725</v>
          </cell>
          <cell r="G1191">
            <v>1679821</v>
          </cell>
        </row>
        <row r="1192">
          <cell r="A1192">
            <v>1679827</v>
          </cell>
          <cell r="B1192" t="str">
            <v>LAP PLATE,3/8"x4" INTEGRATED</v>
          </cell>
          <cell r="C1192" t="str">
            <v>EA</v>
          </cell>
          <cell r="D1192" t="str">
            <v>MA100</v>
          </cell>
          <cell r="E1192">
            <v>197.715</v>
          </cell>
          <cell r="G1192">
            <v>1679827</v>
          </cell>
        </row>
        <row r="1193">
          <cell r="A1193">
            <v>1679868</v>
          </cell>
          <cell r="B1193" t="str">
            <v>PLATE,CONN BR 15-1/2x15-1/2 BLANK</v>
          </cell>
          <cell r="C1193" t="str">
            <v>EA</v>
          </cell>
          <cell r="D1193" t="str">
            <v>MA100</v>
          </cell>
          <cell r="E1193">
            <v>100.54582000000001</v>
          </cell>
          <cell r="G1193">
            <v>1679868</v>
          </cell>
        </row>
        <row r="1194">
          <cell r="A1194">
            <v>1679893</v>
          </cell>
          <cell r="B1194" t="str">
            <v>CPA-12x12-B-4S,2USB,(1) 2"WG</v>
          </cell>
          <cell r="C1194" t="str">
            <v>EA</v>
          </cell>
          <cell r="D1194" t="str">
            <v>MA100</v>
          </cell>
          <cell r="E1194">
            <v>252.43458999999999</v>
          </cell>
          <cell r="G1194">
            <v>1679893</v>
          </cell>
        </row>
        <row r="1195">
          <cell r="A1195">
            <v>1679894</v>
          </cell>
          <cell r="B1195" t="str">
            <v>CP-12x12-B-4S,2USB,(1) 2"WG</v>
          </cell>
          <cell r="C1195" t="str">
            <v>EA</v>
          </cell>
          <cell r="D1195" t="str">
            <v>MA410</v>
          </cell>
          <cell r="E1195">
            <v>36.467190000000002</v>
          </cell>
          <cell r="G1195">
            <v>1679894</v>
          </cell>
        </row>
        <row r="1196">
          <cell r="A1196">
            <v>1679907</v>
          </cell>
          <cell r="B1196" t="str">
            <v>LFB,BLU FLEX 2 1/2" THK CUSTOM</v>
          </cell>
          <cell r="C1196" t="str">
            <v>EA</v>
          </cell>
          <cell r="D1196" t="str">
            <v>FG201</v>
          </cell>
          <cell r="E1196">
            <v>37.255000000000003</v>
          </cell>
          <cell r="G1196">
            <v>1679907</v>
          </cell>
        </row>
        <row r="1197">
          <cell r="A1197">
            <v>1679908</v>
          </cell>
          <cell r="B1197" t="str">
            <v>LFB,BLU FLEX 2 1/2" THK CUSTOM</v>
          </cell>
          <cell r="C1197" t="str">
            <v>EA</v>
          </cell>
          <cell r="D1197" t="str">
            <v>FG201</v>
          </cell>
          <cell r="E1197">
            <v>37.255000000000003</v>
          </cell>
          <cell r="G1197">
            <v>1679908</v>
          </cell>
        </row>
        <row r="1198">
          <cell r="A1198">
            <v>1679909</v>
          </cell>
          <cell r="B1198" t="str">
            <v>LFB,BLU FLEX 2 1/2" THK CUSTOM</v>
          </cell>
          <cell r="C1198" t="str">
            <v>EA</v>
          </cell>
          <cell r="D1198" t="str">
            <v>FG201</v>
          </cell>
          <cell r="E1198">
            <v>37.255000000000003</v>
          </cell>
          <cell r="G1198">
            <v>1679909</v>
          </cell>
        </row>
        <row r="1199">
          <cell r="A1199">
            <v>1679910</v>
          </cell>
          <cell r="B1199" t="str">
            <v>LFB,BLU FLEX 2 1/2" THK CUSTOM</v>
          </cell>
          <cell r="C1199" t="str">
            <v>EA</v>
          </cell>
          <cell r="D1199" t="str">
            <v>FG201</v>
          </cell>
          <cell r="E1199">
            <v>37.25</v>
          </cell>
          <cell r="G1199">
            <v>1679910</v>
          </cell>
        </row>
        <row r="1200">
          <cell r="A1200">
            <v>1679955</v>
          </cell>
          <cell r="B1200" t="str">
            <v>VENT,CRYO SS 8X32 SIEMENS 4-28</v>
          </cell>
          <cell r="C1200" t="str">
            <v>EA</v>
          </cell>
          <cell r="D1200" t="str">
            <v>RM100</v>
          </cell>
          <cell r="E1200">
            <v>485</v>
          </cell>
          <cell r="G1200">
            <v>1679955</v>
          </cell>
        </row>
        <row r="1201">
          <cell r="A1201">
            <v>1679975</v>
          </cell>
          <cell r="B1201" t="str">
            <v>BLOWOUT DOOR SPACER,WELDMENT</v>
          </cell>
          <cell r="C1201" t="str">
            <v>EA</v>
          </cell>
          <cell r="D1201" t="str">
            <v>RM100</v>
          </cell>
          <cell r="E1201">
            <v>147</v>
          </cell>
          <cell r="G1201">
            <v>1679975</v>
          </cell>
        </row>
        <row r="1202">
          <cell r="A1202">
            <v>1680024</v>
          </cell>
          <cell r="B1202" t="str">
            <v>PLT,EVO AUTO INTGR THRSLD54.625x5.5x.375</v>
          </cell>
          <cell r="C1202" t="str">
            <v>EA</v>
          </cell>
          <cell r="D1202" t="str">
            <v>MA100</v>
          </cell>
          <cell r="E1202">
            <v>310.8</v>
          </cell>
          <cell r="G1202">
            <v>1680024</v>
          </cell>
        </row>
        <row r="1203">
          <cell r="A1203">
            <v>1680025</v>
          </cell>
          <cell r="B1203" t="str">
            <v>STL,3/8"x6"xFT (TYPE 1018)</v>
          </cell>
          <cell r="C1203" t="str">
            <v>FT</v>
          </cell>
          <cell r="D1203" t="str">
            <v>RM100</v>
          </cell>
          <cell r="E1203">
            <v>0</v>
          </cell>
          <cell r="G1203">
            <v>1680025</v>
          </cell>
        </row>
        <row r="1204">
          <cell r="A1204">
            <v>1680054</v>
          </cell>
          <cell r="B1204" t="str">
            <v>CP-12x24-B-BLANK</v>
          </cell>
          <cell r="C1204" t="str">
            <v>EA</v>
          </cell>
          <cell r="D1204" t="str">
            <v>MA100</v>
          </cell>
          <cell r="E1204">
            <v>199.93863999999999</v>
          </cell>
          <cell r="G1204">
            <v>1680054</v>
          </cell>
        </row>
        <row r="1205">
          <cell r="A1205">
            <v>1680224</v>
          </cell>
          <cell r="B1205" t="str">
            <v>NTDB3,DISTRIB BOX FOR 3LGHT CEIL FIX 6X6</v>
          </cell>
          <cell r="C1205" t="str">
            <v>EA</v>
          </cell>
          <cell r="D1205" t="str">
            <v>RM100</v>
          </cell>
          <cell r="E1205">
            <v>0</v>
          </cell>
          <cell r="G1205">
            <v>1680224</v>
          </cell>
        </row>
        <row r="1206">
          <cell r="A1206">
            <v>1680348</v>
          </cell>
          <cell r="B1206" t="str">
            <v>LAM,SS CVR,IOSD ACOUSTIC,LH</v>
          </cell>
          <cell r="C1206" t="str">
            <v>EA</v>
          </cell>
          <cell r="D1206" t="str">
            <v>MA100</v>
          </cell>
          <cell r="E1206">
            <v>275</v>
          </cell>
          <cell r="G1206">
            <v>1680348</v>
          </cell>
        </row>
        <row r="1207">
          <cell r="A1207">
            <v>1680389</v>
          </cell>
          <cell r="B1207" t="str">
            <v>ANG,3/16"X2"X2" HR INTEGRATED</v>
          </cell>
          <cell r="C1207" t="str">
            <v>EA</v>
          </cell>
          <cell r="D1207" t="str">
            <v>MA100</v>
          </cell>
          <cell r="E1207">
            <v>47.461799999999997</v>
          </cell>
          <cell r="G1207">
            <v>1680389</v>
          </cell>
        </row>
        <row r="1208">
          <cell r="A1208">
            <v>1680728</v>
          </cell>
          <cell r="B1208" t="str">
            <v>DO NOT USE</v>
          </cell>
          <cell r="C1208" t="str">
            <v>EA</v>
          </cell>
          <cell r="D1208" t="str">
            <v>RM100</v>
          </cell>
          <cell r="E1208">
            <v>0</v>
          </cell>
          <cell r="G1208">
            <v>1680728</v>
          </cell>
        </row>
        <row r="1209">
          <cell r="A1209">
            <v>1680788</v>
          </cell>
          <cell r="B1209" t="str">
            <v>MANUAL,EVO AIR</v>
          </cell>
          <cell r="C1209" t="str">
            <v>EA</v>
          </cell>
          <cell r="D1209" t="str">
            <v>RM100</v>
          </cell>
          <cell r="E1209">
            <v>0</v>
          </cell>
          <cell r="G1209">
            <v>1680788</v>
          </cell>
        </row>
        <row r="1210">
          <cell r="A1210">
            <v>1680923</v>
          </cell>
          <cell r="B1210" t="str">
            <v>ASSY,5240-36,2X2DR,8X8CP,1BNC,(2)1/2WGFT</v>
          </cell>
          <cell r="C1210" t="str">
            <v>EA</v>
          </cell>
          <cell r="D1210" t="str">
            <v>MA100</v>
          </cell>
          <cell r="E1210">
            <v>4132.3362100000004</v>
          </cell>
          <cell r="G1210">
            <v>1680923</v>
          </cell>
        </row>
        <row r="1211">
          <cell r="A1211">
            <v>1680924</v>
          </cell>
          <cell r="B1211" t="str">
            <v>ASSY,5240-18,12X12DR,LMF-4113,12BNC,6SMA</v>
          </cell>
          <cell r="C1211" t="str">
            <v>EA</v>
          </cell>
          <cell r="D1211" t="str">
            <v>MA100</v>
          </cell>
          <cell r="E1211">
            <v>5194.2492700000003</v>
          </cell>
          <cell r="G1211">
            <v>1680924</v>
          </cell>
        </row>
        <row r="1212">
          <cell r="A1212">
            <v>1680980</v>
          </cell>
          <cell r="B1212" t="str">
            <v>PLATE,LAP PLATE RELIEF HATCH W/O JAMB</v>
          </cell>
          <cell r="C1212" t="str">
            <v>EA</v>
          </cell>
          <cell r="D1212" t="str">
            <v>MA100</v>
          </cell>
          <cell r="E1212">
            <v>230.02982</v>
          </cell>
          <cell r="G1212">
            <v>1680980</v>
          </cell>
        </row>
        <row r="1213">
          <cell r="A1213">
            <v>1680981</v>
          </cell>
          <cell r="B1213" t="str">
            <v>ASSY,EMER RELIEF HATCH INTG W/O JAMB</v>
          </cell>
          <cell r="C1213" t="str">
            <v>EA</v>
          </cell>
          <cell r="D1213" t="str">
            <v>MA100</v>
          </cell>
          <cell r="E1213">
            <v>791.03612999999996</v>
          </cell>
          <cell r="G1213">
            <v>1680981</v>
          </cell>
        </row>
        <row r="1214">
          <cell r="A1214">
            <v>1681054</v>
          </cell>
          <cell r="B1214" t="str">
            <v>ASSY,5240-30,18X18DR,4.5LFB,(6)5A FILTER</v>
          </cell>
          <cell r="C1214" t="str">
            <v>EA</v>
          </cell>
          <cell r="D1214" t="str">
            <v>MA100</v>
          </cell>
          <cell r="E1214">
            <v>10343.041730000001</v>
          </cell>
          <cell r="G1214">
            <v>1681054</v>
          </cell>
        </row>
        <row r="1215">
          <cell r="A1215">
            <v>1681070</v>
          </cell>
          <cell r="B1215" t="str">
            <v>VENT,CRYO ALUM 8X14.25 W/14X14X1/4, 22"</v>
          </cell>
          <cell r="C1215" t="str">
            <v>EA</v>
          </cell>
          <cell r="D1215" t="str">
            <v>MA100</v>
          </cell>
          <cell r="E1215">
            <v>118</v>
          </cell>
          <cell r="G1215">
            <v>1681070</v>
          </cell>
        </row>
        <row r="1216">
          <cell r="A1216">
            <v>1681072</v>
          </cell>
          <cell r="B1216" t="str">
            <v>PLT,BR,22"x33.5"x3/16",MAIN PLT</v>
          </cell>
          <cell r="C1216" t="str">
            <v>EA</v>
          </cell>
          <cell r="D1216" t="str">
            <v>MA100</v>
          </cell>
          <cell r="E1216">
            <v>1119.904</v>
          </cell>
          <cell r="G1216">
            <v>1681072</v>
          </cell>
        </row>
        <row r="1217">
          <cell r="A1217">
            <v>1681110</v>
          </cell>
          <cell r="B1217" t="str">
            <v>PLT,BR,8.5"X9.5"X1/8",BLNK,SUB PLT</v>
          </cell>
          <cell r="C1217" t="str">
            <v>EA</v>
          </cell>
          <cell r="D1217" t="str">
            <v>MA100</v>
          </cell>
          <cell r="E1217">
            <v>675.71500000000003</v>
          </cell>
          <cell r="G1217">
            <v>1681110</v>
          </cell>
        </row>
        <row r="1218">
          <cell r="A1218">
            <v>1681111</v>
          </cell>
          <cell r="B1218" t="str">
            <v>ASSY,BR,22"X33.5",W/ SUB PLATES</v>
          </cell>
          <cell r="C1218" t="str">
            <v>EA</v>
          </cell>
          <cell r="D1218" t="str">
            <v>MA100</v>
          </cell>
          <cell r="E1218">
            <v>1853.3856000000001</v>
          </cell>
          <cell r="G1218">
            <v>1681111</v>
          </cell>
        </row>
        <row r="1219">
          <cell r="A1219">
            <v>1681113</v>
          </cell>
          <cell r="B1219" t="str">
            <v>TEMPLATE,MIN,MANUFACTURED PARTS</v>
          </cell>
          <cell r="C1219" t="str">
            <v>EA</v>
          </cell>
          <cell r="D1219" t="str">
            <v>MA100</v>
          </cell>
          <cell r="E1219">
            <v>0</v>
          </cell>
          <cell r="G1219">
            <v>1681113</v>
          </cell>
        </row>
        <row r="1220">
          <cell r="A1220">
            <v>1681196</v>
          </cell>
          <cell r="B1220" t="str">
            <v>PLATE,CONN BR15-1/2x15-1/2,(4)N</v>
          </cell>
          <cell r="C1220" t="str">
            <v>EA</v>
          </cell>
          <cell r="D1220" t="str">
            <v>MA100</v>
          </cell>
          <cell r="E1220">
            <v>128.79432</v>
          </cell>
          <cell r="G1220">
            <v>1681196</v>
          </cell>
        </row>
        <row r="1221">
          <cell r="A1221">
            <v>1681202</v>
          </cell>
          <cell r="B1221" t="str">
            <v>EVO,AIR,6X7 DBL,LH ACTIVE,OS (4-2)</v>
          </cell>
          <cell r="C1221" t="str">
            <v>EA</v>
          </cell>
          <cell r="D1221" t="str">
            <v>MA100</v>
          </cell>
          <cell r="E1221">
            <v>12484.16</v>
          </cell>
          <cell r="G1221">
            <v>1681202</v>
          </cell>
        </row>
        <row r="1222">
          <cell r="A1222">
            <v>1681203</v>
          </cell>
          <cell r="B1222" t="str">
            <v>EVO,AIR,6X7 DBL,RH ACTIVE,OS (4-2)</v>
          </cell>
          <cell r="C1222" t="str">
            <v>EA</v>
          </cell>
          <cell r="D1222" t="str">
            <v>MA100</v>
          </cell>
          <cell r="E1222">
            <v>12510.92</v>
          </cell>
          <cell r="G1222">
            <v>1681203</v>
          </cell>
        </row>
        <row r="1223">
          <cell r="A1223">
            <v>1681204</v>
          </cell>
          <cell r="B1223" t="str">
            <v>OUTSWING MOUNTING PLATE,EVO OP</v>
          </cell>
          <cell r="C1223" t="str">
            <v>EA</v>
          </cell>
          <cell r="D1223" t="str">
            <v>MA100</v>
          </cell>
          <cell r="E1223">
            <v>14</v>
          </cell>
          <cell r="G1223">
            <v>1681204</v>
          </cell>
        </row>
        <row r="1224">
          <cell r="A1224">
            <v>1681335</v>
          </cell>
          <cell r="B1224" t="str">
            <v>BOLTED ASSY,VENT,HIGH HAT,12"X12"</v>
          </cell>
          <cell r="C1224" t="str">
            <v>EA</v>
          </cell>
          <cell r="D1224" t="str">
            <v>MA100</v>
          </cell>
          <cell r="E1224">
            <v>479.58339999999998</v>
          </cell>
          <cell r="G1224">
            <v>1681335</v>
          </cell>
        </row>
        <row r="1225">
          <cell r="A1225">
            <v>1681343</v>
          </cell>
          <cell r="B1225" t="str">
            <v>MAGLOCK BRACKET SPACER</v>
          </cell>
          <cell r="C1225" t="str">
            <v>EA</v>
          </cell>
          <cell r="D1225" t="str">
            <v>RM100</v>
          </cell>
          <cell r="E1225">
            <v>44.551000000000002</v>
          </cell>
          <cell r="G1225">
            <v>1681343</v>
          </cell>
        </row>
        <row r="1226">
          <cell r="A1226">
            <v>1681344</v>
          </cell>
          <cell r="B1226" t="str">
            <v>MAGLOCK COVER</v>
          </cell>
          <cell r="C1226" t="str">
            <v>EA</v>
          </cell>
          <cell r="D1226" t="str">
            <v>RM100</v>
          </cell>
          <cell r="E1226">
            <v>39.723179999999999</v>
          </cell>
          <cell r="G1226">
            <v>1681344</v>
          </cell>
        </row>
        <row r="1227">
          <cell r="A1227">
            <v>1681365</v>
          </cell>
          <cell r="B1227" t="str">
            <v>CPA-6x12-B-6S,12B</v>
          </cell>
          <cell r="C1227" t="str">
            <v>EA</v>
          </cell>
          <cell r="D1227" t="str">
            <v>MA410</v>
          </cell>
          <cell r="E1227">
            <v>306.36471999999998</v>
          </cell>
          <cell r="G1227">
            <v>1681365</v>
          </cell>
        </row>
        <row r="1228">
          <cell r="A1228">
            <v>1681366</v>
          </cell>
          <cell r="B1228" t="str">
            <v>CP-6x12-B-6S,12B</v>
          </cell>
          <cell r="C1228" t="str">
            <v>EA</v>
          </cell>
          <cell r="D1228" t="str">
            <v>MA410</v>
          </cell>
          <cell r="E1228">
            <v>108.86236</v>
          </cell>
          <cell r="G1228">
            <v>1681366</v>
          </cell>
        </row>
        <row r="1229">
          <cell r="A1229">
            <v>1681383</v>
          </cell>
          <cell r="B1229" t="str">
            <v>ASSY,#12 COPPER SCREEN ROOM,FIRE TREATED</v>
          </cell>
          <cell r="C1229" t="str">
            <v>EA</v>
          </cell>
          <cell r="D1229" t="str">
            <v>FG011</v>
          </cell>
          <cell r="E1229">
            <v>9145.4657200000001</v>
          </cell>
          <cell r="G1229">
            <v>1681383</v>
          </cell>
        </row>
        <row r="1230">
          <cell r="A1230">
            <v>1681624</v>
          </cell>
          <cell r="B1230" t="str">
            <v>ASSY, MRDS HATCH DOOR 24"x42"</v>
          </cell>
          <cell r="C1230" t="str">
            <v>EA</v>
          </cell>
          <cell r="D1230" t="str">
            <v>MA100</v>
          </cell>
          <cell r="E1230">
            <v>1292.02646</v>
          </cell>
          <cell r="G1230">
            <v>1681624</v>
          </cell>
        </row>
        <row r="1231">
          <cell r="A1231">
            <v>1681625</v>
          </cell>
          <cell r="B1231" t="str">
            <v>DOOR BLANK 24"x42" MRDS HATCH DOOR</v>
          </cell>
          <cell r="C1231" t="str">
            <v>EA</v>
          </cell>
          <cell r="D1231" t="str">
            <v>MA100</v>
          </cell>
          <cell r="E1231">
            <v>100.21250000000001</v>
          </cell>
          <cell r="G1231">
            <v>1681625</v>
          </cell>
        </row>
        <row r="1232">
          <cell r="A1232">
            <v>1681626</v>
          </cell>
          <cell r="B1232" t="str">
            <v>EXTRU, ALUM, HDR/SILL MACH 29"</v>
          </cell>
          <cell r="C1232" t="str">
            <v>EA</v>
          </cell>
          <cell r="D1232" t="str">
            <v>RM100</v>
          </cell>
          <cell r="E1232">
            <v>119.93</v>
          </cell>
          <cell r="G1232">
            <v>1681626</v>
          </cell>
        </row>
        <row r="1233">
          <cell r="A1233">
            <v>1681627</v>
          </cell>
          <cell r="B1233" t="str">
            <v>EXTRU, ALUM, HINGE SIDE MACH 47"</v>
          </cell>
          <cell r="C1233" t="str">
            <v>EA</v>
          </cell>
          <cell r="D1233" t="str">
            <v>RM100</v>
          </cell>
          <cell r="E1233">
            <v>202.6</v>
          </cell>
          <cell r="G1233">
            <v>1681627</v>
          </cell>
        </row>
        <row r="1234">
          <cell r="A1234">
            <v>1681628</v>
          </cell>
          <cell r="B1234" t="str">
            <v>EXTRU, ALUM, LATCH SIDE 47"</v>
          </cell>
          <cell r="C1234" t="str">
            <v>EA</v>
          </cell>
          <cell r="D1234" t="str">
            <v>RM100</v>
          </cell>
          <cell r="E1234">
            <v>197.05</v>
          </cell>
          <cell r="G1234">
            <v>1681628</v>
          </cell>
        </row>
        <row r="1235">
          <cell r="A1235">
            <v>1681629</v>
          </cell>
          <cell r="B1235" t="str">
            <v>DEC DL, CORE, 22.75 SQR CO</v>
          </cell>
          <cell r="C1235" t="str">
            <v>EA</v>
          </cell>
          <cell r="D1235" t="str">
            <v>MA100</v>
          </cell>
          <cell r="E1235">
            <v>44.215000000000003</v>
          </cell>
          <cell r="G1235">
            <v>1681629</v>
          </cell>
        </row>
        <row r="1236">
          <cell r="A1236">
            <v>1681654</v>
          </cell>
          <cell r="B1236" t="str">
            <v>DEC DJ, WOOD, 10GHZ, 22.75 SQR CO</v>
          </cell>
          <cell r="C1236" t="str">
            <v>EA</v>
          </cell>
          <cell r="D1236" t="str">
            <v>MA100</v>
          </cell>
          <cell r="E1236">
            <v>54.646900000000002</v>
          </cell>
          <cell r="G1236">
            <v>1681654</v>
          </cell>
        </row>
        <row r="1237">
          <cell r="A1237">
            <v>1681662</v>
          </cell>
          <cell r="B1237" t="str">
            <v>VENT,CRYO SS 6X25.5 SIEMENS 21.5-4</v>
          </cell>
          <cell r="C1237" t="str">
            <v>EA</v>
          </cell>
          <cell r="D1237" t="str">
            <v>RM100</v>
          </cell>
          <cell r="E1237">
            <v>0</v>
          </cell>
          <cell r="G1237">
            <v>1681662</v>
          </cell>
        </row>
        <row r="1238">
          <cell r="A1238">
            <v>1681681</v>
          </cell>
          <cell r="B1238" t="str">
            <v>14X14 S.S. RESEARCH PLATE POPULATED</v>
          </cell>
          <cell r="C1238" t="str">
            <v>EA</v>
          </cell>
          <cell r="D1238" t="str">
            <v>MA100</v>
          </cell>
          <cell r="E1238">
            <v>574.95542</v>
          </cell>
          <cell r="G1238">
            <v>1681681</v>
          </cell>
        </row>
        <row r="1239">
          <cell r="A1239">
            <v>1681682</v>
          </cell>
          <cell r="B1239" t="str">
            <v>14X14 S.S. RESEARCH PLATE POPULATED</v>
          </cell>
          <cell r="C1239" t="str">
            <v>EA</v>
          </cell>
          <cell r="D1239" t="str">
            <v>MA100</v>
          </cell>
          <cell r="E1239">
            <v>769.90962000000002</v>
          </cell>
          <cell r="G1239">
            <v>1681682</v>
          </cell>
        </row>
        <row r="1240">
          <cell r="A1240">
            <v>1681683</v>
          </cell>
          <cell r="B1240" t="str">
            <v>FRAME,GE EXPLORER PP - MOD</v>
          </cell>
          <cell r="C1240" t="str">
            <v>EA</v>
          </cell>
          <cell r="D1240" t="str">
            <v>MA100</v>
          </cell>
          <cell r="E1240">
            <v>340.24597</v>
          </cell>
          <cell r="G1240">
            <v>1681683</v>
          </cell>
        </row>
        <row r="1241">
          <cell r="A1241">
            <v>1681684</v>
          </cell>
          <cell r="B1241" t="str">
            <v>FRAME,GE EXPLORER SYS CABINET-MOD</v>
          </cell>
          <cell r="C1241" t="str">
            <v>EA</v>
          </cell>
          <cell r="D1241" t="str">
            <v>MA100</v>
          </cell>
          <cell r="E1241">
            <v>472.70096000000001</v>
          </cell>
          <cell r="G1241">
            <v>1681684</v>
          </cell>
        </row>
        <row r="1242">
          <cell r="A1242">
            <v>1681848</v>
          </cell>
          <cell r="B1242" t="str">
            <v>VENT,CRYO SS 10X60 SIEMENS  W/16X16X1/4*</v>
          </cell>
          <cell r="C1242" t="str">
            <v>EA</v>
          </cell>
          <cell r="D1242" t="str">
            <v>RM100</v>
          </cell>
          <cell r="E1242">
            <v>1988</v>
          </cell>
          <cell r="G1242">
            <v>1681848</v>
          </cell>
        </row>
        <row r="1243">
          <cell r="A1243">
            <v>1681972</v>
          </cell>
          <cell r="B1243" t="str">
            <v>PLT,BRS,COVER, 13X13</v>
          </cell>
          <cell r="C1243" t="str">
            <v>EA</v>
          </cell>
          <cell r="D1243" t="str">
            <v>MA100</v>
          </cell>
          <cell r="E1243">
            <v>138.08266</v>
          </cell>
          <cell r="G1243">
            <v>1681972</v>
          </cell>
        </row>
        <row r="1244">
          <cell r="A1244">
            <v>1681973</v>
          </cell>
          <cell r="B1244" t="str">
            <v>ASSY,BR,14.5x14.5-13x13 Blank</v>
          </cell>
          <cell r="C1244" t="str">
            <v>EA</v>
          </cell>
          <cell r="D1244" t="str">
            <v>MA100</v>
          </cell>
          <cell r="E1244">
            <v>315.66649000000001</v>
          </cell>
          <cell r="G1244">
            <v>1681973</v>
          </cell>
        </row>
        <row r="1245">
          <cell r="A1245">
            <v>1682093</v>
          </cell>
          <cell r="B1245" t="str">
            <v>BOLTED ASSY,VENT,HIGH HAT,24"X12"</v>
          </cell>
          <cell r="C1245" t="str">
            <v>EA</v>
          </cell>
          <cell r="D1245" t="str">
            <v>MA100</v>
          </cell>
          <cell r="E1245">
            <v>405.7826</v>
          </cell>
          <cell r="G1245">
            <v>1682093</v>
          </cell>
        </row>
        <row r="1246">
          <cell r="A1246">
            <v>1691643</v>
          </cell>
          <cell r="B1246" t="str">
            <v>CPA-8x8-B-1BNC</v>
          </cell>
          <cell r="C1246" t="str">
            <v>EA</v>
          </cell>
          <cell r="D1246" t="str">
            <v>MA100</v>
          </cell>
          <cell r="E1246">
            <v>170.34911</v>
          </cell>
          <cell r="G1246">
            <v>1691643</v>
          </cell>
        </row>
        <row r="1247">
          <cell r="A1247">
            <v>1691644</v>
          </cell>
          <cell r="B1247" t="str">
            <v>CP-8x8-B-1BNC</v>
          </cell>
          <cell r="C1247" t="str">
            <v>EA</v>
          </cell>
          <cell r="D1247" t="str">
            <v>MA410</v>
          </cell>
          <cell r="E1247">
            <v>28.02075</v>
          </cell>
          <cell r="G1247">
            <v>1691644</v>
          </cell>
        </row>
        <row r="1248">
          <cell r="A1248">
            <v>1691666</v>
          </cell>
          <cell r="B1248" t="str">
            <v>VENT,CRYO SS 6X36 SIEMENS 23.25 INSIDE</v>
          </cell>
          <cell r="C1248" t="str">
            <v>EA</v>
          </cell>
          <cell r="D1248" t="str">
            <v>RM100</v>
          </cell>
          <cell r="E1248">
            <v>379</v>
          </cell>
          <cell r="G1248">
            <v>1691666</v>
          </cell>
        </row>
        <row r="1249">
          <cell r="A1249">
            <v>1691766</v>
          </cell>
          <cell r="B1249" t="str">
            <v>VENT,CRYO SS 6X24 SIEMENS 10.125 INSIDE</v>
          </cell>
          <cell r="C1249" t="str">
            <v>EA</v>
          </cell>
          <cell r="D1249" t="str">
            <v>MA100</v>
          </cell>
          <cell r="E1249">
            <v>425</v>
          </cell>
          <cell r="G1249">
            <v>1691766</v>
          </cell>
        </row>
        <row r="1250">
          <cell r="A1250">
            <v>1691957</v>
          </cell>
          <cell r="B1250" t="str">
            <v>ALUM,EXTRU,GLASS DOOR FRAME</v>
          </cell>
          <cell r="C1250" t="str">
            <v>FT</v>
          </cell>
          <cell r="D1250" t="str">
            <v>RM100</v>
          </cell>
          <cell r="E1250">
            <v>0</v>
          </cell>
          <cell r="G1250">
            <v>1691957</v>
          </cell>
        </row>
        <row r="1251">
          <cell r="A1251">
            <v>1691971</v>
          </cell>
          <cell r="B1251" t="str">
            <v>ALUM,EXTRU,GLASS DOOR,EDGE GUARD</v>
          </cell>
          <cell r="C1251" t="str">
            <v>FT</v>
          </cell>
          <cell r="D1251" t="str">
            <v>RM100</v>
          </cell>
          <cell r="E1251">
            <v>0</v>
          </cell>
          <cell r="G1251">
            <v>1691971</v>
          </cell>
        </row>
        <row r="1252">
          <cell r="A1252">
            <v>1692058</v>
          </cell>
          <cell r="B1252" t="str">
            <v>GLASS DOOR FRAME,LATCH</v>
          </cell>
          <cell r="C1252" t="str">
            <v>EA</v>
          </cell>
          <cell r="D1252" t="str">
            <v>RM100</v>
          </cell>
          <cell r="E1252">
            <v>0</v>
          </cell>
          <cell r="G1252">
            <v>1692058</v>
          </cell>
        </row>
        <row r="1253">
          <cell r="A1253">
            <v>1692059</v>
          </cell>
          <cell r="B1253" t="str">
            <v>GLASS DOOR FRAME,HINGE</v>
          </cell>
          <cell r="C1253" t="str">
            <v>EA</v>
          </cell>
          <cell r="D1253" t="str">
            <v>RM100</v>
          </cell>
          <cell r="E1253">
            <v>0</v>
          </cell>
          <cell r="G1253">
            <v>1692059</v>
          </cell>
        </row>
        <row r="1254">
          <cell r="A1254">
            <v>1692060</v>
          </cell>
          <cell r="B1254" t="str">
            <v>GLASS DOOR FRAME,4'</v>
          </cell>
          <cell r="C1254" t="str">
            <v>EA</v>
          </cell>
          <cell r="D1254" t="str">
            <v>RM100</v>
          </cell>
          <cell r="E1254">
            <v>0</v>
          </cell>
          <cell r="G1254">
            <v>1692060</v>
          </cell>
        </row>
        <row r="1255">
          <cell r="A1255">
            <v>1692063</v>
          </cell>
          <cell r="B1255" t="str">
            <v>GLASS DOOR FRAME,4X7</v>
          </cell>
          <cell r="C1255" t="str">
            <v>EA</v>
          </cell>
          <cell r="D1255" t="str">
            <v>RM100</v>
          </cell>
          <cell r="E1255">
            <v>772.58</v>
          </cell>
          <cell r="G1255">
            <v>1692063</v>
          </cell>
        </row>
        <row r="1256">
          <cell r="A1256">
            <v>1692064</v>
          </cell>
          <cell r="B1256" t="str">
            <v>ASSM,EVO GLASS DOOR,4X7,LH</v>
          </cell>
          <cell r="C1256" t="str">
            <v>EA</v>
          </cell>
          <cell r="D1256" t="str">
            <v>MA100</v>
          </cell>
          <cell r="E1256">
            <v>2441.5153</v>
          </cell>
          <cell r="G1256">
            <v>1692064</v>
          </cell>
        </row>
        <row r="1257">
          <cell r="A1257">
            <v>1692078</v>
          </cell>
          <cell r="B1257" t="str">
            <v>GLASS DOOR LAM SUPPORT</v>
          </cell>
          <cell r="C1257" t="str">
            <v>EA</v>
          </cell>
          <cell r="D1257" t="str">
            <v>RM100</v>
          </cell>
          <cell r="E1257">
            <v>7.9386999999999999</v>
          </cell>
          <cell r="G1257">
            <v>1692078</v>
          </cell>
        </row>
        <row r="1258">
          <cell r="A1258">
            <v>1692084</v>
          </cell>
          <cell r="B1258" t="str">
            <v>GLASS DOOR WINDOW PANE,4X7</v>
          </cell>
          <cell r="C1258" t="str">
            <v>EA</v>
          </cell>
          <cell r="D1258" t="str">
            <v>RM100</v>
          </cell>
          <cell r="E1258">
            <v>148</v>
          </cell>
          <cell r="G1258">
            <v>1692084</v>
          </cell>
        </row>
        <row r="1259">
          <cell r="A1259">
            <v>1692085</v>
          </cell>
          <cell r="B1259" t="str">
            <v>WINDOW TRIM,37"</v>
          </cell>
          <cell r="C1259" t="str">
            <v>EA</v>
          </cell>
          <cell r="D1259" t="str">
            <v>RM100</v>
          </cell>
          <cell r="E1259">
            <v>0</v>
          </cell>
          <cell r="G1259">
            <v>1692085</v>
          </cell>
        </row>
        <row r="1260">
          <cell r="A1260">
            <v>1692086</v>
          </cell>
          <cell r="B1260" t="str">
            <v>WINDOW TRIM,68"</v>
          </cell>
          <cell r="C1260" t="str">
            <v>EA</v>
          </cell>
          <cell r="D1260" t="str">
            <v>RM100</v>
          </cell>
          <cell r="E1260">
            <v>0</v>
          </cell>
          <cell r="G1260">
            <v>1692086</v>
          </cell>
        </row>
        <row r="1261">
          <cell r="A1261">
            <v>1692103</v>
          </cell>
          <cell r="B1261" t="str">
            <v>VENT,CRYO ALUM 8X26.25 W/14X14X1/4</v>
          </cell>
          <cell r="C1261" t="str">
            <v>EA</v>
          </cell>
          <cell r="D1261" t="str">
            <v>MA100</v>
          </cell>
          <cell r="E1261">
            <v>145</v>
          </cell>
          <cell r="G1261">
            <v>1692103</v>
          </cell>
        </row>
        <row r="1262">
          <cell r="A1262">
            <v>1692107</v>
          </cell>
          <cell r="B1262" t="str">
            <v>PLT,BR,12"x24"x3/16",MAIN PLT</v>
          </cell>
          <cell r="C1262" t="str">
            <v>EA</v>
          </cell>
          <cell r="D1262" t="str">
            <v>MA100</v>
          </cell>
          <cell r="E1262">
            <v>131.75569999999999</v>
          </cell>
          <cell r="G1262">
            <v>1692107</v>
          </cell>
        </row>
        <row r="1263">
          <cell r="A1263">
            <v>1692108</v>
          </cell>
          <cell r="B1263" t="str">
            <v>ASSY,CONN,BR,12x24-8X8-2</v>
          </cell>
          <cell r="C1263" t="str">
            <v>EA</v>
          </cell>
          <cell r="D1263" t="str">
            <v>MA100</v>
          </cell>
          <cell r="E1263">
            <v>266.39855999999997</v>
          </cell>
          <cell r="G1263">
            <v>1692108</v>
          </cell>
        </row>
        <row r="1264">
          <cell r="A1264">
            <v>1692185</v>
          </cell>
          <cell r="B1264" t="str">
            <v>EDGE CAP,GLASS DOOR,LATCH</v>
          </cell>
          <cell r="C1264" t="str">
            <v>EA</v>
          </cell>
          <cell r="D1264" t="str">
            <v>RM100</v>
          </cell>
          <cell r="E1264">
            <v>134.46100000000001</v>
          </cell>
          <cell r="G1264">
            <v>1692185</v>
          </cell>
        </row>
        <row r="1265">
          <cell r="A1265">
            <v>1692186</v>
          </cell>
          <cell r="B1265" t="str">
            <v>EDGE CAP,GLASS DOOR,HINGE</v>
          </cell>
          <cell r="C1265" t="str">
            <v>EA</v>
          </cell>
          <cell r="D1265" t="str">
            <v>RM100</v>
          </cell>
          <cell r="E1265">
            <v>133.29</v>
          </cell>
          <cell r="G1265">
            <v>1692186</v>
          </cell>
        </row>
        <row r="1266">
          <cell r="A1266">
            <v>1692202</v>
          </cell>
          <cell r="B1266" t="str">
            <v>EDGE GUARD BRACKET,GLASS DOOR</v>
          </cell>
          <cell r="C1266" t="str">
            <v>EA</v>
          </cell>
          <cell r="D1266" t="str">
            <v>MA100</v>
          </cell>
          <cell r="E1266">
            <v>4.0714499999999996</v>
          </cell>
          <cell r="G1266">
            <v>1692202</v>
          </cell>
        </row>
        <row r="1267">
          <cell r="A1267">
            <v>1692203</v>
          </cell>
          <cell r="B1267" t="str">
            <v>EDGE GUARD,GLASS DOOR</v>
          </cell>
          <cell r="C1267" t="str">
            <v>EA</v>
          </cell>
          <cell r="D1267" t="str">
            <v>RM100</v>
          </cell>
          <cell r="E1267">
            <v>43.47</v>
          </cell>
          <cell r="G1267">
            <v>1692203</v>
          </cell>
        </row>
        <row r="1268">
          <cell r="A1268">
            <v>1692209</v>
          </cell>
          <cell r="B1268" t="str">
            <v>CARTRIDGE BASE,GLASS DOOR,MAIN</v>
          </cell>
          <cell r="C1268" t="str">
            <v>EA</v>
          </cell>
          <cell r="D1268" t="str">
            <v>RM100</v>
          </cell>
          <cell r="E1268">
            <v>110.48</v>
          </cell>
          <cell r="G1268">
            <v>1692209</v>
          </cell>
        </row>
        <row r="1269">
          <cell r="A1269">
            <v>1692210</v>
          </cell>
          <cell r="B1269" t="str">
            <v>CARTRIDGE BASE,GLASS DOOR,WEB</v>
          </cell>
          <cell r="C1269" t="str">
            <v>EA</v>
          </cell>
          <cell r="D1269" t="str">
            <v>RM100</v>
          </cell>
          <cell r="E1269">
            <v>65.569999999999993</v>
          </cell>
          <cell r="G1269">
            <v>1692210</v>
          </cell>
        </row>
        <row r="1270">
          <cell r="A1270">
            <v>1692368</v>
          </cell>
          <cell r="B1270" t="str">
            <v>TECH SHEET,SINGLE SLIDING DOOR</v>
          </cell>
          <cell r="C1270" t="str">
            <v>EA</v>
          </cell>
          <cell r="D1270" t="str">
            <v>MA420</v>
          </cell>
          <cell r="E1270">
            <v>0</v>
          </cell>
          <cell r="G1270">
            <v>1692368</v>
          </cell>
        </row>
        <row r="1271">
          <cell r="A1271">
            <v>1692432</v>
          </cell>
          <cell r="B1271" t="str">
            <v>GE ALUMINUM TUBE 8 INCH W14x14, 15 END</v>
          </cell>
          <cell r="C1271" t="str">
            <v>EA</v>
          </cell>
          <cell r="D1271" t="str">
            <v>MA100</v>
          </cell>
          <cell r="E1271">
            <v>145</v>
          </cell>
          <cell r="G1271">
            <v>1692432</v>
          </cell>
        </row>
        <row r="1272">
          <cell r="A1272">
            <v>1692449</v>
          </cell>
          <cell r="B1272" t="str">
            <v>LATCH MECHANISM,PLATE</v>
          </cell>
          <cell r="C1272" t="str">
            <v>EA</v>
          </cell>
          <cell r="D1272" t="str">
            <v>RM100</v>
          </cell>
          <cell r="E1272">
            <v>110.879</v>
          </cell>
          <cell r="G1272">
            <v>1692449</v>
          </cell>
        </row>
        <row r="1273">
          <cell r="A1273">
            <v>1692450</v>
          </cell>
          <cell r="B1273" t="str">
            <v>LATCH MECHANISM, LABEL</v>
          </cell>
          <cell r="C1273" t="str">
            <v>EA</v>
          </cell>
          <cell r="D1273" t="str">
            <v>RM100</v>
          </cell>
          <cell r="E1273">
            <v>14.98</v>
          </cell>
          <cell r="G1273">
            <v>1692450</v>
          </cell>
        </row>
        <row r="1274">
          <cell r="A1274">
            <v>1692451</v>
          </cell>
          <cell r="B1274" t="str">
            <v>LATCH MECHANISM,BRACKET</v>
          </cell>
          <cell r="C1274" t="str">
            <v>EA</v>
          </cell>
          <cell r="D1274" t="str">
            <v>RM100</v>
          </cell>
          <cell r="E1274">
            <v>64.010999999999996</v>
          </cell>
          <cell r="G1274">
            <v>1692451</v>
          </cell>
        </row>
        <row r="1275">
          <cell r="A1275">
            <v>1692452</v>
          </cell>
          <cell r="B1275" t="str">
            <v>LATCH MECHANISM,PIVOT ARM</v>
          </cell>
          <cell r="C1275" t="str">
            <v>EA</v>
          </cell>
          <cell r="D1275" t="str">
            <v>RM100</v>
          </cell>
          <cell r="E1275">
            <v>91.32</v>
          </cell>
          <cell r="G1275">
            <v>1692452</v>
          </cell>
        </row>
        <row r="1276">
          <cell r="A1276">
            <v>1692453</v>
          </cell>
          <cell r="B1276" t="str">
            <v>LATCH MECHANISM,PIVOT</v>
          </cell>
          <cell r="C1276" t="str">
            <v>EA</v>
          </cell>
          <cell r="D1276" t="str">
            <v>RM100</v>
          </cell>
          <cell r="E1276">
            <v>5.63</v>
          </cell>
          <cell r="G1276">
            <v>1692453</v>
          </cell>
        </row>
        <row r="1277">
          <cell r="A1277">
            <v>1692454</v>
          </cell>
          <cell r="B1277" t="str">
            <v>LATCH MECHANISM,CLEVIS</v>
          </cell>
          <cell r="C1277" t="str">
            <v>EA</v>
          </cell>
          <cell r="D1277" t="str">
            <v>RM100</v>
          </cell>
          <cell r="E1277">
            <v>8.49</v>
          </cell>
          <cell r="G1277">
            <v>1692454</v>
          </cell>
        </row>
        <row r="1278">
          <cell r="A1278">
            <v>1692455</v>
          </cell>
          <cell r="B1278" t="str">
            <v>THREADED ROD,10-32X1.5</v>
          </cell>
          <cell r="C1278" t="str">
            <v>EA</v>
          </cell>
          <cell r="D1278" t="str">
            <v>RM100</v>
          </cell>
          <cell r="E1278">
            <v>0.45960000000000001</v>
          </cell>
          <cell r="G1278">
            <v>1692455</v>
          </cell>
        </row>
        <row r="1279">
          <cell r="A1279">
            <v>1692456</v>
          </cell>
          <cell r="B1279" t="str">
            <v>LOCK NUT,10-32</v>
          </cell>
          <cell r="C1279" t="str">
            <v>EA</v>
          </cell>
          <cell r="D1279" t="str">
            <v>RM100</v>
          </cell>
          <cell r="E1279">
            <v>6.1899999999999997E-2</v>
          </cell>
          <cell r="G1279">
            <v>1692456</v>
          </cell>
        </row>
        <row r="1280">
          <cell r="A1280">
            <v>1692457</v>
          </cell>
          <cell r="B1280" t="str">
            <v>LATCH MECHANISM,GLASS DOOR</v>
          </cell>
          <cell r="C1280" t="str">
            <v>EA</v>
          </cell>
          <cell r="D1280" t="str">
            <v>RM100</v>
          </cell>
          <cell r="E1280">
            <v>790.93949999999995</v>
          </cell>
          <cell r="G1280">
            <v>1692457</v>
          </cell>
        </row>
        <row r="1281">
          <cell r="A1281">
            <v>1692518</v>
          </cell>
          <cell r="B1281" t="str">
            <v>RF SIDE HANDLE RING,GLASS DOOR</v>
          </cell>
          <cell r="C1281" t="str">
            <v>EA</v>
          </cell>
          <cell r="D1281" t="str">
            <v>RM100</v>
          </cell>
          <cell r="E1281">
            <v>33.874000000000002</v>
          </cell>
          <cell r="G1281">
            <v>1692518</v>
          </cell>
        </row>
        <row r="1282">
          <cell r="A1282">
            <v>1692519</v>
          </cell>
          <cell r="B1282" t="str">
            <v>LAM EDGE TRIM,LONG,GLASS DOOR</v>
          </cell>
          <cell r="C1282" t="str">
            <v>EA</v>
          </cell>
          <cell r="D1282" t="str">
            <v>RM100</v>
          </cell>
          <cell r="E1282">
            <v>0</v>
          </cell>
          <cell r="G1282">
            <v>1692519</v>
          </cell>
        </row>
        <row r="1283">
          <cell r="A1283">
            <v>1692520</v>
          </cell>
          <cell r="B1283" t="str">
            <v>LAM EDGE TRIM,SHORT,GLASS DOOR</v>
          </cell>
          <cell r="C1283" t="str">
            <v>EA</v>
          </cell>
          <cell r="D1283" t="str">
            <v>RM100</v>
          </cell>
          <cell r="E1283">
            <v>0</v>
          </cell>
          <cell r="G1283">
            <v>1692520</v>
          </cell>
        </row>
        <row r="1284">
          <cell r="A1284">
            <v>1692556</v>
          </cell>
          <cell r="B1284" t="str">
            <v>EVO GLASS,4X7,LH,OS</v>
          </cell>
          <cell r="C1284" t="str">
            <v>EA</v>
          </cell>
          <cell r="D1284" t="str">
            <v>MA100</v>
          </cell>
          <cell r="E1284">
            <v>5610.18</v>
          </cell>
          <cell r="G1284">
            <v>1692556</v>
          </cell>
        </row>
        <row r="1285">
          <cell r="A1285">
            <v>1692684</v>
          </cell>
          <cell r="B1285" t="str">
            <v>ASSY,5240-18,NO DOOR,(2)CPA12X12,6X6WGAV</v>
          </cell>
          <cell r="C1285" t="str">
            <v>EA</v>
          </cell>
          <cell r="D1285" t="str">
            <v>MA100</v>
          </cell>
          <cell r="E1285">
            <v>2691.78051</v>
          </cell>
          <cell r="G1285">
            <v>1692684</v>
          </cell>
        </row>
        <row r="1286">
          <cell r="A1286">
            <v>1692685</v>
          </cell>
          <cell r="B1286" t="str">
            <v>ASSY,5240-30,2X2DR,CPA12X12,LRX-1030-EMP</v>
          </cell>
          <cell r="C1286" t="str">
            <v>EA</v>
          </cell>
          <cell r="D1286" t="str">
            <v>MA100</v>
          </cell>
          <cell r="E1286">
            <v>5402.7319600000001</v>
          </cell>
          <cell r="G1286">
            <v>1692685</v>
          </cell>
        </row>
        <row r="1287">
          <cell r="A1287">
            <v>1692696</v>
          </cell>
          <cell r="B1287" t="str">
            <v>CRYO,TOSHIBA,4"X32", 5.4375" END</v>
          </cell>
          <cell r="C1287" t="str">
            <v>EA</v>
          </cell>
          <cell r="D1287" t="str">
            <v>MA100</v>
          </cell>
          <cell r="E1287">
            <v>446</v>
          </cell>
          <cell r="G1287">
            <v>1692696</v>
          </cell>
        </row>
        <row r="1288">
          <cell r="A1288">
            <v>1693611</v>
          </cell>
          <cell r="B1288" t="str">
            <v>MANUAL,EVO GLASS</v>
          </cell>
          <cell r="C1288" t="str">
            <v>EA</v>
          </cell>
          <cell r="D1288" t="str">
            <v>RM100</v>
          </cell>
          <cell r="E1288">
            <v>0</v>
          </cell>
          <cell r="G1288">
            <v>1693611</v>
          </cell>
        </row>
        <row r="1289">
          <cell r="A1289">
            <v>1693688</v>
          </cell>
          <cell r="B1289" t="str">
            <v>SCREW,5/16-18 X 2,SH,CAP,SS</v>
          </cell>
          <cell r="C1289" t="str">
            <v>EA</v>
          </cell>
          <cell r="D1289" t="str">
            <v>RM100</v>
          </cell>
          <cell r="E1289">
            <v>0</v>
          </cell>
          <cell r="G1289">
            <v>1693688</v>
          </cell>
        </row>
        <row r="1290">
          <cell r="A1290">
            <v>1693723</v>
          </cell>
          <cell r="B1290" t="str">
            <v>PLATFORM,EQUIPMENT TEST,PJ2825</v>
          </cell>
          <cell r="C1290" t="str">
            <v>EA</v>
          </cell>
          <cell r="D1290" t="str">
            <v>MA100</v>
          </cell>
          <cell r="E1290">
            <v>141.82390000000001</v>
          </cell>
          <cell r="G1290">
            <v>1693723</v>
          </cell>
        </row>
        <row r="1291">
          <cell r="A1291">
            <v>1693793</v>
          </cell>
          <cell r="B1291" t="str">
            <v>STRUT, STL, 10' UNISTRUT P1000 SL</v>
          </cell>
          <cell r="C1291" t="str">
            <v>EA</v>
          </cell>
          <cell r="D1291" t="str">
            <v>RM100</v>
          </cell>
          <cell r="E1291">
            <v>20</v>
          </cell>
          <cell r="G1291">
            <v>1693793</v>
          </cell>
        </row>
        <row r="1292">
          <cell r="A1292">
            <v>1693796</v>
          </cell>
          <cell r="B1292" t="str">
            <v>ISLTR, GLASTIC 3/8, ERIFLEX ISO1-12-38</v>
          </cell>
          <cell r="C1292" t="str">
            <v>EA</v>
          </cell>
          <cell r="D1292" t="str">
            <v>RM100</v>
          </cell>
          <cell r="E1292">
            <v>1.94</v>
          </cell>
          <cell r="G1292">
            <v>1693796</v>
          </cell>
        </row>
        <row r="1293">
          <cell r="A1293">
            <v>1693899</v>
          </cell>
          <cell r="B1293" t="str">
            <v>DEADBOLT,6PIN,KEY/THUMB,3-3/4"BKSET</v>
          </cell>
          <cell r="C1293" t="str">
            <v>EA</v>
          </cell>
          <cell r="D1293" t="str">
            <v>RM100</v>
          </cell>
          <cell r="E1293">
            <v>0</v>
          </cell>
          <cell r="G1293">
            <v>1693899</v>
          </cell>
        </row>
        <row r="1294">
          <cell r="A1294">
            <v>1693909</v>
          </cell>
          <cell r="B1294" t="str">
            <v>VENT,CRYO ALUM 8X36  W/PLT, 5.9375" END</v>
          </cell>
          <cell r="C1294" t="str">
            <v>EA</v>
          </cell>
          <cell r="D1294" t="str">
            <v>RM100</v>
          </cell>
          <cell r="E1294">
            <v>145</v>
          </cell>
          <cell r="G1294">
            <v>1693909</v>
          </cell>
        </row>
        <row r="1295">
          <cell r="A1295">
            <v>1693948</v>
          </cell>
          <cell r="B1295" t="str">
            <v>PEM NUT,F4,4-40X0.06,HEAT TREATED 400SS</v>
          </cell>
          <cell r="C1295" t="str">
            <v>EA</v>
          </cell>
          <cell r="D1295" t="str">
            <v>RM100</v>
          </cell>
          <cell r="E1295">
            <v>0</v>
          </cell>
          <cell r="G1295">
            <v>1693948</v>
          </cell>
        </row>
        <row r="1296">
          <cell r="A1296">
            <v>1693959</v>
          </cell>
          <cell r="B1296" t="str">
            <v>ACOUSTIC SEAL HOLDER</v>
          </cell>
          <cell r="C1296" t="str">
            <v>EA</v>
          </cell>
          <cell r="D1296" t="str">
            <v>RM100</v>
          </cell>
          <cell r="E1296">
            <v>0</v>
          </cell>
          <cell r="G1296">
            <v>1693959</v>
          </cell>
        </row>
        <row r="1297">
          <cell r="A1297">
            <v>1693963</v>
          </cell>
          <cell r="B1297" t="str">
            <v>CAP,1-3/4"x4"x10', 12oz CU</v>
          </cell>
          <cell r="C1297" t="str">
            <v>EA</v>
          </cell>
          <cell r="D1297" t="str">
            <v>MA100</v>
          </cell>
          <cell r="E1297">
            <v>16.780760000000001</v>
          </cell>
          <cell r="G1297">
            <v>1693963</v>
          </cell>
        </row>
        <row r="1298">
          <cell r="A1298">
            <v>1693968</v>
          </cell>
          <cell r="B1298" t="str">
            <v>FRAME,PHILIPS PP MOD</v>
          </cell>
          <cell r="C1298" t="str">
            <v>EA</v>
          </cell>
          <cell r="D1298" t="str">
            <v>MA100</v>
          </cell>
          <cell r="E1298">
            <v>216.41591</v>
          </cell>
          <cell r="G1298">
            <v>1693968</v>
          </cell>
        </row>
        <row r="1299">
          <cell r="A1299">
            <v>1694128</v>
          </cell>
          <cell r="B1299" t="str">
            <v>CPA-8x8-B- 3-1/4" DIA HOLE</v>
          </cell>
          <cell r="C1299" t="str">
            <v>EA</v>
          </cell>
          <cell r="D1299" t="str">
            <v>MA100</v>
          </cell>
          <cell r="E1299">
            <v>170.34911</v>
          </cell>
          <cell r="G1299">
            <v>1694128</v>
          </cell>
        </row>
        <row r="1300">
          <cell r="A1300">
            <v>1694130</v>
          </cell>
          <cell r="B1300" t="str">
            <v>CP-8x8-B- 3-1/4" DIA HOLE</v>
          </cell>
          <cell r="C1300" t="str">
            <v>EA</v>
          </cell>
          <cell r="D1300" t="str">
            <v>MA410</v>
          </cell>
          <cell r="E1300">
            <v>28.02075</v>
          </cell>
          <cell r="G1300">
            <v>1694130</v>
          </cell>
        </row>
        <row r="1301">
          <cell r="A1301">
            <v>1694860</v>
          </cell>
          <cell r="B1301" t="str">
            <v>EVO40 SEAL GASKET SUPPORT</v>
          </cell>
          <cell r="C1301" t="str">
            <v>EA</v>
          </cell>
          <cell r="D1301" t="str">
            <v>RM100</v>
          </cell>
          <cell r="E1301">
            <v>57.5</v>
          </cell>
          <cell r="G1301">
            <v>1694860</v>
          </cell>
        </row>
        <row r="1302">
          <cell r="A1302">
            <v>1694870</v>
          </cell>
          <cell r="B1302" t="str">
            <v>EVO40 SEAL GASKET SUPPORT,3'</v>
          </cell>
          <cell r="C1302" t="str">
            <v>EA</v>
          </cell>
          <cell r="D1302" t="str">
            <v>RM100</v>
          </cell>
          <cell r="E1302">
            <v>90.9</v>
          </cell>
          <cell r="G1302">
            <v>1694870</v>
          </cell>
        </row>
        <row r="1303">
          <cell r="A1303">
            <v>1694907</v>
          </cell>
          <cell r="B1303" t="str">
            <v>CART,30.5" x 30.5" x 30"</v>
          </cell>
          <cell r="C1303" t="str">
            <v>EA</v>
          </cell>
          <cell r="D1303" t="str">
            <v>MA420</v>
          </cell>
          <cell r="E1303">
            <v>579.37392</v>
          </cell>
          <cell r="G1303">
            <v>1694907</v>
          </cell>
        </row>
        <row r="1304">
          <cell r="A1304">
            <v>1694965</v>
          </cell>
          <cell r="B1304" t="str">
            <v>CP-12x12-B-1USB,8SMA,1DB9</v>
          </cell>
          <cell r="C1304" t="str">
            <v>EA</v>
          </cell>
          <cell r="D1304" t="str">
            <v>MA440</v>
          </cell>
          <cell r="E1304">
            <v>159.8115</v>
          </cell>
          <cell r="G1304">
            <v>1694965</v>
          </cell>
        </row>
        <row r="1305">
          <cell r="A1305">
            <v>1694971</v>
          </cell>
          <cell r="B1305" t="str">
            <v>CPA-12x12-B-1USB,8SMA,1DB9</v>
          </cell>
          <cell r="C1305" t="str">
            <v>EA</v>
          </cell>
          <cell r="D1305" t="str">
            <v>MA100</v>
          </cell>
          <cell r="E1305">
            <v>318.12889999999999</v>
          </cell>
          <cell r="G1305">
            <v>1694971</v>
          </cell>
        </row>
        <row r="1306">
          <cell r="A1306">
            <v>1694974</v>
          </cell>
          <cell r="B1306" t="str">
            <v>CP-12x12-B-8SMA</v>
          </cell>
          <cell r="C1306" t="str">
            <v>EA</v>
          </cell>
          <cell r="D1306" t="str">
            <v>MA440</v>
          </cell>
          <cell r="E1306">
            <v>159.8115</v>
          </cell>
          <cell r="G1306">
            <v>1694974</v>
          </cell>
        </row>
        <row r="1307">
          <cell r="A1307">
            <v>1694975</v>
          </cell>
          <cell r="B1307" t="str">
            <v>CPA-12x12-B-8SMA</v>
          </cell>
          <cell r="C1307" t="str">
            <v>EA</v>
          </cell>
          <cell r="D1307" t="str">
            <v>MA100</v>
          </cell>
          <cell r="E1307">
            <v>318.12889999999999</v>
          </cell>
          <cell r="G1307">
            <v>1694975</v>
          </cell>
        </row>
        <row r="1308">
          <cell r="A1308">
            <v>1695179</v>
          </cell>
          <cell r="B1308" t="str">
            <v>CRYO,CANON,6"X24",6" END FLNG</v>
          </cell>
          <cell r="C1308" t="str">
            <v>EA</v>
          </cell>
          <cell r="D1308" t="str">
            <v>RM100</v>
          </cell>
          <cell r="E1308">
            <v>0</v>
          </cell>
          <cell r="G1308">
            <v>1695179</v>
          </cell>
        </row>
        <row r="1309">
          <cell r="A1309">
            <v>1695213</v>
          </cell>
          <cell r="B1309" t="str">
            <v>LFB,BLU FLEX 2 1/4" THK CUSTOM</v>
          </cell>
          <cell r="C1309" t="str">
            <v>EA</v>
          </cell>
          <cell r="D1309" t="str">
            <v>FG201</v>
          </cell>
          <cell r="E1309">
            <v>37.25</v>
          </cell>
          <cell r="G1309">
            <v>1695213</v>
          </cell>
        </row>
        <row r="1310">
          <cell r="A1310">
            <v>1695214</v>
          </cell>
          <cell r="B1310" t="str">
            <v>LFB,BLU FLEX 2 1/4" THK CUSTOM</v>
          </cell>
          <cell r="C1310" t="str">
            <v>EA</v>
          </cell>
          <cell r="D1310" t="str">
            <v>FG201</v>
          </cell>
          <cell r="E1310">
            <v>37.25</v>
          </cell>
          <cell r="G1310">
            <v>1695214</v>
          </cell>
        </row>
        <row r="1311">
          <cell r="A1311">
            <v>1695215</v>
          </cell>
          <cell r="B1311" t="str">
            <v>LFB,BLU FLEX 2 1/4" THK CUSTOM</v>
          </cell>
          <cell r="C1311" t="str">
            <v>EA</v>
          </cell>
          <cell r="D1311" t="str">
            <v>FG201</v>
          </cell>
          <cell r="E1311">
            <v>37.25</v>
          </cell>
          <cell r="G1311">
            <v>1695215</v>
          </cell>
        </row>
        <row r="1312">
          <cell r="A1312">
            <v>1695216</v>
          </cell>
          <cell r="B1312" t="str">
            <v>LFB,BLU FLEX 2 1/4" THK CUSTOM</v>
          </cell>
          <cell r="C1312" t="str">
            <v>EA</v>
          </cell>
          <cell r="D1312" t="str">
            <v>FG201</v>
          </cell>
          <cell r="E1312">
            <v>37.25</v>
          </cell>
          <cell r="G1312">
            <v>1695216</v>
          </cell>
        </row>
        <row r="1313">
          <cell r="A1313">
            <v>1695217</v>
          </cell>
          <cell r="B1313" t="str">
            <v>LFB,BLU FLEX 2 1/4" THK CUSTOM</v>
          </cell>
          <cell r="C1313" t="str">
            <v>EA</v>
          </cell>
          <cell r="D1313" t="str">
            <v>FG201</v>
          </cell>
          <cell r="E1313">
            <v>37.25</v>
          </cell>
          <cell r="G1313">
            <v>1695217</v>
          </cell>
        </row>
        <row r="1314">
          <cell r="A1314">
            <v>1695247</v>
          </cell>
          <cell r="B1314" t="str">
            <v>CRYO,SIEMENS,4"X16",2 END FLANGE,SS</v>
          </cell>
          <cell r="C1314" t="str">
            <v>EA</v>
          </cell>
          <cell r="D1314" t="str">
            <v>MA100</v>
          </cell>
          <cell r="E1314">
            <v>320</v>
          </cell>
          <cell r="G1314">
            <v>1695247</v>
          </cell>
        </row>
        <row r="1315">
          <cell r="A1315">
            <v>1695310</v>
          </cell>
          <cell r="B1315" t="str">
            <v>GE ALUMINUM TUBE 8 INCH W14x14, 32 END</v>
          </cell>
          <cell r="C1315" t="str">
            <v>EA</v>
          </cell>
          <cell r="D1315" t="str">
            <v>RM100</v>
          </cell>
          <cell r="E1315">
            <v>145</v>
          </cell>
          <cell r="G1315">
            <v>1695310</v>
          </cell>
        </row>
        <row r="1316">
          <cell r="A1316">
            <v>1695351</v>
          </cell>
          <cell r="B1316" t="str">
            <v>PLT,BR,8.5"X9.5"X1/8", SUB PLT</v>
          </cell>
          <cell r="C1316" t="str">
            <v>EA</v>
          </cell>
          <cell r="D1316" t="str">
            <v>MA100</v>
          </cell>
          <cell r="E1316">
            <v>22.255749999999999</v>
          </cell>
          <cell r="G1316">
            <v>1695351</v>
          </cell>
        </row>
        <row r="1317">
          <cell r="A1317">
            <v>1695524</v>
          </cell>
          <cell r="B1317" t="str">
            <v>PNL,S71,22.5"x22.5"</v>
          </cell>
          <cell r="C1317" t="str">
            <v>EA</v>
          </cell>
          <cell r="D1317" t="str">
            <v>MA100</v>
          </cell>
          <cell r="E1317">
            <v>82.226590000000002</v>
          </cell>
          <cell r="G1317">
            <v>1695524</v>
          </cell>
        </row>
        <row r="1318">
          <cell r="A1318">
            <v>1695738</v>
          </cell>
          <cell r="B1318" t="str">
            <v>VENT,CRYO SS 10X28 SIEMENS W/16X16X1/4</v>
          </cell>
          <cell r="C1318" t="str">
            <v>EA</v>
          </cell>
          <cell r="D1318" t="str">
            <v>RM100</v>
          </cell>
          <cell r="E1318">
            <v>846</v>
          </cell>
          <cell r="G1318">
            <v>1695738</v>
          </cell>
        </row>
        <row r="1319">
          <cell r="A1319">
            <v>1695845</v>
          </cell>
          <cell r="B1319" t="str">
            <v>3/16" THICK ALUM SHIM PLATE PHILIPS PEN</v>
          </cell>
          <cell r="C1319" t="str">
            <v>EA</v>
          </cell>
          <cell r="D1319" t="str">
            <v>MA100</v>
          </cell>
          <cell r="E1319">
            <v>126.6688</v>
          </cell>
          <cell r="G1319">
            <v>1695845</v>
          </cell>
        </row>
        <row r="1320">
          <cell r="A1320">
            <v>1695907</v>
          </cell>
          <cell r="B1320" t="str">
            <v>Anchor,Hilti HAS-E 3/8 x 8"</v>
          </cell>
          <cell r="C1320" t="str">
            <v>EA</v>
          </cell>
          <cell r="D1320" t="str">
            <v>RM100</v>
          </cell>
          <cell r="E1320">
            <v>2.8969999999999998</v>
          </cell>
          <cell r="G1320">
            <v>1695907</v>
          </cell>
        </row>
        <row r="1321">
          <cell r="A1321">
            <v>1695960</v>
          </cell>
          <cell r="B1321" t="str">
            <v>PLT,BR,8.5"X9.5"X1/8", WITH VOID SUB PLT</v>
          </cell>
          <cell r="C1321" t="str">
            <v>EA</v>
          </cell>
          <cell r="D1321" t="str">
            <v>MA100</v>
          </cell>
          <cell r="E1321">
            <v>183.18764999999999</v>
          </cell>
          <cell r="G1321">
            <v>1695960</v>
          </cell>
        </row>
        <row r="1322">
          <cell r="A1322">
            <v>1695975</v>
          </cell>
          <cell r="B1322" t="str">
            <v>PLT,BR,4"X6"X1/8",BLNK,SUB PLT</v>
          </cell>
          <cell r="C1322" t="str">
            <v>EA</v>
          </cell>
          <cell r="D1322" t="str">
            <v>MA100</v>
          </cell>
          <cell r="E1322">
            <v>3.1158100000000002</v>
          </cell>
          <cell r="G1322">
            <v>1695975</v>
          </cell>
        </row>
        <row r="1323">
          <cell r="A1323">
            <v>1695985</v>
          </cell>
          <cell r="B1323" t="str">
            <v>ASSY,BR,8.5x9.5 WITH VOID</v>
          </cell>
          <cell r="C1323" t="str">
            <v>EA</v>
          </cell>
          <cell r="D1323" t="str">
            <v>MA100</v>
          </cell>
          <cell r="E1323">
            <v>186.42006000000001</v>
          </cell>
          <cell r="G1323">
            <v>1695985</v>
          </cell>
        </row>
        <row r="1324">
          <cell r="A1324">
            <v>1695991</v>
          </cell>
          <cell r="B1324" t="str">
            <v>PLT,BR,8.5"X9.5"X1/8", WITH PENETRATIONS</v>
          </cell>
          <cell r="C1324" t="str">
            <v>EA</v>
          </cell>
          <cell r="D1324" t="str">
            <v>MA100</v>
          </cell>
          <cell r="E1324">
            <v>125.53765</v>
          </cell>
          <cell r="G1324">
            <v>1695991</v>
          </cell>
        </row>
        <row r="1325">
          <cell r="A1325">
            <v>1695992</v>
          </cell>
          <cell r="B1325" t="str">
            <v>TEMPLATE, MIN, PURCHASED PARTS</v>
          </cell>
          <cell r="C1325" t="str">
            <v>EA</v>
          </cell>
          <cell r="D1325" t="str">
            <v>RM100</v>
          </cell>
          <cell r="E1325">
            <v>0</v>
          </cell>
          <cell r="G1325">
            <v>1695992</v>
          </cell>
        </row>
        <row r="1326">
          <cell r="A1326">
            <v>1695993</v>
          </cell>
          <cell r="B1326" t="str">
            <v>TEMPLATE, MIN, PURCHASED PARTS</v>
          </cell>
          <cell r="C1326" t="str">
            <v>EA</v>
          </cell>
          <cell r="D1326" t="str">
            <v>RM100</v>
          </cell>
          <cell r="E1326">
            <v>0</v>
          </cell>
          <cell r="G1326">
            <v>1695993</v>
          </cell>
        </row>
        <row r="1327">
          <cell r="A1327">
            <v>1695994</v>
          </cell>
          <cell r="B1327" t="str">
            <v>RF SEAL,4' MANUAL</v>
          </cell>
          <cell r="C1327" t="str">
            <v>EA</v>
          </cell>
          <cell r="D1327" t="str">
            <v>RM100</v>
          </cell>
          <cell r="E1327">
            <v>0</v>
          </cell>
          <cell r="G1327">
            <v>1695994</v>
          </cell>
        </row>
        <row r="1328">
          <cell r="A1328">
            <v>1695995</v>
          </cell>
          <cell r="B1328" t="str">
            <v>TEMPLATE, MIN, PURCHASED PARTS</v>
          </cell>
          <cell r="C1328" t="str">
            <v>EA</v>
          </cell>
          <cell r="D1328" t="str">
            <v>RM100</v>
          </cell>
          <cell r="E1328">
            <v>0</v>
          </cell>
          <cell r="G1328">
            <v>1695995</v>
          </cell>
        </row>
        <row r="1329">
          <cell r="A1329">
            <v>1695996</v>
          </cell>
          <cell r="B1329" t="str">
            <v>TEMPLATE, MIN, PURCHASED PARTS</v>
          </cell>
          <cell r="C1329" t="str">
            <v>EA</v>
          </cell>
          <cell r="D1329" t="str">
            <v>RM100</v>
          </cell>
          <cell r="E1329">
            <v>0</v>
          </cell>
          <cell r="G1329">
            <v>1695996</v>
          </cell>
        </row>
        <row r="1330">
          <cell r="A1330">
            <v>1695998</v>
          </cell>
          <cell r="B1330" t="str">
            <v>TEMPLATE, MIN, PURCHASED PARTS</v>
          </cell>
          <cell r="C1330" t="str">
            <v>EA</v>
          </cell>
          <cell r="D1330" t="str">
            <v>RM100</v>
          </cell>
          <cell r="E1330">
            <v>0</v>
          </cell>
          <cell r="G1330">
            <v>1695998</v>
          </cell>
        </row>
        <row r="1331">
          <cell r="A1331">
            <v>1695999</v>
          </cell>
          <cell r="B1331" t="str">
            <v>TEMPLATE, MIN, PURCHASED PARTS</v>
          </cell>
          <cell r="C1331" t="str">
            <v>EA</v>
          </cell>
          <cell r="D1331" t="str">
            <v>RM100</v>
          </cell>
          <cell r="E1331">
            <v>0</v>
          </cell>
          <cell r="G1331">
            <v>1695999</v>
          </cell>
        </row>
        <row r="1332">
          <cell r="A1332">
            <v>1696000</v>
          </cell>
          <cell r="B1332" t="str">
            <v>TEMPLATE, MIN, PURCHASED PARTS</v>
          </cell>
          <cell r="C1332" t="str">
            <v>EA</v>
          </cell>
          <cell r="D1332" t="str">
            <v>RM100</v>
          </cell>
          <cell r="E1332">
            <v>0</v>
          </cell>
          <cell r="G1332">
            <v>1696000</v>
          </cell>
        </row>
        <row r="1333">
          <cell r="A1333">
            <v>1696027</v>
          </cell>
          <cell r="B1333" t="str">
            <v>CRYO,CANON,4"X24", 6" END</v>
          </cell>
          <cell r="C1333" t="str">
            <v>EA</v>
          </cell>
          <cell r="D1333" t="str">
            <v>RM100</v>
          </cell>
          <cell r="E1333">
            <v>340</v>
          </cell>
          <cell r="G1333">
            <v>1696027</v>
          </cell>
        </row>
        <row r="1334">
          <cell r="A1334">
            <v>1696031</v>
          </cell>
          <cell r="B1334" t="str">
            <v>VENT,CRYO SS 8X32 SIEMENS 8.25 END</v>
          </cell>
          <cell r="C1334" t="str">
            <v>EA</v>
          </cell>
          <cell r="D1334" t="str">
            <v>RM100</v>
          </cell>
          <cell r="E1334">
            <v>494</v>
          </cell>
          <cell r="G1334">
            <v>1696031</v>
          </cell>
        </row>
        <row r="1335">
          <cell r="A1335">
            <v>1696124</v>
          </cell>
          <cell r="B1335" t="str">
            <v>DOOR CORE, 2"X21.25"X26.5"</v>
          </cell>
          <cell r="C1335" t="str">
            <v>EA</v>
          </cell>
          <cell r="D1335" t="str">
            <v>MA100</v>
          </cell>
          <cell r="E1335">
            <v>190.17339999999999</v>
          </cell>
          <cell r="G1335">
            <v>1696124</v>
          </cell>
        </row>
        <row r="1336">
          <cell r="A1336">
            <v>1696147</v>
          </cell>
          <cell r="B1336" t="str">
            <v>DOOR JAMB, WOOD, DEC 21"X26.25" C.O.</v>
          </cell>
          <cell r="C1336" t="str">
            <v>EA</v>
          </cell>
          <cell r="D1336" t="str">
            <v>MA100</v>
          </cell>
          <cell r="E1336">
            <v>190.17339999999999</v>
          </cell>
          <cell r="G1336">
            <v>1696147</v>
          </cell>
        </row>
        <row r="1337">
          <cell r="A1337">
            <v>1696162</v>
          </cell>
          <cell r="B1337" t="str">
            <v>CRYO,CANON,4"X40.3125", 6" END</v>
          </cell>
          <cell r="C1337" t="str">
            <v>EA</v>
          </cell>
          <cell r="D1337" t="str">
            <v>RM100</v>
          </cell>
          <cell r="E1337">
            <v>0</v>
          </cell>
          <cell r="G1337">
            <v>1696162</v>
          </cell>
        </row>
        <row r="1338">
          <cell r="A1338">
            <v>1696185</v>
          </cell>
          <cell r="B1338" t="str">
            <v>EVO,AIR,6X7 DBL,RH ACTIVE,OS (3-3),WIN</v>
          </cell>
          <cell r="C1338" t="str">
            <v>EA</v>
          </cell>
          <cell r="D1338" t="str">
            <v>MA100</v>
          </cell>
          <cell r="E1338">
            <v>14141.8</v>
          </cell>
          <cell r="G1338">
            <v>1696185</v>
          </cell>
        </row>
        <row r="1339">
          <cell r="A1339">
            <v>1696219</v>
          </cell>
          <cell r="B1339" t="str">
            <v>CRYO HITACHI 4" DIA 24x17.375 INSIDE</v>
          </cell>
          <cell r="C1339" t="str">
            <v>EA</v>
          </cell>
          <cell r="D1339" t="str">
            <v>RM100</v>
          </cell>
          <cell r="E1339">
            <v>448</v>
          </cell>
          <cell r="G1339">
            <v>1696219</v>
          </cell>
        </row>
        <row r="1340">
          <cell r="A1340">
            <v>1696730</v>
          </cell>
          <cell r="B1340" t="str">
            <v>ASSY,TOSHIBA 1.5T / 3T KIT FOR MODS</v>
          </cell>
          <cell r="C1340" t="str">
            <v>EA</v>
          </cell>
          <cell r="D1340" t="str">
            <v>MA100</v>
          </cell>
          <cell r="E1340">
            <v>281.66852</v>
          </cell>
          <cell r="G1340">
            <v>1696730</v>
          </cell>
        </row>
        <row r="1341">
          <cell r="A1341">
            <v>1696753</v>
          </cell>
          <cell r="B1341" t="str">
            <v>EVO FRAME,2X7</v>
          </cell>
          <cell r="C1341" t="str">
            <v>EA</v>
          </cell>
          <cell r="D1341" t="str">
            <v>RM100</v>
          </cell>
          <cell r="E1341">
            <v>669.30868999999996</v>
          </cell>
          <cell r="G1341">
            <v>1696753</v>
          </cell>
        </row>
        <row r="1342">
          <cell r="A1342">
            <v>1696754</v>
          </cell>
          <cell r="B1342" t="str">
            <v>EVO FRAME,3X7 IA</v>
          </cell>
          <cell r="C1342" t="str">
            <v>EA</v>
          </cell>
          <cell r="D1342" t="str">
            <v>RM100</v>
          </cell>
          <cell r="E1342">
            <v>683.69</v>
          </cell>
          <cell r="G1342">
            <v>1696754</v>
          </cell>
        </row>
        <row r="1343">
          <cell r="A1343">
            <v>1696755</v>
          </cell>
          <cell r="B1343" t="str">
            <v>EVO FRAME,3X7</v>
          </cell>
          <cell r="C1343" t="str">
            <v>EA</v>
          </cell>
          <cell r="D1343" t="str">
            <v>RM100</v>
          </cell>
          <cell r="E1343">
            <v>395.52</v>
          </cell>
          <cell r="G1343">
            <v>1696755</v>
          </cell>
        </row>
        <row r="1344">
          <cell r="A1344">
            <v>1696756</v>
          </cell>
          <cell r="B1344" t="str">
            <v>EVO FRAME,4X7</v>
          </cell>
          <cell r="C1344" t="str">
            <v>EA</v>
          </cell>
          <cell r="D1344" t="str">
            <v>RM100</v>
          </cell>
          <cell r="E1344">
            <v>344.72</v>
          </cell>
          <cell r="G1344">
            <v>1696756</v>
          </cell>
        </row>
        <row r="1345">
          <cell r="A1345">
            <v>1696757</v>
          </cell>
          <cell r="B1345" t="str">
            <v>EVO 2' DOOR,CARTRIDGE NUT BAR</v>
          </cell>
          <cell r="C1345" t="str">
            <v>EA</v>
          </cell>
          <cell r="D1345" t="str">
            <v>RM100</v>
          </cell>
          <cell r="E1345">
            <v>14.75291</v>
          </cell>
          <cell r="G1345">
            <v>1696757</v>
          </cell>
        </row>
        <row r="1346">
          <cell r="A1346">
            <v>1696758</v>
          </cell>
          <cell r="B1346" t="str">
            <v>EVO 3' IA DOOR,CARTRIDGE NUT BAR</v>
          </cell>
          <cell r="C1346" t="str">
            <v>EA</v>
          </cell>
          <cell r="D1346" t="str">
            <v>RM100</v>
          </cell>
          <cell r="E1346">
            <v>19.501819999999999</v>
          </cell>
          <cell r="G1346">
            <v>1696758</v>
          </cell>
        </row>
        <row r="1347">
          <cell r="A1347">
            <v>1696759</v>
          </cell>
          <cell r="B1347" t="str">
            <v>EVO 3' DOOR,CARTRIDGE NUT BAR</v>
          </cell>
          <cell r="C1347" t="str">
            <v>EA</v>
          </cell>
          <cell r="D1347" t="str">
            <v>RM100</v>
          </cell>
          <cell r="E1347">
            <v>17.3</v>
          </cell>
          <cell r="G1347">
            <v>1696759</v>
          </cell>
        </row>
        <row r="1348">
          <cell r="A1348">
            <v>1696760</v>
          </cell>
          <cell r="B1348" t="str">
            <v>EVO 4' DOOR,CARTRIDGE NUT BAR</v>
          </cell>
          <cell r="C1348" t="str">
            <v>EA</v>
          </cell>
          <cell r="D1348" t="str">
            <v>RM100</v>
          </cell>
          <cell r="E1348">
            <v>11.41</v>
          </cell>
          <cell r="G1348">
            <v>1696760</v>
          </cell>
        </row>
        <row r="1349">
          <cell r="A1349">
            <v>1696761</v>
          </cell>
          <cell r="B1349" t="str">
            <v>EVO FRAME,4' NOM TOP MEMBER</v>
          </cell>
          <cell r="C1349" t="str">
            <v>EA</v>
          </cell>
          <cell r="D1349" t="str">
            <v>RM100</v>
          </cell>
          <cell r="E1349">
            <v>0</v>
          </cell>
          <cell r="G1349">
            <v>1696761</v>
          </cell>
        </row>
        <row r="1350">
          <cell r="A1350">
            <v>1696762</v>
          </cell>
          <cell r="B1350" t="str">
            <v>EVO FRAME,3' NOM TOP MEMBER</v>
          </cell>
          <cell r="C1350" t="str">
            <v>EA</v>
          </cell>
          <cell r="D1350" t="str">
            <v>RM100</v>
          </cell>
          <cell r="E1350">
            <v>0</v>
          </cell>
          <cell r="G1350">
            <v>1696762</v>
          </cell>
        </row>
        <row r="1351">
          <cell r="A1351">
            <v>1696763</v>
          </cell>
          <cell r="B1351" t="str">
            <v>EVO FRAME,3' IA NOM TOP MEMBER</v>
          </cell>
          <cell r="C1351" t="str">
            <v>EA</v>
          </cell>
          <cell r="D1351" t="str">
            <v>RM100</v>
          </cell>
          <cell r="E1351">
            <v>0</v>
          </cell>
          <cell r="G1351">
            <v>1696763</v>
          </cell>
        </row>
        <row r="1352">
          <cell r="A1352">
            <v>1696764</v>
          </cell>
          <cell r="B1352" t="str">
            <v>EVO FRAME,2' NOM TOP MEMBER</v>
          </cell>
          <cell r="C1352" t="str">
            <v>EA</v>
          </cell>
          <cell r="D1352" t="str">
            <v>RM100</v>
          </cell>
          <cell r="E1352">
            <v>0</v>
          </cell>
          <cell r="G1352">
            <v>1696764</v>
          </cell>
        </row>
        <row r="1353">
          <cell r="A1353">
            <v>1696765</v>
          </cell>
          <cell r="B1353" t="str">
            <v>EVO FRAME,7' NOM SIDE MEMBER,LATCH</v>
          </cell>
          <cell r="C1353" t="str">
            <v>EA</v>
          </cell>
          <cell r="D1353" t="str">
            <v>RM100</v>
          </cell>
          <cell r="E1353">
            <v>0</v>
          </cell>
          <cell r="G1353">
            <v>1696765</v>
          </cell>
        </row>
        <row r="1354">
          <cell r="A1354">
            <v>1696766</v>
          </cell>
          <cell r="B1354" t="str">
            <v>EVO FRAME,4' NOM CROSS MEMBER</v>
          </cell>
          <cell r="C1354" t="str">
            <v>EA</v>
          </cell>
          <cell r="D1354" t="str">
            <v>RM100</v>
          </cell>
          <cell r="E1354">
            <v>0</v>
          </cell>
          <cell r="G1354">
            <v>1696766</v>
          </cell>
        </row>
        <row r="1355">
          <cell r="A1355">
            <v>1696767</v>
          </cell>
          <cell r="B1355" t="str">
            <v>EVO FRAME,3' IA NOM CROSS MEMBER</v>
          </cell>
          <cell r="C1355" t="str">
            <v>EA</v>
          </cell>
          <cell r="D1355" t="str">
            <v>RM100</v>
          </cell>
          <cell r="E1355">
            <v>0</v>
          </cell>
          <cell r="G1355">
            <v>1696767</v>
          </cell>
        </row>
        <row r="1356">
          <cell r="A1356">
            <v>1696768</v>
          </cell>
          <cell r="B1356" t="str">
            <v>EVO FRAME,3' NOM CROSS MEMBER</v>
          </cell>
          <cell r="C1356" t="str">
            <v>EA</v>
          </cell>
          <cell r="D1356" t="str">
            <v>RM100</v>
          </cell>
          <cell r="E1356">
            <v>0</v>
          </cell>
          <cell r="G1356">
            <v>1696768</v>
          </cell>
        </row>
        <row r="1357">
          <cell r="A1357">
            <v>1696769</v>
          </cell>
          <cell r="B1357" t="str">
            <v>EVO FRAME,2' NOM CROSS MEMBER</v>
          </cell>
          <cell r="C1357" t="str">
            <v>EA</v>
          </cell>
          <cell r="D1357" t="str">
            <v>RM100</v>
          </cell>
          <cell r="E1357">
            <v>0</v>
          </cell>
          <cell r="G1357">
            <v>1696769</v>
          </cell>
        </row>
        <row r="1358">
          <cell r="A1358">
            <v>1696770</v>
          </cell>
          <cell r="B1358" t="str">
            <v>EVO FRAME,7' NOM SIDE MEMBER,HINGE</v>
          </cell>
          <cell r="C1358" t="str">
            <v>EA</v>
          </cell>
          <cell r="D1358" t="str">
            <v>RM100</v>
          </cell>
          <cell r="E1358">
            <v>0</v>
          </cell>
          <cell r="G1358">
            <v>1696770</v>
          </cell>
        </row>
        <row r="1359">
          <cell r="A1359">
            <v>1696771</v>
          </cell>
          <cell r="B1359" t="str">
            <v>EVO 7' DOOR EDGE NUT BAR,HINGE SIDE</v>
          </cell>
          <cell r="C1359" t="str">
            <v>EA</v>
          </cell>
          <cell r="D1359" t="str">
            <v>RM100</v>
          </cell>
          <cell r="E1359">
            <v>9.92</v>
          </cell>
          <cell r="G1359">
            <v>1696771</v>
          </cell>
        </row>
        <row r="1360">
          <cell r="A1360">
            <v>1696772</v>
          </cell>
          <cell r="B1360" t="str">
            <v>EVO 7' DOOR EDGE NUT BAR,LATCH SIDE</v>
          </cell>
          <cell r="C1360" t="str">
            <v>EA</v>
          </cell>
          <cell r="D1360" t="str">
            <v>RM100</v>
          </cell>
          <cell r="E1360">
            <v>6.04</v>
          </cell>
          <cell r="G1360">
            <v>1696772</v>
          </cell>
        </row>
        <row r="1361">
          <cell r="A1361">
            <v>1696935</v>
          </cell>
          <cell r="B1361" t="str">
            <v>Cryo Hitachi 4x25.125</v>
          </cell>
          <cell r="C1361" t="str">
            <v>EA</v>
          </cell>
          <cell r="D1361" t="str">
            <v>MA100</v>
          </cell>
          <cell r="E1361">
            <v>306.25</v>
          </cell>
          <cell r="G1361">
            <v>1696935</v>
          </cell>
        </row>
        <row r="1362">
          <cell r="A1362">
            <v>1696939</v>
          </cell>
          <cell r="B1362" t="str">
            <v>ASSY,5240-36,CUSTOM,2x2DOOR,CART</v>
          </cell>
          <cell r="C1362" t="str">
            <v>EA</v>
          </cell>
          <cell r="D1362" t="str">
            <v>MA100</v>
          </cell>
          <cell r="E1362">
            <v>11413.005880000001</v>
          </cell>
          <cell r="G1362">
            <v>1696939</v>
          </cell>
        </row>
        <row r="1363">
          <cell r="A1363">
            <v>1697000</v>
          </cell>
          <cell r="B1363" t="str">
            <v>7' CENTER CARTRIDGE</v>
          </cell>
          <cell r="C1363" t="str">
            <v>EA</v>
          </cell>
          <cell r="D1363" t="str">
            <v>MA100</v>
          </cell>
          <cell r="E1363">
            <v>947.47923000000003</v>
          </cell>
          <cell r="G1363">
            <v>1697000</v>
          </cell>
        </row>
        <row r="1364">
          <cell r="A1364">
            <v>1697332</v>
          </cell>
          <cell r="B1364" t="str">
            <v>GE VENT, CRYO ALUM 12X48 24END W18X18</v>
          </cell>
          <cell r="C1364" t="str">
            <v>EA</v>
          </cell>
          <cell r="D1364" t="str">
            <v>MA100</v>
          </cell>
          <cell r="E1364">
            <v>0</v>
          </cell>
          <cell r="G1364">
            <v>1697332</v>
          </cell>
        </row>
        <row r="1365">
          <cell r="A1365">
            <v>1697618</v>
          </cell>
          <cell r="B1365" t="str">
            <v>FL2250 CL,BLU FLEX,2 1/4",VELCRO,CUSTOM</v>
          </cell>
          <cell r="C1365" t="str">
            <v>EA</v>
          </cell>
          <cell r="D1365" t="str">
            <v>FG201</v>
          </cell>
          <cell r="E1365">
            <v>114.44425</v>
          </cell>
          <cell r="G1365">
            <v>1697618</v>
          </cell>
        </row>
        <row r="1366">
          <cell r="A1366">
            <v>1697619</v>
          </cell>
          <cell r="B1366" t="str">
            <v>FL2250 CL,BLU FLEX,2 1/4",VELCRO,CUSTOM</v>
          </cell>
          <cell r="C1366" t="str">
            <v>EA</v>
          </cell>
          <cell r="D1366" t="str">
            <v>FG201</v>
          </cell>
          <cell r="E1366">
            <v>114.44425</v>
          </cell>
          <cell r="G1366">
            <v>1697619</v>
          </cell>
        </row>
        <row r="1367">
          <cell r="A1367">
            <v>1697620</v>
          </cell>
          <cell r="B1367" t="str">
            <v>FL2250 CL,BLU FLEX,2 1/4",VELCRO,CUSTOM</v>
          </cell>
          <cell r="C1367" t="str">
            <v>EA</v>
          </cell>
          <cell r="D1367" t="str">
            <v>FG201</v>
          </cell>
          <cell r="E1367">
            <v>114.44425</v>
          </cell>
          <cell r="G1367">
            <v>1697620</v>
          </cell>
        </row>
        <row r="1368">
          <cell r="A1368">
            <v>1697621</v>
          </cell>
          <cell r="B1368" t="str">
            <v>FL2250 CL,BLU FLEX,2 1/4",VELCRO,CUSTOM</v>
          </cell>
          <cell r="C1368" t="str">
            <v>EA</v>
          </cell>
          <cell r="D1368" t="str">
            <v>FG201</v>
          </cell>
          <cell r="E1368">
            <v>114.44425</v>
          </cell>
          <cell r="G1368">
            <v>1697621</v>
          </cell>
        </row>
        <row r="1369">
          <cell r="A1369">
            <v>1697622</v>
          </cell>
          <cell r="B1369" t="str">
            <v>FL2250 CL,BLU FLEX,2 1/4",VELCRO,CUSTOM</v>
          </cell>
          <cell r="C1369" t="str">
            <v>EA</v>
          </cell>
          <cell r="D1369" t="str">
            <v>FG201</v>
          </cell>
          <cell r="E1369">
            <v>114.44425</v>
          </cell>
          <cell r="G1369">
            <v>1697622</v>
          </cell>
        </row>
        <row r="1370">
          <cell r="A1370">
            <v>1697623</v>
          </cell>
          <cell r="B1370" t="str">
            <v>FL2250 CL,BLU FLEX,2 1/4",VELCRO,CUSTOM</v>
          </cell>
          <cell r="C1370" t="str">
            <v>EA</v>
          </cell>
          <cell r="D1370" t="str">
            <v>FG201</v>
          </cell>
          <cell r="E1370">
            <v>114.44425</v>
          </cell>
          <cell r="G1370">
            <v>1697623</v>
          </cell>
        </row>
        <row r="1371">
          <cell r="A1371">
            <v>1697624</v>
          </cell>
          <cell r="B1371" t="str">
            <v>FL2250 CL,BLU FLEX,2 1/4",VELCRO,CUSTOM</v>
          </cell>
          <cell r="C1371" t="str">
            <v>EA</v>
          </cell>
          <cell r="D1371" t="str">
            <v>FG201</v>
          </cell>
          <cell r="E1371">
            <v>114.44425</v>
          </cell>
          <cell r="G1371">
            <v>1697624</v>
          </cell>
        </row>
        <row r="1372">
          <cell r="A1372">
            <v>1697625</v>
          </cell>
          <cell r="B1372" t="str">
            <v>FL2250 CL,BLU FLEX,2 1/4",VELCRO,CUSTOM</v>
          </cell>
          <cell r="C1372" t="str">
            <v>EA</v>
          </cell>
          <cell r="D1372" t="str">
            <v>FG201</v>
          </cell>
          <cell r="E1372">
            <v>114.44425</v>
          </cell>
          <cell r="G1372">
            <v>1697625</v>
          </cell>
        </row>
        <row r="1373">
          <cell r="A1373">
            <v>1697626</v>
          </cell>
          <cell r="B1373" t="str">
            <v>FL2250 CL,BLU FLEX,2 1/4",VELCRO,CUSTOM</v>
          </cell>
          <cell r="C1373" t="str">
            <v>EA</v>
          </cell>
          <cell r="D1373" t="str">
            <v>FG201</v>
          </cell>
          <cell r="E1373">
            <v>114.44425</v>
          </cell>
          <cell r="G1373">
            <v>1697626</v>
          </cell>
        </row>
        <row r="1374">
          <cell r="A1374">
            <v>1697627</v>
          </cell>
          <cell r="B1374" t="str">
            <v>FL2250 CL,BLU FLEX,2 1/4",VELCRO,CUSTOM</v>
          </cell>
          <cell r="C1374" t="str">
            <v>EA</v>
          </cell>
          <cell r="D1374" t="str">
            <v>FG201</v>
          </cell>
          <cell r="E1374">
            <v>114.44425</v>
          </cell>
          <cell r="G1374">
            <v>1697627</v>
          </cell>
        </row>
        <row r="1375">
          <cell r="A1375">
            <v>1697628</v>
          </cell>
          <cell r="B1375" t="str">
            <v>FL2250 CL,BLU FLEX,2 1/4",VELCRO,CUSTOM</v>
          </cell>
          <cell r="C1375" t="str">
            <v>EA</v>
          </cell>
          <cell r="D1375" t="str">
            <v>FG201</v>
          </cell>
          <cell r="E1375">
            <v>114.44425</v>
          </cell>
          <cell r="G1375">
            <v>1697628</v>
          </cell>
        </row>
        <row r="1376">
          <cell r="A1376">
            <v>1697629</v>
          </cell>
          <cell r="B1376" t="str">
            <v>FL2250 CL,BLU FLEX,2 1/4",VELCRO,CUSTOM</v>
          </cell>
          <cell r="C1376" t="str">
            <v>EA</v>
          </cell>
          <cell r="D1376" t="str">
            <v>FG201</v>
          </cell>
          <cell r="E1376">
            <v>114.44425</v>
          </cell>
          <cell r="G1376">
            <v>1697629</v>
          </cell>
        </row>
        <row r="1377">
          <cell r="A1377">
            <v>1697630</v>
          </cell>
          <cell r="B1377" t="str">
            <v>FL2250 CL,BLU FLEX,2 1/4",VELCRO,CUSTOM</v>
          </cell>
          <cell r="C1377" t="str">
            <v>EA</v>
          </cell>
          <cell r="D1377" t="str">
            <v>FG201</v>
          </cell>
          <cell r="E1377">
            <v>114.44425</v>
          </cell>
          <cell r="G1377">
            <v>1697630</v>
          </cell>
        </row>
        <row r="1378">
          <cell r="A1378">
            <v>1697631</v>
          </cell>
          <cell r="B1378" t="str">
            <v>FL2250 CL,BLU FLEX,2 1/4",VELCRO,CUSTOM</v>
          </cell>
          <cell r="C1378" t="str">
            <v>EA</v>
          </cell>
          <cell r="D1378" t="str">
            <v>FG201</v>
          </cell>
          <cell r="E1378">
            <v>114.44425</v>
          </cell>
          <cell r="G1378">
            <v>1697631</v>
          </cell>
        </row>
        <row r="1379">
          <cell r="A1379">
            <v>1697632</v>
          </cell>
          <cell r="B1379" t="str">
            <v>FL2250 CL,BLU FLEX,2 1/4",VELCRO,CUSTOM</v>
          </cell>
          <cell r="C1379" t="str">
            <v>EA</v>
          </cell>
          <cell r="D1379" t="str">
            <v>FG201</v>
          </cell>
          <cell r="E1379">
            <v>114.44425</v>
          </cell>
          <cell r="G1379">
            <v>1697632</v>
          </cell>
        </row>
        <row r="1380">
          <cell r="A1380">
            <v>1697633</v>
          </cell>
          <cell r="B1380" t="str">
            <v>FL2250 CL,BLU FLEX,2 1/4",VELCRO,CUSTOM</v>
          </cell>
          <cell r="C1380" t="str">
            <v>EA</v>
          </cell>
          <cell r="D1380" t="str">
            <v>FG201</v>
          </cell>
          <cell r="E1380">
            <v>114.44425</v>
          </cell>
          <cell r="G1380">
            <v>1697633</v>
          </cell>
        </row>
        <row r="1381">
          <cell r="A1381">
            <v>1697634</v>
          </cell>
          <cell r="B1381" t="str">
            <v>FL2250 CL,BLU FLEX,2 1/4",VELCRO,CUSTOM</v>
          </cell>
          <cell r="C1381" t="str">
            <v>EA</v>
          </cell>
          <cell r="D1381" t="str">
            <v>FG201</v>
          </cell>
          <cell r="E1381">
            <v>114.44425</v>
          </cell>
          <cell r="G1381">
            <v>1697634</v>
          </cell>
        </row>
        <row r="1382">
          <cell r="A1382">
            <v>1697635</v>
          </cell>
          <cell r="B1382" t="str">
            <v>FL2250 CL,BLU FLEX,2 1/4",VELCRO,CUSTOM</v>
          </cell>
          <cell r="C1382" t="str">
            <v>EA</v>
          </cell>
          <cell r="D1382" t="str">
            <v>FG201</v>
          </cell>
          <cell r="E1382">
            <v>114.44425</v>
          </cell>
          <cell r="G1382">
            <v>1697635</v>
          </cell>
        </row>
        <row r="1383">
          <cell r="A1383">
            <v>1697636</v>
          </cell>
          <cell r="B1383" t="str">
            <v>FL2250 CL,BLU FLEX,2 1/4",VELCRO,CUSTOM</v>
          </cell>
          <cell r="C1383" t="str">
            <v>EA</v>
          </cell>
          <cell r="D1383" t="str">
            <v>FG201</v>
          </cell>
          <cell r="E1383">
            <v>114.44425</v>
          </cell>
          <cell r="G1383">
            <v>1697636</v>
          </cell>
        </row>
        <row r="1384">
          <cell r="A1384">
            <v>1697637</v>
          </cell>
          <cell r="B1384" t="str">
            <v>FL2250 CL,BLU FLEX,2 1/4",VELCRO,CUSTOM</v>
          </cell>
          <cell r="C1384" t="str">
            <v>EA</v>
          </cell>
          <cell r="D1384" t="str">
            <v>FG201</v>
          </cell>
          <cell r="E1384">
            <v>114.44425</v>
          </cell>
          <cell r="G1384">
            <v>1697637</v>
          </cell>
        </row>
        <row r="1385">
          <cell r="A1385">
            <v>1697638</v>
          </cell>
          <cell r="B1385" t="str">
            <v>FL2250 CL,BLU FLEX,2 1/4",VELCRO,CUSTOM</v>
          </cell>
          <cell r="C1385" t="str">
            <v>EA</v>
          </cell>
          <cell r="D1385" t="str">
            <v>FG201</v>
          </cell>
          <cell r="E1385">
            <v>114.44425</v>
          </cell>
          <cell r="G1385">
            <v>1697638</v>
          </cell>
        </row>
        <row r="1386">
          <cell r="A1386">
            <v>1697639</v>
          </cell>
          <cell r="B1386" t="str">
            <v>FL2250 CL,BLU FLEX,2 1/4",VELCRO,CUSTOM</v>
          </cell>
          <cell r="C1386" t="str">
            <v>EA</v>
          </cell>
          <cell r="D1386" t="str">
            <v>FG201</v>
          </cell>
          <cell r="E1386">
            <v>114.44425</v>
          </cell>
          <cell r="G1386">
            <v>1697639</v>
          </cell>
        </row>
        <row r="1387">
          <cell r="A1387">
            <v>1697726</v>
          </cell>
          <cell r="B1387" t="str">
            <v>CRYO,CANON,6"X24",2 END FLNG</v>
          </cell>
          <cell r="C1387" t="str">
            <v>EA</v>
          </cell>
          <cell r="D1387" t="str">
            <v>MA100</v>
          </cell>
          <cell r="E1387">
            <v>350</v>
          </cell>
          <cell r="G1387">
            <v>1697726</v>
          </cell>
        </row>
        <row r="1388">
          <cell r="A1388">
            <v>1697771</v>
          </cell>
          <cell r="B1388" t="str">
            <v>ASSY, 5240-18, 12"x12" DR. CUSTOM</v>
          </cell>
          <cell r="C1388" t="str">
            <v>EA</v>
          </cell>
          <cell r="D1388" t="str">
            <v>MA100</v>
          </cell>
          <cell r="E1388">
            <v>4342.9518399999997</v>
          </cell>
          <cell r="G1388">
            <v>1697771</v>
          </cell>
        </row>
        <row r="1389">
          <cell r="A1389">
            <v>1697861</v>
          </cell>
          <cell r="B1389" t="str">
            <v>BRS,CONN,PLT,24X12</v>
          </cell>
          <cell r="C1389" t="str">
            <v>EA</v>
          </cell>
          <cell r="D1389" t="str">
            <v>MA100</v>
          </cell>
          <cell r="E1389">
            <v>102.9307</v>
          </cell>
          <cell r="G1389">
            <v>1697861</v>
          </cell>
        </row>
        <row r="1390">
          <cell r="A1390">
            <v>1698118</v>
          </cell>
          <cell r="B1390" t="str">
            <v>EVO WINDOW FRAME UNIVERSAL KIT</v>
          </cell>
          <cell r="C1390" t="str">
            <v>EA</v>
          </cell>
          <cell r="D1390" t="str">
            <v>RM100</v>
          </cell>
          <cell r="E1390">
            <v>41.19</v>
          </cell>
          <cell r="G1390">
            <v>1698118</v>
          </cell>
        </row>
        <row r="1391">
          <cell r="A1391">
            <v>1698124</v>
          </cell>
          <cell r="B1391" t="str">
            <v>ASSY,MRI WINDOW 28X48 NO GLASS PNT WHTE</v>
          </cell>
          <cell r="C1391" t="str">
            <v>EA</v>
          </cell>
          <cell r="D1391" t="str">
            <v>MA100</v>
          </cell>
          <cell r="E1391">
            <v>432.22597999999999</v>
          </cell>
          <cell r="G1391">
            <v>1698124</v>
          </cell>
        </row>
        <row r="1392">
          <cell r="A1392">
            <v>1698125</v>
          </cell>
          <cell r="B1392" t="str">
            <v>BOX, RF MONITOR 53.5x35x7, ALUM W/ BRKTS</v>
          </cell>
          <cell r="C1392" t="str">
            <v>EA</v>
          </cell>
          <cell r="D1392" t="str">
            <v>RM100</v>
          </cell>
          <cell r="E1392">
            <v>1400</v>
          </cell>
          <cell r="G1392">
            <v>1698125</v>
          </cell>
        </row>
        <row r="1393">
          <cell r="A1393">
            <v>1698126</v>
          </cell>
          <cell r="B1393" t="str">
            <v>MONITOR ENCLOSURE 30x50.5 ASSY,55"DIAGNL</v>
          </cell>
          <cell r="C1393" t="str">
            <v>EA</v>
          </cell>
          <cell r="D1393" t="str">
            <v>MA100</v>
          </cell>
          <cell r="E1393">
            <v>3161.3113199999998</v>
          </cell>
          <cell r="G1393">
            <v>1698126</v>
          </cell>
        </row>
        <row r="1394">
          <cell r="A1394">
            <v>1698232</v>
          </cell>
          <cell r="B1394" t="str">
            <v>GE S.S. TUBE 8 INCH W14x14 PLT, 18 END</v>
          </cell>
          <cell r="C1394" t="str">
            <v>EA</v>
          </cell>
          <cell r="D1394" t="str">
            <v>MA100</v>
          </cell>
          <cell r="E1394">
            <v>399.8</v>
          </cell>
          <cell r="G1394">
            <v>1698232</v>
          </cell>
        </row>
        <row r="1395">
          <cell r="A1395">
            <v>1698242</v>
          </cell>
          <cell r="B1395" t="str">
            <v>KIT,OPERATOR,EVO,RH,OS,DUAL,6'</v>
          </cell>
          <cell r="C1395" t="str">
            <v>EA</v>
          </cell>
          <cell r="D1395" t="str">
            <v>MA100</v>
          </cell>
          <cell r="E1395">
            <v>5134.0153</v>
          </cell>
          <cell r="G1395">
            <v>1698242</v>
          </cell>
        </row>
        <row r="1396">
          <cell r="A1396">
            <v>1698255</v>
          </cell>
          <cell r="B1396" t="str">
            <v>CRYO,CANON,6"X24",2 END FLNG</v>
          </cell>
          <cell r="C1396" t="str">
            <v>EA</v>
          </cell>
          <cell r="D1396" t="str">
            <v>MA100</v>
          </cell>
          <cell r="E1396">
            <v>0</v>
          </cell>
          <cell r="G1396">
            <v>1698255</v>
          </cell>
        </row>
        <row r="1397">
          <cell r="A1397">
            <v>1698354</v>
          </cell>
          <cell r="B1397" t="str">
            <v>KIT,G.E.PATIENT TABLE ANCH SEISMIC</v>
          </cell>
          <cell r="C1397" t="str">
            <v>EA</v>
          </cell>
          <cell r="D1397" t="str">
            <v>MA100</v>
          </cell>
          <cell r="E1397">
            <v>83.787419999999997</v>
          </cell>
          <cell r="G1397">
            <v>1698354</v>
          </cell>
        </row>
        <row r="1398">
          <cell r="A1398">
            <v>1698397</v>
          </cell>
          <cell r="B1398" t="str">
            <v>SS 84cm 8 Inch Bruker Taper 6.25 Outside</v>
          </cell>
          <cell r="C1398" t="str">
            <v>EA</v>
          </cell>
          <cell r="D1398" t="str">
            <v>MA100</v>
          </cell>
          <cell r="E1398">
            <v>791</v>
          </cell>
          <cell r="G1398">
            <v>1698397</v>
          </cell>
        </row>
        <row r="1399">
          <cell r="A1399">
            <v>1698521</v>
          </cell>
          <cell r="B1399" t="str">
            <v>KIT,OPERATOR,EVO,LH,OS,DUAL,6'</v>
          </cell>
          <cell r="C1399" t="str">
            <v>EA</v>
          </cell>
          <cell r="D1399" t="str">
            <v>MA100</v>
          </cell>
          <cell r="E1399">
            <v>5212.4564799999998</v>
          </cell>
          <cell r="G1399">
            <v>1698521</v>
          </cell>
        </row>
        <row r="1400">
          <cell r="A1400">
            <v>1698522</v>
          </cell>
          <cell r="B1400" t="str">
            <v>KIT,OPERATOR,EVO,LH,IS,DUAL,6'</v>
          </cell>
          <cell r="C1400" t="str">
            <v>EA</v>
          </cell>
          <cell r="D1400" t="str">
            <v>MA100</v>
          </cell>
          <cell r="E1400">
            <v>4585.6337000000003</v>
          </cell>
          <cell r="G1400">
            <v>1698522</v>
          </cell>
        </row>
        <row r="1401">
          <cell r="A1401">
            <v>1698577</v>
          </cell>
          <cell r="B1401" t="str">
            <v>VENT,CRYO ALUM 8" W/ 90 DEG, 19"INSIDE</v>
          </cell>
          <cell r="C1401" t="str">
            <v>EA</v>
          </cell>
          <cell r="D1401" t="str">
            <v>MA100</v>
          </cell>
          <cell r="E1401">
            <v>0</v>
          </cell>
          <cell r="G1401">
            <v>1698577</v>
          </cell>
        </row>
        <row r="1402">
          <cell r="A1402">
            <v>1698585</v>
          </cell>
          <cell r="B1402" t="str">
            <v>LAP PLATE, 3/8"x4" INTGR 48X60 WINDOW</v>
          </cell>
          <cell r="C1402" t="str">
            <v>EA</v>
          </cell>
          <cell r="D1402" t="str">
            <v>MA100</v>
          </cell>
          <cell r="E1402">
            <v>297.72224</v>
          </cell>
          <cell r="G1402">
            <v>1698585</v>
          </cell>
        </row>
        <row r="1403">
          <cell r="A1403">
            <v>1698770</v>
          </cell>
          <cell r="B1403" t="str">
            <v>CPA-8x8-B-4SMA,1USB2.0</v>
          </cell>
          <cell r="C1403" t="str">
            <v>EA</v>
          </cell>
          <cell r="D1403" t="str">
            <v>MA100</v>
          </cell>
          <cell r="E1403">
            <v>544.94919000000004</v>
          </cell>
          <cell r="G1403">
            <v>1698770</v>
          </cell>
        </row>
        <row r="1404">
          <cell r="A1404">
            <v>1698771</v>
          </cell>
          <cell r="B1404" t="str">
            <v>CP-8x8-B-4SMA,1USB2.0</v>
          </cell>
          <cell r="C1404" t="str">
            <v>EA</v>
          </cell>
          <cell r="D1404" t="str">
            <v>MA410</v>
          </cell>
          <cell r="E1404">
            <v>435.99775</v>
          </cell>
          <cell r="G1404">
            <v>1698771</v>
          </cell>
        </row>
        <row r="1405">
          <cell r="A1405">
            <v>1698776</v>
          </cell>
          <cell r="B1405" t="str">
            <v>DOOR JAMB, WOOD, DEC 21"X40.25" C.O.</v>
          </cell>
          <cell r="C1405" t="str">
            <v>EA</v>
          </cell>
          <cell r="D1405" t="str">
            <v>MA100</v>
          </cell>
          <cell r="E1405">
            <v>17.223400000000002</v>
          </cell>
          <cell r="G1405">
            <v>1698776</v>
          </cell>
        </row>
        <row r="1406">
          <cell r="A1406">
            <v>1698791</v>
          </cell>
          <cell r="B1406" t="str">
            <v>DOOR CORE, 2"X21.25"X40.5"</v>
          </cell>
          <cell r="C1406" t="str">
            <v>EA</v>
          </cell>
          <cell r="D1406" t="str">
            <v>MA100</v>
          </cell>
          <cell r="E1406">
            <v>102.15</v>
          </cell>
          <cell r="G1406">
            <v>1698791</v>
          </cell>
        </row>
        <row r="1407">
          <cell r="A1407">
            <v>1699077</v>
          </cell>
          <cell r="B1407" t="str">
            <v>TEMPLATE,MIN,MANUFACTURED PARTS</v>
          </cell>
          <cell r="C1407" t="str">
            <v>EA</v>
          </cell>
          <cell r="D1407" t="str">
            <v>MA100</v>
          </cell>
          <cell r="E1407">
            <v>0</v>
          </cell>
          <cell r="G1407">
            <v>1699077</v>
          </cell>
        </row>
        <row r="1408">
          <cell r="A1408">
            <v>1699098</v>
          </cell>
          <cell r="B1408" t="str">
            <v>VENT,CRYO SS 6X24 SIEMENS 19.125 END</v>
          </cell>
          <cell r="C1408" t="str">
            <v>EA</v>
          </cell>
          <cell r="D1408" t="str">
            <v>RM100</v>
          </cell>
          <cell r="E1408">
            <v>430</v>
          </cell>
          <cell r="G1408">
            <v>1699098</v>
          </cell>
        </row>
        <row r="1409">
          <cell r="A1409">
            <v>1699540</v>
          </cell>
          <cell r="B1409" t="str">
            <v>PHILIPS PATIENT TABLE PLATE SEISMIC</v>
          </cell>
          <cell r="C1409" t="str">
            <v>EA</v>
          </cell>
          <cell r="D1409" t="str">
            <v>RM100</v>
          </cell>
          <cell r="E1409">
            <v>1110</v>
          </cell>
          <cell r="G1409">
            <v>1699540</v>
          </cell>
        </row>
        <row r="1410">
          <cell r="A1410">
            <v>1699620</v>
          </cell>
          <cell r="B1410" t="str">
            <v>PLT,BR,17"x35"x3/16",MAIN PLT</v>
          </cell>
          <cell r="C1410" t="str">
            <v>EA</v>
          </cell>
          <cell r="D1410" t="str">
            <v>MA100</v>
          </cell>
          <cell r="E1410">
            <v>246.54972000000001</v>
          </cell>
          <cell r="G1410">
            <v>1699620</v>
          </cell>
        </row>
        <row r="1411">
          <cell r="A1411">
            <v>1699621</v>
          </cell>
          <cell r="B1411" t="str">
            <v>PLT,BR,14"X15.75"X1/8",BLNK,SUB PLT</v>
          </cell>
          <cell r="C1411" t="str">
            <v>EA</v>
          </cell>
          <cell r="D1411" t="str">
            <v>MA100</v>
          </cell>
          <cell r="E1411">
            <v>117.63305</v>
          </cell>
          <cell r="G1411">
            <v>1699621</v>
          </cell>
        </row>
        <row r="1412">
          <cell r="A1412">
            <v>1699622</v>
          </cell>
          <cell r="B1412" t="str">
            <v>ASSY,CONN,BR,17x35-14X15.75</v>
          </cell>
          <cell r="C1412" t="str">
            <v>EA</v>
          </cell>
          <cell r="D1412" t="str">
            <v>MA100</v>
          </cell>
          <cell r="E1412">
            <v>551.46641999999997</v>
          </cell>
          <cell r="G1412">
            <v>1699622</v>
          </cell>
        </row>
        <row r="1413">
          <cell r="A1413">
            <v>1699625</v>
          </cell>
          <cell r="B1413" t="str">
            <v>VENT,CRYO SS 4X16 SIEMENS 4.25 INSIDE</v>
          </cell>
          <cell r="C1413" t="str">
            <v>EA</v>
          </cell>
          <cell r="D1413" t="str">
            <v>MA100</v>
          </cell>
          <cell r="E1413">
            <v>190</v>
          </cell>
          <cell r="G1413">
            <v>1699625</v>
          </cell>
        </row>
        <row r="1414">
          <cell r="A1414">
            <v>1699642</v>
          </cell>
          <cell r="B1414" t="str">
            <v>VENT,WG,FLAT FLNG(BRS) 18.0X30.0</v>
          </cell>
          <cell r="C1414" t="str">
            <v>EA</v>
          </cell>
          <cell r="D1414" t="str">
            <v>MA100</v>
          </cell>
          <cell r="E1414">
            <v>467.91</v>
          </cell>
          <cell r="G1414">
            <v>1699642</v>
          </cell>
        </row>
        <row r="1415">
          <cell r="A1415">
            <v>1699714</v>
          </cell>
          <cell r="B1415" t="str">
            <v>VENT,CRYO ALUM 8X46 W/14X14X1/4,18 INSID</v>
          </cell>
          <cell r="C1415" t="str">
            <v>EA</v>
          </cell>
          <cell r="D1415" t="str">
            <v>MA100</v>
          </cell>
          <cell r="E1415">
            <v>140</v>
          </cell>
          <cell r="G1415">
            <v>1699714</v>
          </cell>
        </row>
        <row r="1416">
          <cell r="A1416">
            <v>1699770</v>
          </cell>
          <cell r="B1416" t="str">
            <v>VENT,CRYO SS 8X32 SIEMENS 25.5INSIDE</v>
          </cell>
          <cell r="C1416" t="str">
            <v>EA</v>
          </cell>
          <cell r="D1416" t="str">
            <v>MA100</v>
          </cell>
          <cell r="E1416">
            <v>494</v>
          </cell>
          <cell r="G1416">
            <v>1699770</v>
          </cell>
        </row>
        <row r="1417">
          <cell r="A1417">
            <v>1699787</v>
          </cell>
          <cell r="B1417" t="str">
            <v>CRYOGEN 8"Ø   W/ 14"X14"X1/4" 30" INSIDE</v>
          </cell>
          <cell r="C1417" t="str">
            <v>EA</v>
          </cell>
          <cell r="D1417" t="str">
            <v>MA100</v>
          </cell>
          <cell r="E1417">
            <v>350</v>
          </cell>
          <cell r="G1417">
            <v>1699787</v>
          </cell>
        </row>
        <row r="1418">
          <cell r="A1418">
            <v>1699971</v>
          </cell>
          <cell r="B1418" t="str">
            <v>TEMPLATE, MIN, PURCHASED PARTS</v>
          </cell>
          <cell r="C1418" t="str">
            <v>EA</v>
          </cell>
          <cell r="D1418" t="str">
            <v>RM100</v>
          </cell>
          <cell r="E1418">
            <v>0</v>
          </cell>
          <cell r="G1418">
            <v>1699971</v>
          </cell>
        </row>
        <row r="1419">
          <cell r="A1419">
            <v>1699972</v>
          </cell>
          <cell r="B1419" t="str">
            <v>TEMPLATE, MIN, PURCHASED PARTS</v>
          </cell>
          <cell r="C1419" t="str">
            <v>EA</v>
          </cell>
          <cell r="D1419" t="str">
            <v>RM100</v>
          </cell>
          <cell r="E1419">
            <v>0</v>
          </cell>
          <cell r="G1419">
            <v>1699972</v>
          </cell>
        </row>
        <row r="1420">
          <cell r="A1420">
            <v>1699973</v>
          </cell>
          <cell r="B1420" t="str">
            <v>TEMPLATE, MIN, PURCHASED PARTS</v>
          </cell>
          <cell r="C1420" t="str">
            <v>EA</v>
          </cell>
          <cell r="D1420" t="str">
            <v>RM100</v>
          </cell>
          <cell r="E1420">
            <v>0</v>
          </cell>
          <cell r="G1420">
            <v>1699973</v>
          </cell>
        </row>
        <row r="1421">
          <cell r="A1421">
            <v>1699974</v>
          </cell>
          <cell r="B1421" t="str">
            <v>TEMPLATE, MIN, PURCHASED PARTS</v>
          </cell>
          <cell r="C1421" t="str">
            <v>EA</v>
          </cell>
          <cell r="D1421" t="str">
            <v>RM100</v>
          </cell>
          <cell r="E1421">
            <v>0</v>
          </cell>
          <cell r="G1421">
            <v>1699974</v>
          </cell>
        </row>
        <row r="1422">
          <cell r="A1422">
            <v>1699975</v>
          </cell>
          <cell r="B1422" t="str">
            <v>TEMPLATE, MIN, PURCHASED PARTS</v>
          </cell>
          <cell r="C1422" t="str">
            <v>EA</v>
          </cell>
          <cell r="D1422" t="str">
            <v>RM100</v>
          </cell>
          <cell r="E1422">
            <v>0</v>
          </cell>
          <cell r="G1422">
            <v>1699975</v>
          </cell>
        </row>
        <row r="1423">
          <cell r="A1423">
            <v>1699976</v>
          </cell>
          <cell r="B1423" t="str">
            <v>TEMPLATE, MIN, PURCHASED PARTS</v>
          </cell>
          <cell r="C1423" t="str">
            <v>EA</v>
          </cell>
          <cell r="D1423" t="str">
            <v>RM100</v>
          </cell>
          <cell r="E1423">
            <v>0</v>
          </cell>
          <cell r="G1423">
            <v>1699976</v>
          </cell>
        </row>
        <row r="1424">
          <cell r="A1424">
            <v>1699977</v>
          </cell>
          <cell r="B1424" t="str">
            <v>TEMPLATE, MIN, PURCHASED PARTS</v>
          </cell>
          <cell r="C1424" t="str">
            <v>EA</v>
          </cell>
          <cell r="D1424" t="str">
            <v>RM100</v>
          </cell>
          <cell r="E1424">
            <v>0</v>
          </cell>
          <cell r="G1424">
            <v>1699977</v>
          </cell>
        </row>
        <row r="1425">
          <cell r="A1425">
            <v>1699978</v>
          </cell>
          <cell r="B1425" t="str">
            <v>TEMPLATE, MIN, PURCHASED PARTS</v>
          </cell>
          <cell r="C1425" t="str">
            <v>EA</v>
          </cell>
          <cell r="D1425" t="str">
            <v>RM100</v>
          </cell>
          <cell r="E1425">
            <v>0</v>
          </cell>
          <cell r="G1425">
            <v>1699978</v>
          </cell>
        </row>
        <row r="1426">
          <cell r="A1426">
            <v>1700009</v>
          </cell>
          <cell r="B1426" t="str">
            <v>TEMPLATE,MIN,MANUFACTURED PARTS</v>
          </cell>
          <cell r="C1426" t="str">
            <v>EA</v>
          </cell>
          <cell r="D1426" t="str">
            <v>MA100</v>
          </cell>
          <cell r="E1426">
            <v>0</v>
          </cell>
          <cell r="G1426">
            <v>1700009</v>
          </cell>
        </row>
        <row r="1427">
          <cell r="A1427">
            <v>1700044</v>
          </cell>
          <cell r="B1427" t="str">
            <v>VENT,CRYO SS 10X40 SIEMENS  W/16X16X1/4</v>
          </cell>
          <cell r="C1427" t="str">
            <v>EA</v>
          </cell>
          <cell r="D1427" t="str">
            <v>RM100</v>
          </cell>
          <cell r="E1427">
            <v>0</v>
          </cell>
          <cell r="G1427">
            <v>1700044</v>
          </cell>
        </row>
        <row r="1428">
          <cell r="A1428">
            <v>1700068</v>
          </cell>
          <cell r="B1428" t="str">
            <v>PLT,BR,21"x15"x3/16",MAIN PLT</v>
          </cell>
          <cell r="C1428" t="str">
            <v>EA</v>
          </cell>
          <cell r="D1428" t="str">
            <v>MA100</v>
          </cell>
          <cell r="E1428">
            <v>139.988</v>
          </cell>
          <cell r="G1428">
            <v>1700068</v>
          </cell>
        </row>
        <row r="1429">
          <cell r="A1429">
            <v>1700073</v>
          </cell>
          <cell r="B1429" t="str">
            <v>PLT,BR,18"X12"X1/8",BLNK,SUB PLT</v>
          </cell>
          <cell r="C1429" t="str">
            <v>EA</v>
          </cell>
          <cell r="D1429" t="str">
            <v>MA100</v>
          </cell>
          <cell r="E1429">
            <v>64.434200000000004</v>
          </cell>
          <cell r="G1429">
            <v>1700073</v>
          </cell>
        </row>
        <row r="1430">
          <cell r="A1430">
            <v>1700076</v>
          </cell>
          <cell r="B1430" t="str">
            <v>PLT,BR,21"x15"x3/16",ASSY 12"X18"</v>
          </cell>
          <cell r="C1430" t="str">
            <v>EA</v>
          </cell>
          <cell r="D1430" t="str">
            <v>MA100</v>
          </cell>
          <cell r="E1430">
            <v>412.98140000000001</v>
          </cell>
          <cell r="G1430">
            <v>1700076</v>
          </cell>
        </row>
        <row r="1431">
          <cell r="A1431">
            <v>1700086</v>
          </cell>
          <cell r="B1431" t="str">
            <v>TEMPLATE,MIN,MANUFACTURED PARTS</v>
          </cell>
          <cell r="C1431" t="str">
            <v>EA</v>
          </cell>
          <cell r="D1431" t="str">
            <v>MA100</v>
          </cell>
          <cell r="E1431">
            <v>0</v>
          </cell>
          <cell r="G1431">
            <v>1700086</v>
          </cell>
        </row>
        <row r="1432">
          <cell r="A1432">
            <v>1700201</v>
          </cell>
          <cell r="B1432" t="str">
            <v>FILTERED MODULE,1 GBPS ETHERNET SHIELDED</v>
          </cell>
          <cell r="C1432" t="str">
            <v>EA</v>
          </cell>
          <cell r="D1432" t="str">
            <v>MA440</v>
          </cell>
          <cell r="E1432">
            <v>0</v>
          </cell>
          <cell r="G1432">
            <v>1700201</v>
          </cell>
        </row>
        <row r="1433">
          <cell r="A1433">
            <v>1700232</v>
          </cell>
          <cell r="B1433" t="str">
            <v>DOOR CORE,2"X36.25"X84.25",LH AUTO</v>
          </cell>
          <cell r="C1433" t="str">
            <v>EA</v>
          </cell>
          <cell r="D1433" t="str">
            <v>MA100</v>
          </cell>
          <cell r="E1433">
            <v>285.55</v>
          </cell>
          <cell r="G1433">
            <v>1700232</v>
          </cell>
        </row>
        <row r="1434">
          <cell r="A1434">
            <v>1700311</v>
          </cell>
          <cell r="B1434" t="str">
            <v>WOOD D/J,DEC,37"x85"CO</v>
          </cell>
          <cell r="C1434" t="str">
            <v>EA</v>
          </cell>
          <cell r="D1434" t="str">
            <v>MA100</v>
          </cell>
          <cell r="E1434">
            <v>224.62020000000001</v>
          </cell>
          <cell r="G1434">
            <v>1700311</v>
          </cell>
        </row>
        <row r="1435">
          <cell r="A1435">
            <v>1700349</v>
          </cell>
          <cell r="B1435" t="str">
            <v>NUT,1/2-13 THIN HX SS 18-8 MCM91847A520</v>
          </cell>
          <cell r="C1435" t="str">
            <v>EA</v>
          </cell>
          <cell r="D1435" t="str">
            <v>RM100</v>
          </cell>
          <cell r="E1435">
            <v>0.2084</v>
          </cell>
          <cell r="G1435">
            <v>1700349</v>
          </cell>
        </row>
        <row r="1436">
          <cell r="A1436">
            <v>1700350</v>
          </cell>
          <cell r="B1436" t="str">
            <v>NUT,1/2-13 HEX SS 18-8 MCM91845A310</v>
          </cell>
          <cell r="C1436" t="str">
            <v>EA</v>
          </cell>
          <cell r="D1436" t="str">
            <v>RM100</v>
          </cell>
          <cell r="E1436">
            <v>0.21</v>
          </cell>
          <cell r="G1436">
            <v>1700350</v>
          </cell>
        </row>
        <row r="1437">
          <cell r="A1437">
            <v>1700351</v>
          </cell>
          <cell r="B1437" t="str">
            <v>KIT,PATIENT TABLE FRAME ANCHOR,GE,4ANC</v>
          </cell>
          <cell r="C1437" t="str">
            <v>EA</v>
          </cell>
          <cell r="D1437" t="str">
            <v>MA100</v>
          </cell>
          <cell r="E1437">
            <v>109.1486</v>
          </cell>
          <cell r="G1437">
            <v>1700351</v>
          </cell>
        </row>
        <row r="1438">
          <cell r="A1438">
            <v>1700360</v>
          </cell>
          <cell r="B1438" t="str">
            <v>CP-15.5X15.5-B(3/16)-3N,3BNC</v>
          </cell>
          <cell r="C1438" t="str">
            <v>EA</v>
          </cell>
          <cell r="D1438" t="str">
            <v>MA440</v>
          </cell>
          <cell r="E1438">
            <v>117.75539999999999</v>
          </cell>
          <cell r="G1438">
            <v>1700360</v>
          </cell>
        </row>
        <row r="1439">
          <cell r="A1439">
            <v>1700483</v>
          </cell>
          <cell r="B1439" t="str">
            <v>WOOD D/J,DEC,37"x85"CO,RH AUTO</v>
          </cell>
          <cell r="C1439" t="str">
            <v>EA</v>
          </cell>
          <cell r="D1439" t="str">
            <v>MA100</v>
          </cell>
          <cell r="E1439">
            <v>224.62020000000001</v>
          </cell>
          <cell r="G1439">
            <v>1700483</v>
          </cell>
        </row>
        <row r="1440">
          <cell r="A1440">
            <v>1700525</v>
          </cell>
          <cell r="B1440" t="str">
            <v>BOX, RF MONITOR 47x28x7.5,ALUM W/BRKTS</v>
          </cell>
          <cell r="C1440" t="str">
            <v>EA</v>
          </cell>
          <cell r="D1440" t="str">
            <v>RM100</v>
          </cell>
          <cell r="E1440">
            <v>1348.56</v>
          </cell>
          <cell r="G1440">
            <v>1700525</v>
          </cell>
        </row>
        <row r="1441">
          <cell r="A1441">
            <v>1700526</v>
          </cell>
          <cell r="B1441" t="str">
            <v>MONITOR ENCLOSURE 28x47 ASSY,50"DIAGNL</v>
          </cell>
          <cell r="C1441" t="str">
            <v>EA</v>
          </cell>
          <cell r="D1441" t="str">
            <v>MA100</v>
          </cell>
          <cell r="E1441">
            <v>3063.3495600000001</v>
          </cell>
          <cell r="G1441">
            <v>1700526</v>
          </cell>
        </row>
        <row r="1442">
          <cell r="A1442">
            <v>1700533</v>
          </cell>
          <cell r="B1442" t="str">
            <v>PLT, BRASS, 14" X 12" X 3/16" W/ HOLES</v>
          </cell>
          <cell r="C1442" t="str">
            <v>EA</v>
          </cell>
          <cell r="D1442" t="str">
            <v>MA100</v>
          </cell>
          <cell r="E1442">
            <v>261.88040000000001</v>
          </cell>
          <cell r="G1442">
            <v>1700533</v>
          </cell>
        </row>
        <row r="1443">
          <cell r="A1443">
            <v>1700671</v>
          </cell>
          <cell r="B1443" t="str">
            <v>ASSY,MRI WINDOW 26.375X45 NO GLS PNT WHT</v>
          </cell>
          <cell r="C1443" t="str">
            <v>EA</v>
          </cell>
          <cell r="D1443" t="str">
            <v>MA100</v>
          </cell>
          <cell r="E1443">
            <v>411.98894000000001</v>
          </cell>
          <cell r="G1443">
            <v>1700671</v>
          </cell>
        </row>
        <row r="1444">
          <cell r="A1444">
            <v>1700698</v>
          </cell>
          <cell r="B1444" t="str">
            <v>VENT,CRYO SS 10X32 SIEMENS  5.625" END</v>
          </cell>
          <cell r="C1444" t="str">
            <v>EA</v>
          </cell>
          <cell r="D1444" t="str">
            <v>RM100</v>
          </cell>
          <cell r="E1444">
            <v>842</v>
          </cell>
          <cell r="G1444">
            <v>1700698</v>
          </cell>
        </row>
        <row r="1445">
          <cell r="A1445">
            <v>1700900</v>
          </cell>
          <cell r="B1445" t="str">
            <v>EXTRU, ALUM. HDR/SILL MACH. 53"</v>
          </cell>
          <cell r="C1445" t="str">
            <v>EA</v>
          </cell>
          <cell r="D1445" t="str">
            <v>RM100</v>
          </cell>
          <cell r="E1445">
            <v>73.394900000000007</v>
          </cell>
          <cell r="G1445">
            <v>1700900</v>
          </cell>
        </row>
        <row r="1446">
          <cell r="A1446">
            <v>1700901</v>
          </cell>
          <cell r="B1446" t="str">
            <v>EXTRU, ALUM. HINGE SIDE 73.5"</v>
          </cell>
          <cell r="C1446" t="str">
            <v>EA</v>
          </cell>
          <cell r="D1446" t="str">
            <v>RM100</v>
          </cell>
          <cell r="E1446">
            <v>127.60599999999999</v>
          </cell>
          <cell r="G1446">
            <v>1700901</v>
          </cell>
        </row>
        <row r="1447">
          <cell r="A1447">
            <v>1700902</v>
          </cell>
          <cell r="B1447" t="str">
            <v>EXTRU, ALUM. LATCH SIDE MACH. 73.5"</v>
          </cell>
          <cell r="C1447" t="str">
            <v>EA</v>
          </cell>
          <cell r="D1447" t="str">
            <v>RM100</v>
          </cell>
          <cell r="E1447">
            <v>118.71299999999999</v>
          </cell>
          <cell r="G1447">
            <v>1700902</v>
          </cell>
        </row>
        <row r="1448">
          <cell r="A1448">
            <v>1700903</v>
          </cell>
          <cell r="B1448" t="str">
            <v>DOOR,MR4,BLANK 48.25X68.75</v>
          </cell>
          <cell r="C1448" t="str">
            <v>EA</v>
          </cell>
          <cell r="D1448" t="str">
            <v>MA100</v>
          </cell>
          <cell r="E1448">
            <v>199.07499999999999</v>
          </cell>
          <cell r="G1448">
            <v>1700903</v>
          </cell>
        </row>
        <row r="1449">
          <cell r="A1449">
            <v>1700923</v>
          </cell>
          <cell r="B1449" t="str">
            <v>ASSY, HATCH DOOR [LAMBOO] 48.25"x68.75"</v>
          </cell>
          <cell r="C1449" t="str">
            <v>EA</v>
          </cell>
          <cell r="D1449" t="str">
            <v>MA100</v>
          </cell>
          <cell r="E1449">
            <v>1664.77756</v>
          </cell>
          <cell r="G1449">
            <v>1700923</v>
          </cell>
        </row>
        <row r="1450">
          <cell r="A1450">
            <v>1700976</v>
          </cell>
          <cell r="B1450" t="str">
            <v>LABEL,COMPRESSOR CIRCUIT WARNING</v>
          </cell>
          <cell r="C1450" t="str">
            <v>EA</v>
          </cell>
          <cell r="D1450" t="str">
            <v>RM100</v>
          </cell>
          <cell r="E1450">
            <v>0</v>
          </cell>
          <cell r="G1450">
            <v>1700976</v>
          </cell>
        </row>
        <row r="1451">
          <cell r="A1451">
            <v>1701001</v>
          </cell>
          <cell r="B1451" t="str">
            <v>VENT,CRYO SS 8X32 SIEMENS 12-20</v>
          </cell>
          <cell r="C1451" t="str">
            <v>EA</v>
          </cell>
          <cell r="D1451" t="str">
            <v>RM100</v>
          </cell>
          <cell r="E1451">
            <v>494</v>
          </cell>
          <cell r="G1451">
            <v>1701001</v>
          </cell>
        </row>
        <row r="1452">
          <cell r="A1452">
            <v>1701120</v>
          </cell>
          <cell r="B1452" t="str">
            <v>EVO,AIR, 6X7 DBL,RH OS ACTIVE (3-3)</v>
          </cell>
          <cell r="C1452" t="str">
            <v>EA</v>
          </cell>
          <cell r="D1452" t="str">
            <v>MA100</v>
          </cell>
          <cell r="E1452">
            <v>13499.19</v>
          </cell>
          <cell r="G1452">
            <v>1701120</v>
          </cell>
        </row>
        <row r="1453">
          <cell r="A1453">
            <v>1701349</v>
          </cell>
          <cell r="B1453" t="str">
            <v>VENT,CRYO SS10X45.875 SIEMENSW/16X16X1/4</v>
          </cell>
          <cell r="C1453" t="str">
            <v>EA</v>
          </cell>
          <cell r="D1453" t="str">
            <v>RM100</v>
          </cell>
          <cell r="E1453">
            <v>1120</v>
          </cell>
          <cell r="G1453">
            <v>1701349</v>
          </cell>
        </row>
        <row r="1454">
          <cell r="A1454">
            <v>1701371</v>
          </cell>
          <cell r="B1454" t="str">
            <v>EVO FRAME,4X7 IA</v>
          </cell>
          <cell r="C1454" t="str">
            <v>EA</v>
          </cell>
          <cell r="D1454" t="str">
            <v>RM100</v>
          </cell>
          <cell r="E1454">
            <v>250</v>
          </cell>
          <cell r="G1454">
            <v>1701371</v>
          </cell>
        </row>
        <row r="1455">
          <cell r="A1455">
            <v>1701372</v>
          </cell>
          <cell r="B1455" t="str">
            <v>EVO FRAME,4' IA NOM TOP MEMBER</v>
          </cell>
          <cell r="C1455" t="str">
            <v>EA</v>
          </cell>
          <cell r="D1455" t="str">
            <v>RM100</v>
          </cell>
          <cell r="E1455">
            <v>30</v>
          </cell>
          <cell r="G1455">
            <v>1701372</v>
          </cell>
        </row>
        <row r="1456">
          <cell r="A1456">
            <v>1701373</v>
          </cell>
          <cell r="B1456" t="str">
            <v>EVO FRAME,4' IA NOM CROSS MEMBER</v>
          </cell>
          <cell r="C1456" t="str">
            <v>EA</v>
          </cell>
          <cell r="D1456" t="str">
            <v>RM100</v>
          </cell>
          <cell r="E1456">
            <v>30</v>
          </cell>
          <cell r="G1456">
            <v>1701373</v>
          </cell>
        </row>
        <row r="1457">
          <cell r="A1457">
            <v>1701374</v>
          </cell>
          <cell r="B1457" t="str">
            <v>NRF PANEL,4X7,BLANK,IA</v>
          </cell>
          <cell r="C1457" t="str">
            <v>EA</v>
          </cell>
          <cell r="D1457" t="str">
            <v>RM100</v>
          </cell>
          <cell r="E1457">
            <v>150</v>
          </cell>
          <cell r="G1457">
            <v>1701374</v>
          </cell>
        </row>
        <row r="1458">
          <cell r="A1458">
            <v>1701375</v>
          </cell>
          <cell r="B1458" t="str">
            <v>RF PANEL,4X7,BLANK,IA</v>
          </cell>
          <cell r="C1458" t="str">
            <v>EA</v>
          </cell>
          <cell r="D1458" t="str">
            <v>RM100</v>
          </cell>
          <cell r="E1458">
            <v>150</v>
          </cell>
          <cell r="G1458">
            <v>1701375</v>
          </cell>
        </row>
        <row r="1459">
          <cell r="A1459">
            <v>1701376</v>
          </cell>
          <cell r="B1459" t="str">
            <v>EVO 4' IA DOOR,CARTRIDGE NUT BAR</v>
          </cell>
          <cell r="C1459" t="str">
            <v>EA</v>
          </cell>
          <cell r="D1459" t="str">
            <v>RM100</v>
          </cell>
          <cell r="E1459">
            <v>50</v>
          </cell>
          <cell r="G1459">
            <v>1701376</v>
          </cell>
        </row>
        <row r="1460">
          <cell r="A1460">
            <v>1701377</v>
          </cell>
          <cell r="B1460" t="str">
            <v>4' INACTIVE EDGE GUARD</v>
          </cell>
          <cell r="C1460" t="str">
            <v>EA</v>
          </cell>
          <cell r="D1460" t="str">
            <v>RM100</v>
          </cell>
          <cell r="E1460">
            <v>50</v>
          </cell>
          <cell r="G1460">
            <v>1701377</v>
          </cell>
        </row>
        <row r="1461">
          <cell r="A1461">
            <v>1701378</v>
          </cell>
          <cell r="B1461" t="str">
            <v>PNEUMATIC SYSTEM CARTRIDGE CORE,48"INACT</v>
          </cell>
          <cell r="C1461" t="str">
            <v>EA</v>
          </cell>
          <cell r="D1461" t="str">
            <v>RM100</v>
          </cell>
          <cell r="E1461">
            <v>200</v>
          </cell>
          <cell r="G1461">
            <v>1701378</v>
          </cell>
        </row>
        <row r="1462">
          <cell r="A1462">
            <v>1701379</v>
          </cell>
          <cell r="B1462" t="str">
            <v>4' INACTIVE RF SEAL HOLDER</v>
          </cell>
          <cell r="C1462" t="str">
            <v>EA</v>
          </cell>
          <cell r="D1462" t="str">
            <v>RM100</v>
          </cell>
          <cell r="E1462">
            <v>25</v>
          </cell>
          <cell r="G1462">
            <v>1701379</v>
          </cell>
        </row>
        <row r="1463">
          <cell r="A1463">
            <v>1701380</v>
          </cell>
          <cell r="B1463" t="str">
            <v>4' INACTIVE RF SEAL</v>
          </cell>
          <cell r="C1463" t="str">
            <v>EA</v>
          </cell>
          <cell r="D1463" t="str">
            <v>RM100</v>
          </cell>
          <cell r="E1463">
            <v>75</v>
          </cell>
          <cell r="G1463">
            <v>1701380</v>
          </cell>
        </row>
        <row r="1464">
          <cell r="A1464">
            <v>1701381</v>
          </cell>
          <cell r="B1464" t="str">
            <v>4' INACTIVE COVER PLATE</v>
          </cell>
          <cell r="C1464" t="str">
            <v>EA</v>
          </cell>
          <cell r="D1464" t="str">
            <v>RM100</v>
          </cell>
          <cell r="E1464">
            <v>75</v>
          </cell>
          <cell r="G1464">
            <v>1701381</v>
          </cell>
        </row>
        <row r="1465">
          <cell r="A1465">
            <v>1701382</v>
          </cell>
          <cell r="B1465" t="str">
            <v>4' INACTIVE SEAL ROD</v>
          </cell>
          <cell r="C1465" t="str">
            <v>EA</v>
          </cell>
          <cell r="D1465" t="str">
            <v>RM100</v>
          </cell>
          <cell r="E1465">
            <v>63.707999999999998</v>
          </cell>
          <cell r="G1465">
            <v>1701382</v>
          </cell>
        </row>
        <row r="1466">
          <cell r="A1466">
            <v>1701383</v>
          </cell>
          <cell r="B1466" t="str">
            <v>JAMB HEADER,FOR 8'W EVO</v>
          </cell>
          <cell r="C1466" t="str">
            <v>EA</v>
          </cell>
          <cell r="D1466" t="str">
            <v>RM100</v>
          </cell>
          <cell r="E1466">
            <v>250</v>
          </cell>
          <cell r="G1466">
            <v>1701383</v>
          </cell>
        </row>
        <row r="1467">
          <cell r="A1467">
            <v>1701384</v>
          </cell>
          <cell r="B1467" t="str">
            <v>FLAT THRESHOLD,FOR 8'W EVO</v>
          </cell>
          <cell r="C1467" t="str">
            <v>EA</v>
          </cell>
          <cell r="D1467" t="str">
            <v>RM100</v>
          </cell>
          <cell r="E1467">
            <v>170.26334</v>
          </cell>
          <cell r="G1467">
            <v>1701384</v>
          </cell>
        </row>
        <row r="1468">
          <cell r="A1468">
            <v>1701385</v>
          </cell>
          <cell r="B1468" t="str">
            <v>STANLEY BOX MOUNTING PLATE,105"</v>
          </cell>
          <cell r="C1468" t="str">
            <v>EA</v>
          </cell>
          <cell r="D1468" t="str">
            <v>RM100</v>
          </cell>
          <cell r="E1468">
            <v>100</v>
          </cell>
          <cell r="G1468">
            <v>1701385</v>
          </cell>
        </row>
        <row r="1469">
          <cell r="A1469">
            <v>1701386</v>
          </cell>
          <cell r="B1469" t="str">
            <v>ENCLOSURE,AUTO OPERATOR,DUAL,105"L</v>
          </cell>
          <cell r="C1469" t="str">
            <v>EA</v>
          </cell>
          <cell r="D1469" t="str">
            <v>RM100</v>
          </cell>
          <cell r="E1469">
            <v>200</v>
          </cell>
          <cell r="G1469">
            <v>1701386</v>
          </cell>
        </row>
        <row r="1470">
          <cell r="A1470">
            <v>1701387</v>
          </cell>
          <cell r="B1470" t="str">
            <v>MDF PANEL,EVO 4X7,IA,BLANK</v>
          </cell>
          <cell r="C1470" t="str">
            <v>EA</v>
          </cell>
          <cell r="D1470" t="str">
            <v>MA100</v>
          </cell>
          <cell r="E1470">
            <v>48.024999999999999</v>
          </cell>
          <cell r="G1470">
            <v>1701387</v>
          </cell>
        </row>
        <row r="1471">
          <cell r="A1471">
            <v>1701388</v>
          </cell>
          <cell r="B1471" t="str">
            <v>MDF PANEL,EVO 4X7,BLANK</v>
          </cell>
          <cell r="C1471" t="str">
            <v>EA</v>
          </cell>
          <cell r="D1471" t="str">
            <v>MA100</v>
          </cell>
          <cell r="E1471">
            <v>48.024999999999999</v>
          </cell>
          <cell r="G1471">
            <v>1701388</v>
          </cell>
        </row>
        <row r="1472">
          <cell r="A1472">
            <v>1701389</v>
          </cell>
          <cell r="B1472" t="str">
            <v>MDF PANEL,EVO 3X7,BLANK</v>
          </cell>
          <cell r="C1472" t="str">
            <v>EA</v>
          </cell>
          <cell r="D1472" t="str">
            <v>MA100</v>
          </cell>
          <cell r="E1472">
            <v>48.024999999999999</v>
          </cell>
          <cell r="G1472">
            <v>1701389</v>
          </cell>
        </row>
        <row r="1473">
          <cell r="A1473">
            <v>1701390</v>
          </cell>
          <cell r="B1473" t="str">
            <v>PLACEHOLDER,NO DELETE</v>
          </cell>
          <cell r="C1473" t="str">
            <v>EA</v>
          </cell>
          <cell r="D1473" t="str">
            <v>MA100</v>
          </cell>
          <cell r="E1473">
            <v>0</v>
          </cell>
          <cell r="G1473">
            <v>1701390</v>
          </cell>
        </row>
        <row r="1474">
          <cell r="A1474">
            <v>1701391</v>
          </cell>
          <cell r="B1474" t="str">
            <v>EVO DOOR SLAB,4X7,BLANK,IA</v>
          </cell>
          <cell r="C1474" t="str">
            <v>EA</v>
          </cell>
          <cell r="D1474" t="str">
            <v>MA100</v>
          </cell>
          <cell r="E1474">
            <v>2317.8376800000001</v>
          </cell>
          <cell r="G1474">
            <v>1701391</v>
          </cell>
        </row>
        <row r="1475">
          <cell r="A1475">
            <v>1701392</v>
          </cell>
          <cell r="B1475" t="str">
            <v>EVO JAMB,8X7</v>
          </cell>
          <cell r="C1475" t="str">
            <v>EA</v>
          </cell>
          <cell r="D1475" t="str">
            <v>MA100</v>
          </cell>
          <cell r="E1475">
            <v>2985.15344</v>
          </cell>
          <cell r="G1475">
            <v>1701392</v>
          </cell>
        </row>
        <row r="1476">
          <cell r="A1476">
            <v>1701399</v>
          </cell>
          <cell r="B1476" t="str">
            <v>KIT,OPERATOR,EVO,RH,OS,DUAL,8'</v>
          </cell>
          <cell r="C1476" t="str">
            <v>EA</v>
          </cell>
          <cell r="D1476" t="str">
            <v>MA100</v>
          </cell>
          <cell r="E1476">
            <v>5017.7390999999998</v>
          </cell>
          <cell r="G1476">
            <v>1701399</v>
          </cell>
        </row>
        <row r="1477">
          <cell r="A1477">
            <v>1701400</v>
          </cell>
          <cell r="B1477" t="str">
            <v>EVO 8X7 DBL,RH OS ACTIVE (4-4)</v>
          </cell>
          <cell r="C1477" t="str">
            <v>EA</v>
          </cell>
          <cell r="D1477" t="str">
            <v>MA100</v>
          </cell>
          <cell r="E1477">
            <v>13703.7</v>
          </cell>
          <cell r="G1477">
            <v>1701400</v>
          </cell>
        </row>
        <row r="1478">
          <cell r="A1478">
            <v>1701407</v>
          </cell>
          <cell r="B1478" t="str">
            <v>VENT,CRYO SS 6X24 SIEMENS 14.125" INSIDE</v>
          </cell>
          <cell r="C1478" t="str">
            <v>EA</v>
          </cell>
          <cell r="D1478" t="str">
            <v>RM100</v>
          </cell>
          <cell r="E1478">
            <v>380</v>
          </cell>
          <cell r="G1478">
            <v>1701407</v>
          </cell>
        </row>
        <row r="1479">
          <cell r="A1479">
            <v>1701780</v>
          </cell>
          <cell r="B1479" t="str">
            <v>CRYO,TOSHIBA,6"X30",25.5 INSIDE</v>
          </cell>
          <cell r="C1479" t="str">
            <v>EA</v>
          </cell>
          <cell r="D1479" t="str">
            <v>RM100</v>
          </cell>
          <cell r="E1479">
            <v>0</v>
          </cell>
          <cell r="G1479">
            <v>1701780</v>
          </cell>
        </row>
        <row r="1480">
          <cell r="A1480">
            <v>1702431</v>
          </cell>
          <cell r="B1480" t="str">
            <v>ASSY,5240-30,2'X2'DOOR,LHS,CUSTOM</v>
          </cell>
          <cell r="C1480" t="str">
            <v>EA</v>
          </cell>
          <cell r="D1480" t="str">
            <v>MA100</v>
          </cell>
          <cell r="E1480">
            <v>5426.0998200000004</v>
          </cell>
          <cell r="G1480">
            <v>1702431</v>
          </cell>
        </row>
        <row r="1481">
          <cell r="A1481">
            <v>1702432</v>
          </cell>
          <cell r="B1481" t="str">
            <v>ASSY,5240-30,2'X2'DOOR,RHS,CUSTOM</v>
          </cell>
          <cell r="C1481" t="str">
            <v>EA</v>
          </cell>
          <cell r="D1481" t="str">
            <v>MA100</v>
          </cell>
          <cell r="E1481">
            <v>5426.0998200000004</v>
          </cell>
          <cell r="G1481">
            <v>1702432</v>
          </cell>
        </row>
        <row r="1482">
          <cell r="A1482">
            <v>1702938</v>
          </cell>
          <cell r="B1482" t="str">
            <v>VENT,CRYO SS 6X24 SIEMENS 11.5" INSIDE</v>
          </cell>
          <cell r="C1482" t="str">
            <v>EA</v>
          </cell>
          <cell r="D1482" t="str">
            <v>RM100</v>
          </cell>
          <cell r="E1482">
            <v>380</v>
          </cell>
          <cell r="G1482">
            <v>1702938</v>
          </cell>
        </row>
        <row r="1483">
          <cell r="A1483">
            <v>1703123</v>
          </cell>
          <cell r="B1483" t="str">
            <v>PLT,BR,12"x18"x1/8",SUB PLT/DB</v>
          </cell>
          <cell r="C1483" t="str">
            <v>EA</v>
          </cell>
          <cell r="D1483" t="str">
            <v>MA100</v>
          </cell>
          <cell r="E1483">
            <v>150.9092</v>
          </cell>
          <cell r="G1483">
            <v>1703123</v>
          </cell>
        </row>
        <row r="1484">
          <cell r="A1484">
            <v>1703197</v>
          </cell>
          <cell r="B1484" t="str">
            <v>CPA-12x12-B-8SMA,USB2.0/ETHERNET,HDMI</v>
          </cell>
          <cell r="C1484" t="str">
            <v>EA</v>
          </cell>
          <cell r="D1484" t="str">
            <v>MA100</v>
          </cell>
          <cell r="E1484">
            <v>318.12889999999999</v>
          </cell>
          <cell r="G1484">
            <v>1703197</v>
          </cell>
        </row>
        <row r="1485">
          <cell r="A1485">
            <v>1703198</v>
          </cell>
          <cell r="B1485" t="str">
            <v>FILTER,USB2.0/ETHERNET COMBO,PASSIVE</v>
          </cell>
          <cell r="C1485" t="str">
            <v>EA</v>
          </cell>
          <cell r="D1485" t="str">
            <v>RM100</v>
          </cell>
          <cell r="E1485">
            <v>689</v>
          </cell>
          <cell r="G1485">
            <v>1703198</v>
          </cell>
        </row>
        <row r="1486">
          <cell r="A1486">
            <v>1703199</v>
          </cell>
          <cell r="B1486" t="str">
            <v>FILTER,HDMI,PASSIVE</v>
          </cell>
          <cell r="C1486" t="str">
            <v>EA</v>
          </cell>
          <cell r="D1486" t="str">
            <v>RM100</v>
          </cell>
          <cell r="E1486">
            <v>429</v>
          </cell>
          <cell r="G1486">
            <v>1703199</v>
          </cell>
        </row>
        <row r="1487">
          <cell r="A1487">
            <v>1703200</v>
          </cell>
          <cell r="B1487" t="str">
            <v>LFB,GREY FLEX 2 1/4" THK CUSTOM</v>
          </cell>
          <cell r="C1487" t="str">
            <v>EA</v>
          </cell>
          <cell r="D1487" t="str">
            <v>FG201</v>
          </cell>
          <cell r="E1487">
            <v>48.168529999999997</v>
          </cell>
          <cell r="G1487">
            <v>1703200</v>
          </cell>
        </row>
        <row r="1488">
          <cell r="A1488">
            <v>1703201</v>
          </cell>
          <cell r="B1488" t="str">
            <v>LFB,GREY FLEX 2 1/4" THK CUSTOM</v>
          </cell>
          <cell r="C1488" t="str">
            <v>EA</v>
          </cell>
          <cell r="D1488" t="str">
            <v>FG201</v>
          </cell>
          <cell r="E1488">
            <v>48.168529999999997</v>
          </cell>
          <cell r="G1488">
            <v>1703201</v>
          </cell>
        </row>
        <row r="1489">
          <cell r="A1489">
            <v>1703202</v>
          </cell>
          <cell r="B1489" t="str">
            <v>LFB,GREY FLEX 2 1/4" THK CUSTOM</v>
          </cell>
          <cell r="C1489" t="str">
            <v>EA</v>
          </cell>
          <cell r="D1489" t="str">
            <v>FG201</v>
          </cell>
          <cell r="E1489">
            <v>48.168529999999997</v>
          </cell>
          <cell r="G1489">
            <v>1703202</v>
          </cell>
        </row>
        <row r="1490">
          <cell r="A1490">
            <v>1703203</v>
          </cell>
          <cell r="B1490" t="str">
            <v>LFB,GREY FLEX 2 1/4" THK CUSTOM</v>
          </cell>
          <cell r="C1490" t="str">
            <v>EA</v>
          </cell>
          <cell r="D1490" t="str">
            <v>FG201</v>
          </cell>
          <cell r="E1490">
            <v>48.168529999999997</v>
          </cell>
          <cell r="G1490">
            <v>1703203</v>
          </cell>
        </row>
        <row r="1491">
          <cell r="A1491">
            <v>1703204</v>
          </cell>
          <cell r="B1491" t="str">
            <v>LFB,GREY FLEX 2 1/4" THK CUSTOM</v>
          </cell>
          <cell r="C1491" t="str">
            <v>EA</v>
          </cell>
          <cell r="D1491" t="str">
            <v>FG201</v>
          </cell>
          <cell r="E1491">
            <v>48.168529999999997</v>
          </cell>
          <cell r="G1491">
            <v>1703204</v>
          </cell>
        </row>
        <row r="1492">
          <cell r="A1492">
            <v>1703205</v>
          </cell>
          <cell r="B1492" t="str">
            <v>LFB,GREY FLEX 2 1/4" THK CUSTOM</v>
          </cell>
          <cell r="C1492" t="str">
            <v>EA</v>
          </cell>
          <cell r="D1492" t="str">
            <v>FG201</v>
          </cell>
          <cell r="E1492">
            <v>48.168529999999997</v>
          </cell>
          <cell r="G1492">
            <v>1703205</v>
          </cell>
        </row>
        <row r="1493">
          <cell r="A1493">
            <v>1703206</v>
          </cell>
          <cell r="B1493" t="str">
            <v>LFB,GREY FLEX 2 1/4" THK CUSTOM</v>
          </cell>
          <cell r="C1493" t="str">
            <v>EA</v>
          </cell>
          <cell r="D1493" t="str">
            <v>FG201</v>
          </cell>
          <cell r="E1493">
            <v>48.168529999999997</v>
          </cell>
          <cell r="G1493">
            <v>1703206</v>
          </cell>
        </row>
        <row r="1494">
          <cell r="A1494">
            <v>1703207</v>
          </cell>
          <cell r="B1494" t="str">
            <v>LFB,GREY FLEX 2 1/4" THK CUSTOM</v>
          </cell>
          <cell r="C1494" t="str">
            <v>EA</v>
          </cell>
          <cell r="D1494" t="str">
            <v>FG201</v>
          </cell>
          <cell r="E1494">
            <v>48.168529999999997</v>
          </cell>
          <cell r="G1494">
            <v>1703207</v>
          </cell>
        </row>
        <row r="1495">
          <cell r="A1495">
            <v>1703210</v>
          </cell>
          <cell r="B1495" t="str">
            <v>LFB,GREY FLEX 2 1/4" THK CUSTOM</v>
          </cell>
          <cell r="C1495" t="str">
            <v>EA</v>
          </cell>
          <cell r="D1495" t="str">
            <v>FG201</v>
          </cell>
          <cell r="E1495">
            <v>48.168529999999997</v>
          </cell>
          <cell r="G1495">
            <v>1703210</v>
          </cell>
        </row>
        <row r="1496">
          <cell r="A1496">
            <v>1703211</v>
          </cell>
          <cell r="B1496" t="str">
            <v>LFB,GREY FLEX 2 1/4" THK CUSTOM</v>
          </cell>
          <cell r="C1496" t="str">
            <v>EA</v>
          </cell>
          <cell r="D1496" t="str">
            <v>FG201</v>
          </cell>
          <cell r="E1496">
            <v>48.168529999999997</v>
          </cell>
          <cell r="G1496">
            <v>1703211</v>
          </cell>
        </row>
        <row r="1497">
          <cell r="A1497">
            <v>1703212</v>
          </cell>
          <cell r="B1497" t="str">
            <v>LFB,GREY FLEX 2 1/4" THK CUSTOM</v>
          </cell>
          <cell r="C1497" t="str">
            <v>EA</v>
          </cell>
          <cell r="D1497" t="str">
            <v>FG201</v>
          </cell>
          <cell r="E1497">
            <v>48.168529999999997</v>
          </cell>
          <cell r="G1497">
            <v>1703212</v>
          </cell>
        </row>
        <row r="1498">
          <cell r="A1498">
            <v>1703214</v>
          </cell>
          <cell r="B1498" t="str">
            <v>FF,GREY 2 1/4" THK CUSTOM</v>
          </cell>
          <cell r="C1498" t="str">
            <v>EA</v>
          </cell>
          <cell r="D1498" t="str">
            <v>FG201</v>
          </cell>
          <cell r="E1498">
            <v>52.91263</v>
          </cell>
          <cell r="G1498">
            <v>1703214</v>
          </cell>
        </row>
        <row r="1499">
          <cell r="A1499">
            <v>1703221</v>
          </cell>
          <cell r="B1499" t="str">
            <v>TEMPLATE,MIN,MANUFACTURED PARTS</v>
          </cell>
          <cell r="C1499" t="str">
            <v>EA</v>
          </cell>
          <cell r="D1499" t="str">
            <v>MA100</v>
          </cell>
          <cell r="E1499">
            <v>0</v>
          </cell>
          <cell r="G1499">
            <v>1703221</v>
          </cell>
        </row>
        <row r="1500">
          <cell r="A1500">
            <v>1703222</v>
          </cell>
          <cell r="B1500" t="str">
            <v>TEMPLATE,MIN,MANUFACTURED PARTS</v>
          </cell>
          <cell r="C1500" t="str">
            <v>EA</v>
          </cell>
          <cell r="D1500" t="str">
            <v>MA100</v>
          </cell>
          <cell r="E1500">
            <v>0</v>
          </cell>
          <cell r="G1500">
            <v>1703222</v>
          </cell>
        </row>
        <row r="1501">
          <cell r="A1501">
            <v>1703227</v>
          </cell>
          <cell r="B1501" t="str">
            <v>CRYO,CANON,6"X24", 12" END FLOATING FLNG</v>
          </cell>
          <cell r="C1501" t="str">
            <v>EA</v>
          </cell>
          <cell r="D1501" t="str">
            <v>MA100</v>
          </cell>
          <cell r="E1501">
            <v>0</v>
          </cell>
          <cell r="G1501">
            <v>1703227</v>
          </cell>
        </row>
        <row r="1502">
          <cell r="A1502">
            <v>1703555</v>
          </cell>
          <cell r="B1502" t="str">
            <v>CRYO,TOSHIBA,6"X61 7/8",23 7/8" INSIDE</v>
          </cell>
          <cell r="C1502" t="str">
            <v>EA</v>
          </cell>
          <cell r="D1502" t="str">
            <v>RM100</v>
          </cell>
          <cell r="E1502">
            <v>0</v>
          </cell>
          <cell r="G1502">
            <v>1703555</v>
          </cell>
        </row>
        <row r="1503">
          <cell r="A1503">
            <v>1703623</v>
          </cell>
          <cell r="B1503" t="str">
            <v>CP-12x12-B-8SMA,USB2.0/ETHERNET,HDMI</v>
          </cell>
          <cell r="C1503" t="str">
            <v>EA</v>
          </cell>
          <cell r="D1503" t="str">
            <v>MA440</v>
          </cell>
          <cell r="E1503">
            <v>159.8115</v>
          </cell>
          <cell r="G1503">
            <v>1703623</v>
          </cell>
        </row>
        <row r="1504">
          <cell r="A1504">
            <v>1703704</v>
          </cell>
          <cell r="B1504" t="str">
            <v>RACEWAY,1/2" X 3/4" X 120",WRAP,W/ADH</v>
          </cell>
          <cell r="C1504" t="str">
            <v>EA</v>
          </cell>
          <cell r="D1504" t="str">
            <v>RM100</v>
          </cell>
          <cell r="E1504">
            <v>0</v>
          </cell>
          <cell r="G1504">
            <v>1703704</v>
          </cell>
        </row>
        <row r="1505">
          <cell r="A1505">
            <v>1703730</v>
          </cell>
          <cell r="B1505" t="str">
            <v>CRYOGEN 8"Ø W/14"X14"X1/4" 13.25" INSIDE</v>
          </cell>
          <cell r="C1505" t="str">
            <v>EA</v>
          </cell>
          <cell r="D1505" t="str">
            <v>RM100</v>
          </cell>
          <cell r="E1505">
            <v>0</v>
          </cell>
          <cell r="G1505">
            <v>1703730</v>
          </cell>
        </row>
        <row r="1506">
          <cell r="A1506">
            <v>1703739</v>
          </cell>
          <cell r="B1506" t="str">
            <v>VENT,CRYO SS 6X24 SIEMENS 13.125" INSIDE</v>
          </cell>
          <cell r="C1506" t="str">
            <v>EA</v>
          </cell>
          <cell r="D1506" t="str">
            <v>RM100</v>
          </cell>
          <cell r="E1506">
            <v>0</v>
          </cell>
          <cell r="G1506">
            <v>1703739</v>
          </cell>
        </row>
        <row r="1507">
          <cell r="A1507">
            <v>1703799</v>
          </cell>
          <cell r="B1507" t="str">
            <v>BRKT,IOSD COVER MOUNT,NOTCHED GUSSET</v>
          </cell>
          <cell r="C1507" t="str">
            <v>EA</v>
          </cell>
          <cell r="D1507" t="str">
            <v>RM100</v>
          </cell>
          <cell r="E1507">
            <v>0</v>
          </cell>
          <cell r="G1507">
            <v>1703799</v>
          </cell>
        </row>
        <row r="1508">
          <cell r="A1508">
            <v>1703800</v>
          </cell>
          <cell r="B1508" t="str">
            <v>3' THRESHOLD SHIM,1/16",EVO</v>
          </cell>
          <cell r="C1508" t="str">
            <v>EA</v>
          </cell>
          <cell r="D1508" t="str">
            <v>RM100</v>
          </cell>
          <cell r="E1508">
            <v>0</v>
          </cell>
          <cell r="G1508">
            <v>1703800</v>
          </cell>
        </row>
        <row r="1509">
          <cell r="A1509">
            <v>1703805</v>
          </cell>
          <cell r="B1509" t="str">
            <v>4' THRESHOLD SHIM,1/16",EVO</v>
          </cell>
          <cell r="C1509" t="str">
            <v>EA</v>
          </cell>
          <cell r="D1509" t="str">
            <v>RM100</v>
          </cell>
          <cell r="E1509">
            <v>0</v>
          </cell>
          <cell r="G1509">
            <v>1703805</v>
          </cell>
        </row>
        <row r="1510">
          <cell r="A1510">
            <v>1703806</v>
          </cell>
          <cell r="B1510" t="str">
            <v>6' THRESHOLD SHIM,1/16",EVO</v>
          </cell>
          <cell r="C1510" t="str">
            <v>EA</v>
          </cell>
          <cell r="D1510" t="str">
            <v>RM100</v>
          </cell>
          <cell r="E1510">
            <v>0</v>
          </cell>
          <cell r="G1510">
            <v>1703806</v>
          </cell>
        </row>
        <row r="1511">
          <cell r="A1511">
            <v>1703807</v>
          </cell>
          <cell r="B1511" t="str">
            <v>TEMPLATE, MIN, PURCHASED PARTS</v>
          </cell>
          <cell r="C1511" t="str">
            <v>EA</v>
          </cell>
          <cell r="D1511" t="str">
            <v>RM100</v>
          </cell>
          <cell r="E1511">
            <v>0</v>
          </cell>
          <cell r="G1511">
            <v>1703807</v>
          </cell>
        </row>
        <row r="1512">
          <cell r="A1512">
            <v>1703808</v>
          </cell>
          <cell r="B1512" t="str">
            <v>8' THRESHOLD SHIM,1/16",EVO</v>
          </cell>
          <cell r="C1512" t="str">
            <v>EA</v>
          </cell>
          <cell r="D1512" t="str">
            <v>RM100</v>
          </cell>
          <cell r="E1512">
            <v>0</v>
          </cell>
          <cell r="G1512">
            <v>1703808</v>
          </cell>
        </row>
        <row r="1513">
          <cell r="A1513">
            <v>1704156</v>
          </cell>
          <cell r="B1513" t="str">
            <v>SCR,#10X4" FH,PH,STL,ZN  WOOD SCREW</v>
          </cell>
          <cell r="C1513" t="str">
            <v>EA</v>
          </cell>
          <cell r="D1513" t="str">
            <v>RM100</v>
          </cell>
          <cell r="E1513">
            <v>0.2</v>
          </cell>
          <cell r="G1513">
            <v>1704156</v>
          </cell>
        </row>
        <row r="1514">
          <cell r="A1514">
            <v>1704157</v>
          </cell>
          <cell r="B1514" t="str">
            <v>SCR,1/4x6 HH LAG STL ZN</v>
          </cell>
          <cell r="C1514" t="str">
            <v>EA</v>
          </cell>
          <cell r="D1514" t="str">
            <v>RM100</v>
          </cell>
          <cell r="E1514">
            <v>0.65</v>
          </cell>
          <cell r="G1514">
            <v>1704157</v>
          </cell>
        </row>
        <row r="1515">
          <cell r="A1515">
            <v>1709830</v>
          </cell>
          <cell r="B1515" t="str">
            <v>SCR,#12-11x1-1/2,FH,PH,STL ZN</v>
          </cell>
          <cell r="C1515" t="str">
            <v>EA</v>
          </cell>
          <cell r="D1515" t="str">
            <v>RM100</v>
          </cell>
          <cell r="E1515">
            <v>5.4800000000000001E-2</v>
          </cell>
          <cell r="G1515">
            <v>1709830</v>
          </cell>
        </row>
        <row r="1516">
          <cell r="A1516">
            <v>1712428</v>
          </cell>
          <cell r="B1516" t="str">
            <v>EVO,AIR, 6x8 DBL,RH ACTIVE,IS (4-2)</v>
          </cell>
          <cell r="C1516" t="str">
            <v>EA</v>
          </cell>
          <cell r="D1516" t="str">
            <v>RM100</v>
          </cell>
          <cell r="E1516">
            <v>13028.55</v>
          </cell>
          <cell r="G1516">
            <v>1712428</v>
          </cell>
        </row>
        <row r="1517">
          <cell r="A1517">
            <v>200050</v>
          </cell>
          <cell r="B1517" t="str">
            <v>AS2 Template Field Relam</v>
          </cell>
          <cell r="C1517" t="str">
            <v>EA</v>
          </cell>
          <cell r="D1517" t="str">
            <v>MA100</v>
          </cell>
          <cell r="E1517">
            <v>7.2062499999999998</v>
          </cell>
          <cell r="G1517">
            <v>200050</v>
          </cell>
        </row>
        <row r="1518">
          <cell r="A1518">
            <v>200100</v>
          </cell>
          <cell r="B1518" t="str">
            <v>ABSBR,MICRO .5"x.875"x24"</v>
          </cell>
          <cell r="C1518" t="str">
            <v>EA</v>
          </cell>
          <cell r="D1518" t="str">
            <v>FG201</v>
          </cell>
          <cell r="E1518">
            <v>79.010000000000005</v>
          </cell>
          <cell r="G1518">
            <v>200100</v>
          </cell>
        </row>
        <row r="1519">
          <cell r="A1519">
            <v>200101</v>
          </cell>
          <cell r="B1519" t="str">
            <v>ABSBR,MICRO 3/8IN SQ X 24IN</v>
          </cell>
          <cell r="C1519" t="str">
            <v>EA</v>
          </cell>
          <cell r="D1519" t="str">
            <v>FG201</v>
          </cell>
          <cell r="E1519">
            <v>67.77</v>
          </cell>
          <cell r="G1519">
            <v>200101</v>
          </cell>
        </row>
        <row r="1520">
          <cell r="A1520" t="str">
            <v>200107B</v>
          </cell>
          <cell r="B1520" t="str">
            <v>BAR,LG CRS 1-1/4X70-1/4  BRUSH-CHR</v>
          </cell>
          <cell r="C1520" t="str">
            <v>EA</v>
          </cell>
          <cell r="D1520" t="str">
            <v>RM100</v>
          </cell>
          <cell r="E1520">
            <v>18.010000000000002</v>
          </cell>
          <cell r="G1520" t="str">
            <v>200107B</v>
          </cell>
        </row>
        <row r="1521">
          <cell r="A1521" t="str">
            <v>200114B</v>
          </cell>
          <cell r="B1521" t="str">
            <v>BAR,U/L PRES CRS 3/8x1-1/2x8-1/2</v>
          </cell>
          <cell r="C1521" t="str">
            <v>EA</v>
          </cell>
          <cell r="D1521" t="str">
            <v>RM100</v>
          </cell>
          <cell r="E1521">
            <v>16.7681</v>
          </cell>
          <cell r="G1521" t="str">
            <v>200114B</v>
          </cell>
        </row>
        <row r="1522">
          <cell r="A1522">
            <v>200118</v>
          </cell>
          <cell r="B1522" t="str">
            <v>BRG,BRZ 7/8 IDX1 ODX3/4 LG EP1416-12*</v>
          </cell>
          <cell r="C1522" t="str">
            <v>EA</v>
          </cell>
          <cell r="D1522" t="str">
            <v>RM100</v>
          </cell>
          <cell r="E1522">
            <v>0.83</v>
          </cell>
          <cell r="G1522">
            <v>200118</v>
          </cell>
        </row>
        <row r="1523">
          <cell r="A1523">
            <v>200120</v>
          </cell>
          <cell r="B1523" t="str">
            <v>BRG,WSHR BOSTON GEAR TB1424</v>
          </cell>
          <cell r="C1523" t="str">
            <v>EA</v>
          </cell>
          <cell r="D1523" t="str">
            <v>RM100</v>
          </cell>
          <cell r="E1523">
            <v>1.35</v>
          </cell>
          <cell r="G1523">
            <v>200120</v>
          </cell>
        </row>
        <row r="1524">
          <cell r="A1524" t="str">
            <v>200123B</v>
          </cell>
          <cell r="B1524" t="str">
            <v>DISC,SHAFT CRS HSG,DEI 6.5 DIAX3/16*</v>
          </cell>
          <cell r="C1524" t="str">
            <v>EA</v>
          </cell>
          <cell r="D1524" t="str">
            <v>RM100</v>
          </cell>
          <cell r="E1524">
            <v>49.45</v>
          </cell>
          <cell r="G1524" t="str">
            <v>200123B</v>
          </cell>
        </row>
        <row r="1525">
          <cell r="A1525" t="str">
            <v>200124B</v>
          </cell>
          <cell r="B1525" t="str">
            <v>DISC,SHAFT,10GHZ CRS HSG,6.5 DIAX1/4(BR)</v>
          </cell>
          <cell r="C1525" t="str">
            <v>EA</v>
          </cell>
          <cell r="D1525" t="str">
            <v>RM100</v>
          </cell>
          <cell r="E1525">
            <v>23.87</v>
          </cell>
          <cell r="G1525" t="str">
            <v>200124B</v>
          </cell>
        </row>
        <row r="1526">
          <cell r="A1526">
            <v>200126</v>
          </cell>
          <cell r="B1526" t="str">
            <v>DRUM, WHT DELRIN</v>
          </cell>
          <cell r="C1526" t="str">
            <v>EA</v>
          </cell>
          <cell r="D1526" t="str">
            <v>RM100</v>
          </cell>
          <cell r="E1526">
            <v>14.25</v>
          </cell>
          <cell r="G1526">
            <v>200126</v>
          </cell>
        </row>
        <row r="1527">
          <cell r="A1527">
            <v>200128</v>
          </cell>
          <cell r="B1527" t="str">
            <v>HNDL,DIECAST KASON ZINC#382 CHRM.</v>
          </cell>
          <cell r="C1527" t="str">
            <v>EA</v>
          </cell>
          <cell r="D1527" t="str">
            <v>RM100</v>
          </cell>
          <cell r="E1527">
            <v>6.4</v>
          </cell>
          <cell r="G1527">
            <v>200128</v>
          </cell>
        </row>
        <row r="1528">
          <cell r="A1528" t="str">
            <v>200133B</v>
          </cell>
          <cell r="B1528" t="str">
            <v>HDL,SHORT CRS 19-1/2X1.5X3/8</v>
          </cell>
          <cell r="C1528" t="str">
            <v>EA</v>
          </cell>
          <cell r="D1528" t="str">
            <v>RM100</v>
          </cell>
          <cell r="E1528">
            <v>33.022620000000003</v>
          </cell>
          <cell r="G1528" t="str">
            <v>200133B</v>
          </cell>
        </row>
        <row r="1529">
          <cell r="A1529">
            <v>200138</v>
          </cell>
          <cell r="B1529" t="str">
            <v>HNG,KASON 1070 FLUSH DIECAST ZN,MIR-CHR*</v>
          </cell>
          <cell r="C1529" t="str">
            <v>EA</v>
          </cell>
          <cell r="D1529" t="str">
            <v>RM100</v>
          </cell>
          <cell r="E1529">
            <v>21.25</v>
          </cell>
          <cell r="G1529">
            <v>200138</v>
          </cell>
        </row>
        <row r="1530">
          <cell r="A1530">
            <v>200145</v>
          </cell>
          <cell r="B1530" t="str">
            <v>PIN,S/S ROLLER 3-3/8"LG</v>
          </cell>
          <cell r="C1530" t="str">
            <v>EA</v>
          </cell>
          <cell r="D1530" t="str">
            <v>RM100</v>
          </cell>
          <cell r="E1530">
            <v>9</v>
          </cell>
          <cell r="G1530">
            <v>200145</v>
          </cell>
        </row>
        <row r="1531">
          <cell r="A1531">
            <v>200154</v>
          </cell>
          <cell r="B1531" t="str">
            <v>RUB,SPG 3/8SQXLG W/PRESS-ADHES</v>
          </cell>
          <cell r="C1531" t="str">
            <v>FT</v>
          </cell>
          <cell r="D1531" t="str">
            <v>RM100</v>
          </cell>
          <cell r="E1531">
            <v>0.17499999999999999</v>
          </cell>
          <cell r="G1531">
            <v>200154</v>
          </cell>
        </row>
        <row r="1532">
          <cell r="A1532">
            <v>200157</v>
          </cell>
          <cell r="B1532" t="str">
            <v>SPCR,DELR WHT 1-1/2 DIAX19/32</v>
          </cell>
          <cell r="C1532" t="str">
            <v>EA</v>
          </cell>
          <cell r="D1532" t="str">
            <v>RM100</v>
          </cell>
          <cell r="E1532">
            <v>2.1</v>
          </cell>
          <cell r="G1532">
            <v>200157</v>
          </cell>
        </row>
        <row r="1533">
          <cell r="A1533">
            <v>200161</v>
          </cell>
          <cell r="B1533" t="str">
            <v>PIVOT,SHAFT HSG S/S W/2" STUD</v>
          </cell>
          <cell r="C1533" t="str">
            <v>EA</v>
          </cell>
          <cell r="D1533" t="str">
            <v>RM100</v>
          </cell>
          <cell r="E1533">
            <v>14.5</v>
          </cell>
          <cell r="G1533">
            <v>200161</v>
          </cell>
        </row>
        <row r="1534">
          <cell r="A1534" t="str">
            <v>200162B</v>
          </cell>
          <cell r="B1534" t="str">
            <v>SPCR,ARM(CRS)1.5x1-11/32 *</v>
          </cell>
          <cell r="C1534" t="str">
            <v>EA</v>
          </cell>
          <cell r="D1534" t="str">
            <v>RM100</v>
          </cell>
          <cell r="E1534">
            <v>10.4</v>
          </cell>
          <cell r="G1534" t="str">
            <v>200162B</v>
          </cell>
        </row>
        <row r="1535">
          <cell r="A1535">
            <v>200165</v>
          </cell>
          <cell r="B1535" t="str">
            <v>PIVOT,SHAFT HSG S/S 2-1/2 STD</v>
          </cell>
          <cell r="C1535" t="str">
            <v>EA</v>
          </cell>
          <cell r="D1535" t="str">
            <v>RM100</v>
          </cell>
          <cell r="E1535">
            <v>29</v>
          </cell>
          <cell r="G1535">
            <v>200165</v>
          </cell>
        </row>
        <row r="1536">
          <cell r="A1536">
            <v>200168</v>
          </cell>
          <cell r="B1536" t="str">
            <v>SPCR,HNG ALUM 2-1/2X4-1/4X3/8</v>
          </cell>
          <cell r="C1536" t="str">
            <v>EA</v>
          </cell>
          <cell r="D1536" t="str">
            <v>RM100</v>
          </cell>
          <cell r="E1536">
            <v>4.28</v>
          </cell>
          <cell r="G1536">
            <v>200168</v>
          </cell>
        </row>
        <row r="1537">
          <cell r="A1537">
            <v>200170</v>
          </cell>
          <cell r="B1537" t="str">
            <v>HDL,WOOD GRIP W/OAK ST 2X5-3/4</v>
          </cell>
          <cell r="C1537" t="str">
            <v>EA</v>
          </cell>
          <cell r="D1537" t="str">
            <v>MA100</v>
          </cell>
          <cell r="E1537">
            <v>20.151</v>
          </cell>
          <cell r="G1537">
            <v>200170</v>
          </cell>
        </row>
        <row r="1538">
          <cell r="A1538" t="str">
            <v>200182B</v>
          </cell>
          <cell r="B1538" t="str">
            <v>PIVOT,FLNG (CRS)3DIAX3/16 10GHZ *</v>
          </cell>
          <cell r="C1538" t="str">
            <v>EA</v>
          </cell>
          <cell r="D1538" t="str">
            <v>RM100</v>
          </cell>
          <cell r="E1538">
            <v>20</v>
          </cell>
          <cell r="G1538" t="str">
            <v>200182B</v>
          </cell>
        </row>
        <row r="1539">
          <cell r="A1539" t="str">
            <v>200197B</v>
          </cell>
          <cell r="B1539" t="str">
            <v>TRIM,LTH(CRS)80-1/4X3X1/8 10GHZ</v>
          </cell>
          <cell r="C1539" t="str">
            <v>EA</v>
          </cell>
          <cell r="D1539" t="str">
            <v>RM100</v>
          </cell>
          <cell r="E1539">
            <v>144.82</v>
          </cell>
          <cell r="G1539" t="str">
            <v>200197B</v>
          </cell>
        </row>
        <row r="1540">
          <cell r="A1540" t="str">
            <v>200198B</v>
          </cell>
          <cell r="B1540" t="str">
            <v>TRIM,HNG(CRS)80-1/4X3X1/8 10 GHZ *</v>
          </cell>
          <cell r="C1540" t="str">
            <v>EA</v>
          </cell>
          <cell r="D1540" t="str">
            <v>RM100</v>
          </cell>
          <cell r="E1540">
            <v>138.31</v>
          </cell>
          <cell r="G1540" t="str">
            <v>200198B</v>
          </cell>
        </row>
        <row r="1541">
          <cell r="A1541" t="str">
            <v>200200B</v>
          </cell>
          <cell r="B1541" t="str">
            <v>TRIM,D/J(CRS)85-1/2X1-1/2X1/8 10GHZ *</v>
          </cell>
          <cell r="C1541" t="str">
            <v>EA</v>
          </cell>
          <cell r="D1541" t="str">
            <v>RM100</v>
          </cell>
          <cell r="E1541">
            <v>34.200000000000003</v>
          </cell>
          <cell r="G1541" t="str">
            <v>200200B</v>
          </cell>
        </row>
        <row r="1542">
          <cell r="A1542" t="str">
            <v>200202B</v>
          </cell>
          <cell r="B1542" t="str">
            <v>SPCR,D/J(CRS)85-1/2X3/4X3/8 10GHZ *</v>
          </cell>
          <cell r="C1542" t="str">
            <v>EA</v>
          </cell>
          <cell r="D1542" t="str">
            <v>RM100</v>
          </cell>
          <cell r="E1542">
            <v>88.29</v>
          </cell>
          <cell r="G1542" t="str">
            <v>200202B</v>
          </cell>
        </row>
        <row r="1543">
          <cell r="A1543">
            <v>200207</v>
          </cell>
          <cell r="B1543" t="str">
            <v>STRIKER,BR WEDGE 1X4-1/4X7/8 HIGH 3/DR</v>
          </cell>
          <cell r="C1543" t="str">
            <v>EA</v>
          </cell>
          <cell r="D1543" t="str">
            <v>RM100</v>
          </cell>
          <cell r="E1543">
            <v>12.5</v>
          </cell>
          <cell r="G1543">
            <v>200207</v>
          </cell>
        </row>
        <row r="1544">
          <cell r="A1544" t="str">
            <v>200209B</v>
          </cell>
          <cell r="B1544" t="str">
            <v>TRIM,D/J CRS 1-1/2X46-5/8 10GHZ *</v>
          </cell>
          <cell r="C1544" t="str">
            <v>EA</v>
          </cell>
          <cell r="D1544" t="str">
            <v>RM100</v>
          </cell>
          <cell r="E1544">
            <v>26.5</v>
          </cell>
          <cell r="G1544" t="str">
            <v>200209B</v>
          </cell>
        </row>
        <row r="1545">
          <cell r="A1545" t="str">
            <v>200211B</v>
          </cell>
          <cell r="B1545" t="str">
            <v>TRIM,T/B(CRS) 38-1/4X3x1/8 10GHZ *</v>
          </cell>
          <cell r="C1545" t="str">
            <v>EA</v>
          </cell>
          <cell r="D1545" t="str">
            <v>RM100</v>
          </cell>
          <cell r="E1545">
            <v>70.67</v>
          </cell>
          <cell r="G1545" t="str">
            <v>200211B</v>
          </cell>
        </row>
        <row r="1546">
          <cell r="A1546" t="str">
            <v>200212B</v>
          </cell>
          <cell r="B1546" t="str">
            <v>TRIM,T/B CRS 3X50-1/4LG 10GHZ *</v>
          </cell>
          <cell r="C1546" t="str">
            <v>EA</v>
          </cell>
          <cell r="D1546" t="str">
            <v>RM100</v>
          </cell>
          <cell r="E1546">
            <v>0</v>
          </cell>
          <cell r="G1546" t="str">
            <v>200212B</v>
          </cell>
        </row>
        <row r="1547">
          <cell r="A1547" t="str">
            <v>200213B</v>
          </cell>
          <cell r="B1547" t="str">
            <v>TRIM,D/J T/B 1-1/2X34-5/8 10GHZ *</v>
          </cell>
          <cell r="C1547" t="str">
            <v>EA</v>
          </cell>
          <cell r="D1547" t="str">
            <v>RM100</v>
          </cell>
          <cell r="E1547">
            <v>24.25</v>
          </cell>
          <cell r="G1547" t="str">
            <v>200213B</v>
          </cell>
        </row>
        <row r="1548">
          <cell r="A1548" t="str">
            <v>200214B</v>
          </cell>
          <cell r="B1548" t="str">
            <v>SPCR,T/B CRS 3/4X36-1/8 10GHZ *</v>
          </cell>
          <cell r="C1548" t="str">
            <v>EA</v>
          </cell>
          <cell r="D1548" t="str">
            <v>RM100</v>
          </cell>
          <cell r="E1548">
            <v>14.65</v>
          </cell>
          <cell r="G1548" t="str">
            <v>200214B</v>
          </cell>
        </row>
        <row r="1549">
          <cell r="A1549" t="str">
            <v>200215B</v>
          </cell>
          <cell r="B1549" t="str">
            <v>SPCR,T/B 48-1/8X3/4X3/8 10GHZ *</v>
          </cell>
          <cell r="C1549" t="str">
            <v>EA</v>
          </cell>
          <cell r="D1549" t="str">
            <v>RM100</v>
          </cell>
          <cell r="E1549">
            <v>96.82</v>
          </cell>
          <cell r="G1549" t="str">
            <v>200215B</v>
          </cell>
        </row>
        <row r="1550">
          <cell r="A1550">
            <v>200224</v>
          </cell>
          <cell r="B1550" t="str">
            <v>SHIM,3X4X1/8X7/8 SLOT RED  1000 Per</v>
          </cell>
          <cell r="C1550" t="str">
            <v>EA</v>
          </cell>
          <cell r="D1550" t="str">
            <v>RM100</v>
          </cell>
          <cell r="E1550">
            <v>0.22911000000000001</v>
          </cell>
          <cell r="G1550">
            <v>200224</v>
          </cell>
        </row>
        <row r="1551">
          <cell r="A1551" t="str">
            <v>200225B</v>
          </cell>
          <cell r="B1551" t="str">
            <v>TRIM,T/M(CRS)25-1/8X2X1/8BRHUSHED CHROME</v>
          </cell>
          <cell r="C1551" t="str">
            <v>EA</v>
          </cell>
          <cell r="D1551" t="str">
            <v>RM100</v>
          </cell>
          <cell r="E1551">
            <v>24</v>
          </cell>
          <cell r="G1551" t="str">
            <v>200225B</v>
          </cell>
        </row>
        <row r="1552">
          <cell r="A1552" t="str">
            <v>200226B</v>
          </cell>
          <cell r="B1552" t="str">
            <v>TRIM,DR,T/M 21-1/8X2X1/8 HINGE SIDE</v>
          </cell>
          <cell r="C1552" t="str">
            <v>EA</v>
          </cell>
          <cell r="D1552" t="str">
            <v>RM100</v>
          </cell>
          <cell r="E1552">
            <v>28.37</v>
          </cell>
          <cell r="G1552" t="str">
            <v>200226B</v>
          </cell>
        </row>
        <row r="1553">
          <cell r="A1553">
            <v>200227</v>
          </cell>
          <cell r="B1553" t="str">
            <v>SHIM,3X4X1/16X7/8 SLOT BLUE  1000 Per</v>
          </cell>
          <cell r="C1553" t="str">
            <v>EA</v>
          </cell>
          <cell r="D1553" t="str">
            <v>RM100</v>
          </cell>
          <cell r="E1553">
            <v>0.12959999999999999</v>
          </cell>
          <cell r="G1553">
            <v>200227</v>
          </cell>
        </row>
        <row r="1554">
          <cell r="A1554" t="str">
            <v>200230B</v>
          </cell>
          <cell r="B1554" t="str">
            <v>SPCR,PRESS/BAR CRS 1-1/2X3/8 *</v>
          </cell>
          <cell r="C1554" t="str">
            <v>EA</v>
          </cell>
          <cell r="D1554" t="str">
            <v>RM100</v>
          </cell>
          <cell r="E1554">
            <v>6.73</v>
          </cell>
          <cell r="G1554" t="str">
            <v>200230B</v>
          </cell>
        </row>
        <row r="1555">
          <cell r="A1555" t="str">
            <v>200231B</v>
          </cell>
          <cell r="B1555" t="str">
            <v>TRIM,T/M(CRS)27-1/8X2X1/8BRHUSHED CHROME</v>
          </cell>
          <cell r="C1555" t="str">
            <v>EA</v>
          </cell>
          <cell r="D1555" t="str">
            <v>MA100</v>
          </cell>
          <cell r="E1555">
            <v>88.65</v>
          </cell>
          <cell r="G1555" t="str">
            <v>200231B</v>
          </cell>
        </row>
        <row r="1556">
          <cell r="A1556" t="str">
            <v>200232B</v>
          </cell>
          <cell r="B1556" t="str">
            <v>TRIM,T/M(CRS)31-1/8X2X1/8BRUSHED CHROME</v>
          </cell>
          <cell r="C1556" t="str">
            <v>EA</v>
          </cell>
          <cell r="D1556" t="str">
            <v>MA100</v>
          </cell>
          <cell r="E1556">
            <v>82.17</v>
          </cell>
          <cell r="G1556" t="str">
            <v>200232B</v>
          </cell>
        </row>
        <row r="1557">
          <cell r="A1557">
            <v>200247</v>
          </cell>
          <cell r="B1557" t="str">
            <v>HNG,KASON #1241S-4 FLUSH DIECAST ZN</v>
          </cell>
          <cell r="C1557" t="str">
            <v>EA</v>
          </cell>
          <cell r="D1557" t="str">
            <v>RM100</v>
          </cell>
          <cell r="E1557">
            <v>25.82</v>
          </cell>
          <cell r="G1557">
            <v>200247</v>
          </cell>
        </row>
        <row r="1558">
          <cell r="A1558" t="str">
            <v>200250B</v>
          </cell>
          <cell r="B1558" t="str">
            <v>BAR,M/PRES CRS 10-5/16X1.5X3/8 *</v>
          </cell>
          <cell r="C1558" t="str">
            <v>EA</v>
          </cell>
          <cell r="D1558" t="str">
            <v>RM100</v>
          </cell>
          <cell r="E1558">
            <v>15.8</v>
          </cell>
          <cell r="G1558" t="str">
            <v>200250B</v>
          </cell>
        </row>
        <row r="1559">
          <cell r="A1559" t="str">
            <v>200251B</v>
          </cell>
          <cell r="B1559" t="str">
            <v>BAR,TAKE-UP CRS 8-1/4X3/8X1.5 *</v>
          </cell>
          <cell r="C1559" t="str">
            <v>EA</v>
          </cell>
          <cell r="D1559" t="str">
            <v>RM100</v>
          </cell>
          <cell r="E1559">
            <v>8</v>
          </cell>
          <cell r="G1559" t="str">
            <v>200251B</v>
          </cell>
        </row>
        <row r="1560">
          <cell r="A1560" t="str">
            <v>200255B</v>
          </cell>
          <cell r="B1560" t="str">
            <v>SPCR,CRS 10GHz 1-1/2X7/8 BRUSHED CHROME</v>
          </cell>
          <cell r="C1560" t="str">
            <v>EA</v>
          </cell>
          <cell r="D1560" t="str">
            <v>RM100</v>
          </cell>
          <cell r="E1560">
            <v>4.5</v>
          </cell>
          <cell r="G1560" t="str">
            <v>200255B</v>
          </cell>
        </row>
        <row r="1561">
          <cell r="A1561" t="str">
            <v>200256B</v>
          </cell>
          <cell r="B1561" t="str">
            <v>SPCR,CRS 10GHz 1-1/2X1-27/32 BRUSHED CHR</v>
          </cell>
          <cell r="C1561" t="str">
            <v>EA</v>
          </cell>
          <cell r="D1561" t="str">
            <v>RM100</v>
          </cell>
          <cell r="E1561">
            <v>7.72</v>
          </cell>
          <cell r="G1561" t="str">
            <v>200256B</v>
          </cell>
        </row>
        <row r="1562">
          <cell r="A1562">
            <v>200257</v>
          </cell>
          <cell r="B1562" t="str">
            <v>SPCR,DELR 10GHz 1-1/2X19/32  WHITE</v>
          </cell>
          <cell r="C1562" t="str">
            <v>EA</v>
          </cell>
          <cell r="D1562" t="str">
            <v>RM100</v>
          </cell>
          <cell r="E1562">
            <v>2.9</v>
          </cell>
          <cell r="G1562">
            <v>200257</v>
          </cell>
        </row>
        <row r="1563">
          <cell r="A1563">
            <v>200265</v>
          </cell>
          <cell r="B1563" t="str">
            <v>SPCR,LATCH 2.5X.88X.38 BRUSHED</v>
          </cell>
          <cell r="C1563" t="str">
            <v>EA</v>
          </cell>
          <cell r="D1563" t="str">
            <v>RM100</v>
          </cell>
          <cell r="E1563">
            <v>35</v>
          </cell>
          <cell r="G1563">
            <v>200265</v>
          </cell>
        </row>
        <row r="1564">
          <cell r="A1564" t="str">
            <v>200265B</v>
          </cell>
          <cell r="B1564" t="str">
            <v>SPCR,LATCH 2.5X.88X.38 BRUSHED</v>
          </cell>
          <cell r="C1564" t="str">
            <v>EA</v>
          </cell>
          <cell r="D1564" t="str">
            <v>RM100</v>
          </cell>
          <cell r="E1564">
            <v>7.86</v>
          </cell>
          <cell r="G1564" t="str">
            <v>200265B</v>
          </cell>
        </row>
        <row r="1565">
          <cell r="A1565">
            <v>200327</v>
          </cell>
          <cell r="B1565" t="str">
            <v>GUIDE/STRIKE BLOCK FOR LATCH BOLT ASSY</v>
          </cell>
          <cell r="C1565" t="str">
            <v>EA</v>
          </cell>
          <cell r="D1565" t="str">
            <v>RM100</v>
          </cell>
          <cell r="E1565">
            <v>13.73</v>
          </cell>
          <cell r="G1565">
            <v>200327</v>
          </cell>
        </row>
        <row r="1566">
          <cell r="A1566">
            <v>200332</v>
          </cell>
          <cell r="B1566" t="str">
            <v>CONN. LINK FOR LATCH BOLT ASS'Y</v>
          </cell>
          <cell r="C1566" t="str">
            <v>EA</v>
          </cell>
          <cell r="D1566" t="str">
            <v>RM100</v>
          </cell>
          <cell r="E1566">
            <v>16.399999999999999</v>
          </cell>
          <cell r="G1566">
            <v>200332</v>
          </cell>
        </row>
        <row r="1567">
          <cell r="A1567" t="str">
            <v>200450B</v>
          </cell>
          <cell r="B1567" t="str">
            <v>TRIM,LTH CRS 2X81X1/8 W/CUT-OUT*</v>
          </cell>
          <cell r="C1567" t="str">
            <v>EA</v>
          </cell>
          <cell r="D1567" t="str">
            <v>RM100</v>
          </cell>
          <cell r="E1567">
            <v>126.82</v>
          </cell>
          <cell r="G1567" t="str">
            <v>200450B</v>
          </cell>
        </row>
        <row r="1568">
          <cell r="A1568" t="str">
            <v>200451B</v>
          </cell>
          <cell r="B1568" t="str">
            <v>TRIM,HNG CRS 2X81X1/8</v>
          </cell>
          <cell r="C1568" t="str">
            <v>EA</v>
          </cell>
          <cell r="D1568" t="str">
            <v>RM100</v>
          </cell>
          <cell r="E1568">
            <v>126.72</v>
          </cell>
          <cell r="G1568" t="str">
            <v>200451B</v>
          </cell>
        </row>
        <row r="1569">
          <cell r="A1569" t="str">
            <v>200452B</v>
          </cell>
          <cell r="B1569" t="str">
            <v>TRIM,T/B CRS 2X37-1/8 BRUSHED CHROME*</v>
          </cell>
          <cell r="C1569" t="str">
            <v>EA</v>
          </cell>
          <cell r="D1569" t="str">
            <v>RM100</v>
          </cell>
          <cell r="E1569">
            <v>26</v>
          </cell>
          <cell r="G1569" t="str">
            <v>200452B</v>
          </cell>
        </row>
        <row r="1570">
          <cell r="A1570" t="str">
            <v>200456B</v>
          </cell>
          <cell r="B1570" t="str">
            <v>TRIM,CRS 2X33-1/8 BRUSH CHRM 36"VERT DR</v>
          </cell>
          <cell r="C1570" t="str">
            <v>EA</v>
          </cell>
          <cell r="D1570" t="str">
            <v>RM100</v>
          </cell>
          <cell r="E1570">
            <v>22.2</v>
          </cell>
          <cell r="G1570" t="str">
            <v>200456B</v>
          </cell>
        </row>
        <row r="1571">
          <cell r="A1571">
            <v>200471</v>
          </cell>
          <cell r="B1571" t="str">
            <v>SHIM,SS 12mmIDx1.0mmTHKx18mmOD</v>
          </cell>
          <cell r="C1571" t="str">
            <v>EA</v>
          </cell>
          <cell r="D1571" t="str">
            <v>RM100</v>
          </cell>
          <cell r="E1571">
            <v>0.27760000000000001</v>
          </cell>
          <cell r="G1571">
            <v>200471</v>
          </cell>
        </row>
        <row r="1572">
          <cell r="A1572">
            <v>200538</v>
          </cell>
          <cell r="B1572" t="str">
            <v>CONT,DR FNGR#375P80 18"LG NO TAPE</v>
          </cell>
          <cell r="C1572" t="str">
            <v>EA</v>
          </cell>
          <cell r="D1572" t="str">
            <v>RM100</v>
          </cell>
          <cell r="E1572">
            <v>2.84</v>
          </cell>
          <cell r="G1572">
            <v>200538</v>
          </cell>
        </row>
        <row r="1573">
          <cell r="A1573">
            <v>200545</v>
          </cell>
          <cell r="B1573" t="str">
            <v>CONT,DR FNGR#375P60 18"LG NO TAPE</v>
          </cell>
          <cell r="C1573" t="str">
            <v>EA</v>
          </cell>
          <cell r="D1573" t="str">
            <v>RM100</v>
          </cell>
          <cell r="E1573">
            <v>4.21</v>
          </cell>
          <cell r="G1573">
            <v>200545</v>
          </cell>
        </row>
        <row r="1574">
          <cell r="A1574">
            <v>200546</v>
          </cell>
          <cell r="B1574" t="str">
            <v>HNG, FOR MRDS 4.5X4.5 STL FIN</v>
          </cell>
          <cell r="C1574" t="str">
            <v>EA</v>
          </cell>
          <cell r="D1574" t="str">
            <v>RM100</v>
          </cell>
          <cell r="E1574">
            <v>5.32</v>
          </cell>
          <cell r="G1574">
            <v>200546</v>
          </cell>
        </row>
        <row r="1575">
          <cell r="A1575">
            <v>200580</v>
          </cell>
          <cell r="B1575" t="str">
            <v>ACOUS,QUIET BARRIER FOAM, 27-5/8x54</v>
          </cell>
          <cell r="C1575" t="str">
            <v>EA</v>
          </cell>
          <cell r="D1575" t="str">
            <v>RM100</v>
          </cell>
          <cell r="E1575">
            <v>48.28</v>
          </cell>
          <cell r="G1575">
            <v>200580</v>
          </cell>
        </row>
        <row r="1576">
          <cell r="A1576">
            <v>200810</v>
          </cell>
          <cell r="B1576" t="str">
            <v>SPCR,HNG ALUM TBL/MDL 3-1/8x1-7/16x3/8</v>
          </cell>
          <cell r="C1576" t="str">
            <v>EA</v>
          </cell>
          <cell r="D1576" t="str">
            <v>RM100</v>
          </cell>
          <cell r="E1576">
            <v>3.88</v>
          </cell>
          <cell r="G1576">
            <v>200810</v>
          </cell>
        </row>
        <row r="1577">
          <cell r="A1577" t="str">
            <v>200828A</v>
          </cell>
          <cell r="B1577" t="str">
            <v>EXTRU, ALUM FNGR TRIM 1-1/4X3/16X8'-6"*</v>
          </cell>
          <cell r="C1577" t="str">
            <v>EA</v>
          </cell>
          <cell r="D1577" t="str">
            <v>RM100</v>
          </cell>
          <cell r="E1577">
            <v>6.4080000000000004</v>
          </cell>
          <cell r="G1577" t="str">
            <v>200828A</v>
          </cell>
        </row>
        <row r="1578">
          <cell r="A1578" t="str">
            <v>200829B</v>
          </cell>
          <cell r="B1578" t="str">
            <v>TRIM,T/B 13-1/8X2X1/8 (CRS) BRUSHED</v>
          </cell>
          <cell r="C1578" t="str">
            <v>EA</v>
          </cell>
          <cell r="D1578" t="str">
            <v>RM100</v>
          </cell>
          <cell r="E1578">
            <v>17.14</v>
          </cell>
          <cell r="G1578" t="str">
            <v>200829B</v>
          </cell>
        </row>
        <row r="1579">
          <cell r="A1579">
            <v>200835</v>
          </cell>
          <cell r="B1579" t="str">
            <v>STRIP,FNGR MTG,CU 12 OZ 1-1/2WX18</v>
          </cell>
          <cell r="C1579" t="str">
            <v>EA</v>
          </cell>
          <cell r="D1579" t="str">
            <v>MA100</v>
          </cell>
          <cell r="E1579">
            <v>0.96170999999999995</v>
          </cell>
          <cell r="G1579">
            <v>200835</v>
          </cell>
        </row>
        <row r="1580">
          <cell r="A1580" t="str">
            <v>200839A</v>
          </cell>
          <cell r="B1580" t="str">
            <v>EXTRU,ALUM ANG TRIM 1.25X.94X8'-6"*</v>
          </cell>
          <cell r="C1580" t="str">
            <v>EA</v>
          </cell>
          <cell r="D1580" t="str">
            <v>RM100</v>
          </cell>
          <cell r="E1580">
            <v>7.5579999999999998</v>
          </cell>
          <cell r="G1580" t="str">
            <v>200839A</v>
          </cell>
        </row>
        <row r="1581">
          <cell r="A1581">
            <v>200846</v>
          </cell>
          <cell r="B1581" t="str">
            <v>SPCR,HNG ALUM 5-3/4X2-7/16X1/8 TAPERED</v>
          </cell>
          <cell r="C1581" t="str">
            <v>EA</v>
          </cell>
          <cell r="D1581" t="str">
            <v>RM100</v>
          </cell>
          <cell r="E1581">
            <v>3.5</v>
          </cell>
          <cell r="G1581">
            <v>200846</v>
          </cell>
        </row>
        <row r="1582">
          <cell r="A1582">
            <v>200850</v>
          </cell>
          <cell r="B1582" t="str">
            <v>STRIP,FNGR MTG,CU 12 OZ 1-1/16X18</v>
          </cell>
          <cell r="C1582" t="str">
            <v>EA</v>
          </cell>
          <cell r="D1582" t="str">
            <v>MA100</v>
          </cell>
          <cell r="E1582">
            <v>0.72951999999999995</v>
          </cell>
          <cell r="G1582">
            <v>200850</v>
          </cell>
        </row>
        <row r="1583">
          <cell r="A1583">
            <v>200851</v>
          </cell>
          <cell r="B1583" t="str">
            <v>STRIP,FNGR MTG,CU 12 OZ 1-1/8X18</v>
          </cell>
          <cell r="C1583" t="str">
            <v>EA</v>
          </cell>
          <cell r="D1583" t="str">
            <v>MA100</v>
          </cell>
          <cell r="E1583">
            <v>0.72951999999999995</v>
          </cell>
          <cell r="G1583">
            <v>200851</v>
          </cell>
        </row>
        <row r="1584">
          <cell r="A1584">
            <v>200904</v>
          </cell>
          <cell r="B1584" t="str">
            <v>Bolt,Push/Pull 5/16 DE-STA-CO #607</v>
          </cell>
          <cell r="C1584" t="str">
            <v>EA</v>
          </cell>
          <cell r="D1584" t="str">
            <v>RM100</v>
          </cell>
          <cell r="E1584">
            <v>34.549999999999997</v>
          </cell>
          <cell r="G1584">
            <v>200904</v>
          </cell>
        </row>
        <row r="1585">
          <cell r="A1585">
            <v>200905</v>
          </cell>
          <cell r="B1585" t="str">
            <v>Base Mounted Nylon Guide MCM#6687K36</v>
          </cell>
          <cell r="C1585" t="str">
            <v>EA</v>
          </cell>
          <cell r="D1585" t="str">
            <v>RM100</v>
          </cell>
          <cell r="E1585">
            <v>8</v>
          </cell>
          <cell r="G1585">
            <v>200905</v>
          </cell>
        </row>
        <row r="1586">
          <cell r="A1586">
            <v>200906</v>
          </cell>
          <cell r="B1586" t="str">
            <v>Alum,Rod 1/2"x 6' Thrd 1 end 5/16-18x3/4</v>
          </cell>
          <cell r="C1586" t="str">
            <v>EA</v>
          </cell>
          <cell r="D1586" t="str">
            <v>RM100</v>
          </cell>
          <cell r="E1586">
            <v>15.34</v>
          </cell>
          <cell r="G1586">
            <v>200906</v>
          </cell>
        </row>
        <row r="1587">
          <cell r="A1587">
            <v>201001</v>
          </cell>
          <cell r="B1587" t="str">
            <v>ASSY,SHLD SPCR DLRN 1-1/2 ODX37/64+BR</v>
          </cell>
          <cell r="C1587" t="str">
            <v>EA</v>
          </cell>
          <cell r="D1587" t="str">
            <v>RM100</v>
          </cell>
          <cell r="E1587">
            <v>6.99</v>
          </cell>
          <cell r="G1587">
            <v>201001</v>
          </cell>
        </row>
        <row r="1588">
          <cell r="A1588" t="str">
            <v>201002B</v>
          </cell>
          <cell r="B1588" t="str">
            <v>ASSY,SHORT ARM CRS 10-1/8 W/BR ROLRS *</v>
          </cell>
          <cell r="C1588" t="str">
            <v>EA</v>
          </cell>
          <cell r="D1588" t="str">
            <v>RM100</v>
          </cell>
          <cell r="E1588">
            <v>98.35</v>
          </cell>
          <cell r="G1588" t="str">
            <v>201002B</v>
          </cell>
        </row>
        <row r="1589">
          <cell r="A1589">
            <v>201003</v>
          </cell>
          <cell r="B1589" t="str">
            <v>KIT, UNILATCH ASSEMBLY FOR TABLE MODELS</v>
          </cell>
          <cell r="C1589" t="str">
            <v>EA</v>
          </cell>
          <cell r="D1589" t="str">
            <v>MA100</v>
          </cell>
          <cell r="E1589">
            <v>166.29400000000001</v>
          </cell>
          <cell r="G1589">
            <v>201003</v>
          </cell>
        </row>
        <row r="1590">
          <cell r="A1590" t="str">
            <v>201004B</v>
          </cell>
          <cell r="B1590" t="str">
            <v>ASSY,LG HDL CRS 27.5X1.5X3/8 W/ ROLLER</v>
          </cell>
          <cell r="C1590" t="str">
            <v>EA</v>
          </cell>
          <cell r="D1590" t="str">
            <v>RM100</v>
          </cell>
          <cell r="E1590">
            <v>150.41</v>
          </cell>
          <cell r="G1590" t="str">
            <v>201004B</v>
          </cell>
        </row>
        <row r="1591">
          <cell r="A1591">
            <v>201005</v>
          </cell>
          <cell r="B1591" t="str">
            <v>WSHR,KEEP FOR DRVR BAR SCHLAGE B660P*</v>
          </cell>
          <cell r="C1591" t="str">
            <v>EA</v>
          </cell>
          <cell r="D1591" t="str">
            <v>RM100</v>
          </cell>
          <cell r="E1591">
            <v>0.88</v>
          </cell>
          <cell r="G1591">
            <v>201005</v>
          </cell>
        </row>
        <row r="1592">
          <cell r="A1592">
            <v>201007</v>
          </cell>
          <cell r="B1592" t="str">
            <v>PIPE PLUG,MALE,1/8"BPT #FC011088000</v>
          </cell>
          <cell r="C1592" t="str">
            <v>EA</v>
          </cell>
          <cell r="D1592" t="str">
            <v>RM100</v>
          </cell>
          <cell r="E1592">
            <v>0.9</v>
          </cell>
          <cell r="G1592">
            <v>201007</v>
          </cell>
        </row>
        <row r="1593">
          <cell r="A1593">
            <v>201013</v>
          </cell>
          <cell r="B1593" t="str">
            <v>BRG,ASSY.BR ROLLER 9/16x9/16 W/200117</v>
          </cell>
          <cell r="C1593" t="str">
            <v>EA</v>
          </cell>
          <cell r="D1593" t="str">
            <v>RM100</v>
          </cell>
          <cell r="E1593">
            <v>4.75</v>
          </cell>
          <cell r="G1593">
            <v>201013</v>
          </cell>
        </row>
        <row r="1594">
          <cell r="A1594">
            <v>201015</v>
          </cell>
          <cell r="B1594" t="str">
            <v>ASSY,CONT FNGR (DBL EVO) 375P60 TIN</v>
          </cell>
          <cell r="C1594" t="str">
            <v>EA</v>
          </cell>
          <cell r="D1594" t="str">
            <v>MA100</v>
          </cell>
          <cell r="E1594">
            <v>7.6706000000000003</v>
          </cell>
          <cell r="G1594">
            <v>201015</v>
          </cell>
        </row>
        <row r="1595">
          <cell r="A1595" t="str">
            <v>201015-OP</v>
          </cell>
          <cell r="B1595" t="str">
            <v>PROCESS,PLATING,TIN(.0005") OF 201015*</v>
          </cell>
          <cell r="C1595" t="str">
            <v>EA</v>
          </cell>
          <cell r="D1595" t="str">
            <v>RM100</v>
          </cell>
          <cell r="E1595">
            <v>0.9</v>
          </cell>
          <cell r="G1595" t="str">
            <v>201015-OP</v>
          </cell>
        </row>
        <row r="1596">
          <cell r="A1596">
            <v>201016</v>
          </cell>
          <cell r="B1596" t="str">
            <v>ASSY,CONT FNGR (SM) 375P60 TIN .0005 BRI</v>
          </cell>
          <cell r="C1596" t="str">
            <v>EA</v>
          </cell>
          <cell r="D1596" t="str">
            <v>MA100</v>
          </cell>
          <cell r="E1596">
            <v>11.043100000000001</v>
          </cell>
          <cell r="G1596">
            <v>201016</v>
          </cell>
        </row>
        <row r="1597">
          <cell r="A1597" t="str">
            <v>201016-OP</v>
          </cell>
          <cell r="B1597" t="str">
            <v>PROCESS,PLATING,TIN(.0002"-.0005)</v>
          </cell>
          <cell r="C1597" t="str">
            <v>EA</v>
          </cell>
          <cell r="D1597" t="str">
            <v>RM100</v>
          </cell>
          <cell r="E1597">
            <v>1.39</v>
          </cell>
          <cell r="G1597" t="str">
            <v>201016-OP</v>
          </cell>
        </row>
        <row r="1598">
          <cell r="A1598">
            <v>201018</v>
          </cell>
          <cell r="B1598" t="str">
            <v>KIT,MRI DR MAINT/REPAIR</v>
          </cell>
          <cell r="C1598" t="str">
            <v>EA</v>
          </cell>
          <cell r="D1598" t="str">
            <v>MA100</v>
          </cell>
          <cell r="E1598">
            <v>82.430139999999994</v>
          </cell>
          <cell r="G1598">
            <v>201018</v>
          </cell>
        </row>
        <row r="1599">
          <cell r="A1599">
            <v>201021</v>
          </cell>
          <cell r="B1599" t="str">
            <v>DDBLT,SCHGE#B660P626C,2-3/4"BKSET, 2"THK</v>
          </cell>
          <cell r="C1599" t="str">
            <v>EA</v>
          </cell>
          <cell r="D1599" t="str">
            <v>RM100</v>
          </cell>
          <cell r="E1599">
            <v>90.77</v>
          </cell>
          <cell r="G1599">
            <v>201021</v>
          </cell>
        </row>
        <row r="1600">
          <cell r="A1600">
            <v>201022</v>
          </cell>
          <cell r="B1600" t="str">
            <v>ALUM,LOCKSET BLANK 5/8X2-9/16 DISK</v>
          </cell>
          <cell r="C1600" t="str">
            <v>EA</v>
          </cell>
          <cell r="D1600" t="str">
            <v>RM100</v>
          </cell>
          <cell r="E1600">
            <v>89.98</v>
          </cell>
          <cell r="G1600">
            <v>201022</v>
          </cell>
        </row>
        <row r="1601">
          <cell r="A1601">
            <v>201025</v>
          </cell>
          <cell r="B1601" t="str">
            <v>DDBLT,SCHGE#B66026, 2-3/4"BKST, 2.5" THK</v>
          </cell>
          <cell r="C1601" t="str">
            <v>EA</v>
          </cell>
          <cell r="D1601" t="str">
            <v>RM100</v>
          </cell>
          <cell r="E1601">
            <v>164.11</v>
          </cell>
          <cell r="G1601">
            <v>201025</v>
          </cell>
        </row>
        <row r="1602">
          <cell r="A1602">
            <v>201030</v>
          </cell>
          <cell r="B1602" t="str">
            <v>KIT,EVO MAINT/REPAIR,FULL</v>
          </cell>
          <cell r="C1602" t="str">
            <v>EA</v>
          </cell>
          <cell r="D1602" t="str">
            <v>MA100</v>
          </cell>
          <cell r="E1602">
            <v>212.45070000000001</v>
          </cell>
          <cell r="G1602">
            <v>201030</v>
          </cell>
        </row>
        <row r="1603">
          <cell r="A1603">
            <v>201038</v>
          </cell>
          <cell r="B1603" t="str">
            <v>KIT,MRI **FULL** DR MAINT/REPAIR</v>
          </cell>
          <cell r="C1603" t="str">
            <v>EA</v>
          </cell>
          <cell r="D1603" t="str">
            <v>MA100</v>
          </cell>
          <cell r="E1603">
            <v>146.69400999999999</v>
          </cell>
          <cell r="G1603">
            <v>201038</v>
          </cell>
        </row>
        <row r="1604">
          <cell r="A1604" t="str">
            <v>201048B</v>
          </cell>
          <cell r="B1604" t="str">
            <v>KIT,DR TRIM 10 GHZ CRS 48X84 W/ 4 HINGE</v>
          </cell>
          <cell r="C1604" t="str">
            <v>EA</v>
          </cell>
          <cell r="D1604" t="str">
            <v>MA100</v>
          </cell>
          <cell r="E1604">
            <v>816.11</v>
          </cell>
          <cell r="G1604" t="str">
            <v>201048B</v>
          </cell>
        </row>
        <row r="1605">
          <cell r="A1605">
            <v>201104</v>
          </cell>
          <cell r="B1605" t="str">
            <v>ASSY,CONT FNGR (LG) 1X18 (TIN).0005" *</v>
          </cell>
          <cell r="C1605" t="str">
            <v>EA</v>
          </cell>
          <cell r="D1605" t="str">
            <v>MA100</v>
          </cell>
          <cell r="E1605">
            <v>7.0227899999999996</v>
          </cell>
          <cell r="G1605">
            <v>201104</v>
          </cell>
        </row>
        <row r="1606">
          <cell r="A1606" t="str">
            <v>201104-MOD</v>
          </cell>
          <cell r="B1606" t="str">
            <v>ASSY,CONT FNGR (LG) 90 DEG. FLNG.</v>
          </cell>
          <cell r="C1606" t="str">
            <v>EA</v>
          </cell>
          <cell r="D1606" t="str">
            <v>MA100</v>
          </cell>
          <cell r="E1606">
            <v>6.1669799999999997</v>
          </cell>
          <cell r="G1606" t="str">
            <v>201104-MOD</v>
          </cell>
        </row>
        <row r="1607">
          <cell r="A1607" t="str">
            <v>201104-OP</v>
          </cell>
          <cell r="B1607" t="str">
            <v>PROCESS,PLATING,TIN(.0002"-.0005")</v>
          </cell>
          <cell r="C1607" t="str">
            <v>EA</v>
          </cell>
          <cell r="D1607" t="str">
            <v>MA100</v>
          </cell>
          <cell r="E1607">
            <v>1.39</v>
          </cell>
          <cell r="G1607" t="str">
            <v>201104-OP</v>
          </cell>
        </row>
        <row r="1608">
          <cell r="A1608" t="str">
            <v>201108B</v>
          </cell>
          <cell r="B1608" t="str">
            <v>KIT,DR TRIM 10 GHZ CRS 36</v>
          </cell>
          <cell r="C1608" t="str">
            <v>EA</v>
          </cell>
          <cell r="D1608" t="str">
            <v>MA100</v>
          </cell>
          <cell r="E1608">
            <v>747.25</v>
          </cell>
          <cell r="G1608" t="str">
            <v>201108B</v>
          </cell>
        </row>
        <row r="1609">
          <cell r="A1609" t="str">
            <v>201111B</v>
          </cell>
          <cell r="B1609" t="str">
            <v>KIT,DR MECH DEI STD CRS 84" H3/8PR-TAK*</v>
          </cell>
          <cell r="C1609" t="str">
            <v>EA</v>
          </cell>
          <cell r="D1609" t="str">
            <v>MA100</v>
          </cell>
          <cell r="E1609">
            <v>1031.49712</v>
          </cell>
          <cell r="G1609" t="str">
            <v>201111B</v>
          </cell>
        </row>
        <row r="1610">
          <cell r="A1610">
            <v>201119</v>
          </cell>
          <cell r="B1610" t="str">
            <v>ASSY,CONT FNGR W/375P60,18"LG (DBL EVO)</v>
          </cell>
          <cell r="C1610" t="str">
            <v>EA</v>
          </cell>
          <cell r="D1610" t="str">
            <v>MA100</v>
          </cell>
          <cell r="E1610">
            <v>6.7706</v>
          </cell>
          <cell r="G1610">
            <v>201119</v>
          </cell>
        </row>
        <row r="1611">
          <cell r="A1611">
            <v>201120</v>
          </cell>
          <cell r="B1611" t="str">
            <v>ASSY,CONT FNGR W/375P60,18"LG CU</v>
          </cell>
          <cell r="C1611" t="str">
            <v>EA</v>
          </cell>
          <cell r="D1611" t="str">
            <v>MA100</v>
          </cell>
          <cell r="E1611">
            <v>6.7706</v>
          </cell>
          <cell r="G1611">
            <v>201120</v>
          </cell>
        </row>
        <row r="1612">
          <cell r="A1612">
            <v>201121</v>
          </cell>
          <cell r="B1612" t="str">
            <v>ASSY,CONT FNGR W/375P80 1X18LG CU*</v>
          </cell>
          <cell r="C1612" t="str">
            <v>EA</v>
          </cell>
          <cell r="D1612" t="str">
            <v>MA100</v>
          </cell>
          <cell r="E1612">
            <v>5.63279</v>
          </cell>
          <cell r="G1612">
            <v>201121</v>
          </cell>
        </row>
        <row r="1613">
          <cell r="A1613" t="str">
            <v>201202B</v>
          </cell>
          <cell r="B1613" t="str">
            <v>KIT,DR MECH 10 GHZ CRS MOD</v>
          </cell>
          <cell r="C1613" t="str">
            <v>EA</v>
          </cell>
          <cell r="D1613" t="str">
            <v>MA100</v>
          </cell>
          <cell r="E1613">
            <v>793.99712</v>
          </cell>
          <cell r="G1613" t="str">
            <v>201202B</v>
          </cell>
        </row>
        <row r="1614">
          <cell r="A1614">
            <v>201226</v>
          </cell>
          <cell r="B1614" t="str">
            <v>ISLTR,THRD .5X34X5.875 OSWG PHEN</v>
          </cell>
          <cell r="C1614" t="str">
            <v>EA</v>
          </cell>
          <cell r="D1614" t="str">
            <v>MA100</v>
          </cell>
          <cell r="E1614">
            <v>114.6</v>
          </cell>
          <cell r="G1614">
            <v>201226</v>
          </cell>
        </row>
        <row r="1615">
          <cell r="A1615">
            <v>201227</v>
          </cell>
          <cell r="B1615" t="str">
            <v>ISLTR,THRD .5X47X5.875 OSWG PHEN</v>
          </cell>
          <cell r="C1615" t="str">
            <v>EA</v>
          </cell>
          <cell r="D1615" t="str">
            <v>RM100</v>
          </cell>
          <cell r="E1615">
            <v>63.55</v>
          </cell>
          <cell r="G1615">
            <v>201227</v>
          </cell>
        </row>
        <row r="1616">
          <cell r="A1616">
            <v>201228</v>
          </cell>
          <cell r="B1616" t="str">
            <v>ISLTR,THRD .5X41X5.875 OSWG PHEN</v>
          </cell>
          <cell r="C1616" t="str">
            <v>EA</v>
          </cell>
          <cell r="D1616" t="str">
            <v>RM100</v>
          </cell>
          <cell r="E1616">
            <v>73.283000000000001</v>
          </cell>
          <cell r="G1616">
            <v>201228</v>
          </cell>
        </row>
        <row r="1617">
          <cell r="A1617">
            <v>201229</v>
          </cell>
          <cell r="B1617" t="str">
            <v>THRSLD,OSWG ADPT 31X2 ALUM</v>
          </cell>
          <cell r="C1617" t="str">
            <v>EA</v>
          </cell>
          <cell r="D1617" t="str">
            <v>MA100</v>
          </cell>
          <cell r="E1617">
            <v>99.96</v>
          </cell>
          <cell r="G1617">
            <v>201229</v>
          </cell>
        </row>
        <row r="1618">
          <cell r="A1618">
            <v>201230</v>
          </cell>
          <cell r="B1618" t="str">
            <v>THRSLD,OSWG ADPT 38X2 ALUM</v>
          </cell>
          <cell r="C1618" t="str">
            <v>EA</v>
          </cell>
          <cell r="D1618" t="str">
            <v>RM100</v>
          </cell>
          <cell r="E1618">
            <v>44</v>
          </cell>
          <cell r="G1618">
            <v>201230</v>
          </cell>
        </row>
        <row r="1619">
          <cell r="A1619">
            <v>201231</v>
          </cell>
          <cell r="B1619" t="str">
            <v>THRSLD,OSWG ADPT 58X2 ALUM</v>
          </cell>
          <cell r="C1619" t="str">
            <v>EA</v>
          </cell>
          <cell r="D1619" t="str">
            <v>RM100</v>
          </cell>
          <cell r="E1619">
            <v>110.01</v>
          </cell>
          <cell r="G1619">
            <v>201231</v>
          </cell>
        </row>
        <row r="1620">
          <cell r="A1620">
            <v>201484</v>
          </cell>
          <cell r="B1620" t="str">
            <v>HNDL,PULL,MRI STYLE S/S HAGER #3*</v>
          </cell>
          <cell r="C1620" t="str">
            <v>EA</v>
          </cell>
          <cell r="D1620" t="str">
            <v>RM100</v>
          </cell>
          <cell r="E1620">
            <v>21.51</v>
          </cell>
          <cell r="G1620">
            <v>201484</v>
          </cell>
        </row>
        <row r="1621">
          <cell r="A1621">
            <v>201485</v>
          </cell>
          <cell r="B1621" t="str">
            <v>HNDL,SET (2) CURVED MRI W/PLATES</v>
          </cell>
          <cell r="C1621" t="str">
            <v>EA</v>
          </cell>
          <cell r="D1621" t="str">
            <v>RM100</v>
          </cell>
          <cell r="E1621">
            <v>42.69</v>
          </cell>
          <cell r="G1621">
            <v>201485</v>
          </cell>
        </row>
        <row r="1622">
          <cell r="A1622">
            <v>201550</v>
          </cell>
          <cell r="B1622" t="str">
            <v>ASSY,DR&amp;JB MRI4 LH-REV 48X84 W/FROSTY  W</v>
          </cell>
          <cell r="C1622" t="str">
            <v>EA</v>
          </cell>
          <cell r="D1622" t="str">
            <v>MA100</v>
          </cell>
          <cell r="E1622">
            <v>2308.6297500000001</v>
          </cell>
          <cell r="G1622">
            <v>201550</v>
          </cell>
        </row>
        <row r="1623">
          <cell r="A1623">
            <v>201551</v>
          </cell>
          <cell r="B1623" t="str">
            <v>ASSY,DR&amp;JB MRI4 RH-REV 48X84 W/FROSTY  W</v>
          </cell>
          <cell r="C1623" t="str">
            <v>EA</v>
          </cell>
          <cell r="D1623" t="str">
            <v>MA100</v>
          </cell>
          <cell r="E1623">
            <v>2209.12835</v>
          </cell>
          <cell r="G1623">
            <v>201551</v>
          </cell>
        </row>
        <row r="1624">
          <cell r="A1624" t="str">
            <v>201559B</v>
          </cell>
          <cell r="B1624" t="str">
            <v>KIT,TRIM DEI 48DR CRS BRUSH</v>
          </cell>
          <cell r="C1624" t="str">
            <v>EA</v>
          </cell>
          <cell r="D1624" t="str">
            <v>MA100</v>
          </cell>
          <cell r="E1624">
            <v>484.49</v>
          </cell>
          <cell r="G1624" t="str">
            <v>201559B</v>
          </cell>
        </row>
        <row r="1625">
          <cell r="A1625">
            <v>201601</v>
          </cell>
          <cell r="B1625" t="str">
            <v>KIT,DR MRI INSTALL (UNIVERSAL)</v>
          </cell>
          <cell r="C1625" t="str">
            <v>EA</v>
          </cell>
          <cell r="D1625" t="str">
            <v>MA100</v>
          </cell>
          <cell r="E1625">
            <v>203.81729000000001</v>
          </cell>
          <cell r="G1625">
            <v>201601</v>
          </cell>
        </row>
        <row r="1626">
          <cell r="A1626">
            <v>201608</v>
          </cell>
          <cell r="B1626" t="str">
            <v>KIT,DR INSTALL MRI 48x84(FNGR/TAPE/SCR*</v>
          </cell>
          <cell r="C1626" t="str">
            <v>EA</v>
          </cell>
          <cell r="D1626" t="str">
            <v>MA100</v>
          </cell>
          <cell r="E1626">
            <v>164.45544000000001</v>
          </cell>
          <cell r="G1626">
            <v>201608</v>
          </cell>
        </row>
        <row r="1627">
          <cell r="A1627">
            <v>201632</v>
          </cell>
          <cell r="B1627" t="str">
            <v>KIT,DR INSTALL MRI MOD DR(FNGR,TAPE,SCR*</v>
          </cell>
          <cell r="C1627" t="str">
            <v>EA</v>
          </cell>
          <cell r="D1627" t="str">
            <v>MA100</v>
          </cell>
          <cell r="E1627">
            <v>170.51219</v>
          </cell>
          <cell r="G1627">
            <v>201632</v>
          </cell>
        </row>
        <row r="1628">
          <cell r="A1628">
            <v>201646</v>
          </cell>
          <cell r="B1628" t="str">
            <v>ASSY,DR&amp;JAMB MRDS DBL 8X7</v>
          </cell>
          <cell r="C1628" t="str">
            <v>EA</v>
          </cell>
          <cell r="D1628" t="str">
            <v>MA100</v>
          </cell>
          <cell r="E1628">
            <v>4827.9991200000004</v>
          </cell>
          <cell r="G1628">
            <v>201646</v>
          </cell>
        </row>
        <row r="1629">
          <cell r="A1629">
            <v>201649</v>
          </cell>
          <cell r="B1629" t="str">
            <v>ASSY,D/J ALUM. MRDS,DBL/DR 60X84</v>
          </cell>
          <cell r="C1629" t="str">
            <v>EA</v>
          </cell>
          <cell r="D1629" t="str">
            <v>MA100</v>
          </cell>
          <cell r="E1629">
            <v>649.07000000000005</v>
          </cell>
          <cell r="G1629">
            <v>201649</v>
          </cell>
        </row>
        <row r="1630">
          <cell r="A1630">
            <v>201658</v>
          </cell>
          <cell r="B1630" t="str">
            <v>THRSHLD,ALUM 1/2"x4"x101-3/16"</v>
          </cell>
          <cell r="C1630" t="str">
            <v>EA</v>
          </cell>
          <cell r="D1630" t="str">
            <v>RM100</v>
          </cell>
          <cell r="E1630">
            <v>268</v>
          </cell>
          <cell r="G1630">
            <v>201658</v>
          </cell>
        </row>
        <row r="1631">
          <cell r="A1631">
            <v>201659</v>
          </cell>
          <cell r="B1631" t="str">
            <v>EXTRU,ALUM D/J HDR MACH 101-3/16".</v>
          </cell>
          <cell r="C1631" t="str">
            <v>EA</v>
          </cell>
          <cell r="D1631" t="str">
            <v>MA100</v>
          </cell>
          <cell r="E1631">
            <v>219.50299999999999</v>
          </cell>
          <cell r="G1631">
            <v>201659</v>
          </cell>
        </row>
        <row r="1632">
          <cell r="A1632">
            <v>201662</v>
          </cell>
          <cell r="B1632" t="str">
            <v>ASSY,DR &amp; JAMB MRDS DBL 10'-0 x 10'-0</v>
          </cell>
          <cell r="C1632" t="str">
            <v>EA</v>
          </cell>
          <cell r="D1632" t="str">
            <v>MA100</v>
          </cell>
          <cell r="E1632">
            <v>5335.7353499999999</v>
          </cell>
          <cell r="G1632">
            <v>201662</v>
          </cell>
        </row>
        <row r="1633">
          <cell r="A1633">
            <v>201663</v>
          </cell>
          <cell r="B1633" t="str">
            <v>DJ ALUM HINGE SIDE LEFT 10'</v>
          </cell>
          <cell r="C1633" t="str">
            <v>EA</v>
          </cell>
          <cell r="D1633" t="str">
            <v>RM100</v>
          </cell>
          <cell r="E1633">
            <v>153.63</v>
          </cell>
          <cell r="G1633">
            <v>201663</v>
          </cell>
        </row>
        <row r="1634">
          <cell r="A1634">
            <v>201664</v>
          </cell>
          <cell r="B1634" t="str">
            <v>DJ ALUM HINGE SIDE RIGHT 10'</v>
          </cell>
          <cell r="C1634" t="str">
            <v>EA</v>
          </cell>
          <cell r="D1634" t="str">
            <v>RM100</v>
          </cell>
          <cell r="E1634">
            <v>153.63</v>
          </cell>
          <cell r="G1634">
            <v>201664</v>
          </cell>
        </row>
        <row r="1635">
          <cell r="A1635">
            <v>201665</v>
          </cell>
          <cell r="B1635" t="str">
            <v>DJ ALUM THRESHOLD 10'</v>
          </cell>
          <cell r="C1635" t="str">
            <v>EA</v>
          </cell>
          <cell r="D1635" t="str">
            <v>RM100</v>
          </cell>
          <cell r="E1635">
            <v>399</v>
          </cell>
          <cell r="G1635">
            <v>201665</v>
          </cell>
        </row>
        <row r="1636">
          <cell r="A1636">
            <v>201666</v>
          </cell>
          <cell r="B1636" t="str">
            <v>DJ ALUM HEADER 10'</v>
          </cell>
          <cell r="C1636" t="str">
            <v>EA</v>
          </cell>
          <cell r="D1636" t="str">
            <v>RM100</v>
          </cell>
          <cell r="E1636">
            <v>133.47</v>
          </cell>
          <cell r="G1636">
            <v>201666</v>
          </cell>
        </row>
        <row r="1637">
          <cell r="A1637">
            <v>201667</v>
          </cell>
          <cell r="B1637" t="str">
            <v>DJ ALUM OUTSWING ADAPTER 117</v>
          </cell>
          <cell r="C1637" t="str">
            <v>EA</v>
          </cell>
          <cell r="D1637" t="str">
            <v>RM100</v>
          </cell>
          <cell r="E1637">
            <v>130</v>
          </cell>
          <cell r="G1637">
            <v>201667</v>
          </cell>
        </row>
        <row r="1638">
          <cell r="A1638">
            <v>201669</v>
          </cell>
          <cell r="B1638" t="str">
            <v>DJ ISOLATOR OUTSWING 120"</v>
          </cell>
          <cell r="C1638" t="str">
            <v>EA</v>
          </cell>
          <cell r="D1638" t="str">
            <v>RM100</v>
          </cell>
          <cell r="E1638">
            <v>321.7</v>
          </cell>
          <cell r="G1638">
            <v>201669</v>
          </cell>
        </row>
        <row r="1639">
          <cell r="A1639">
            <v>201670</v>
          </cell>
          <cell r="B1639" t="str">
            <v>DR SLAB, RIGHT LEAF 57-5/16X117-1/8</v>
          </cell>
          <cell r="C1639" t="str">
            <v>EA</v>
          </cell>
          <cell r="D1639" t="str">
            <v>MA100</v>
          </cell>
          <cell r="E1639">
            <v>311.46249999999998</v>
          </cell>
          <cell r="G1639">
            <v>201670</v>
          </cell>
        </row>
        <row r="1640">
          <cell r="A1640">
            <v>201671</v>
          </cell>
          <cell r="B1640" t="str">
            <v>DR SLAB, LEFT LEAF 57-5/16X117-1/8</v>
          </cell>
          <cell r="C1640" t="str">
            <v>EA</v>
          </cell>
          <cell r="D1640" t="str">
            <v>MA100</v>
          </cell>
          <cell r="E1640">
            <v>311.46249999999998</v>
          </cell>
          <cell r="G1640">
            <v>201671</v>
          </cell>
        </row>
        <row r="1641">
          <cell r="A1641">
            <v>201672</v>
          </cell>
          <cell r="B1641" t="str">
            <v>DR SLAB, RIGHT W/WINDOW 57-5/16X117-1/8</v>
          </cell>
          <cell r="C1641" t="str">
            <v>EA</v>
          </cell>
          <cell r="D1641" t="str">
            <v>MA100</v>
          </cell>
          <cell r="E1641">
            <v>311.46249999999998</v>
          </cell>
          <cell r="G1641">
            <v>201672</v>
          </cell>
        </row>
        <row r="1642">
          <cell r="A1642">
            <v>201729</v>
          </cell>
          <cell r="B1642" t="str">
            <v>ASSY,ELECTRICAL DR AUTOSEAL PNEUMATIC/*</v>
          </cell>
          <cell r="C1642" t="str">
            <v>EA</v>
          </cell>
          <cell r="D1642" t="str">
            <v>RM100</v>
          </cell>
          <cell r="E1642">
            <v>368.10349000000002</v>
          </cell>
          <cell r="G1642">
            <v>201729</v>
          </cell>
        </row>
        <row r="1643">
          <cell r="A1643">
            <v>201730</v>
          </cell>
          <cell r="B1643" t="str">
            <v>ASSY,LOGIC BOX 120VAC - 12VDCELECT/PNEU*</v>
          </cell>
          <cell r="C1643" t="str">
            <v>EA</v>
          </cell>
          <cell r="D1643" t="str">
            <v>RM100</v>
          </cell>
          <cell r="E1643">
            <v>544</v>
          </cell>
          <cell r="G1643">
            <v>201730</v>
          </cell>
        </row>
        <row r="1644">
          <cell r="A1644">
            <v>201731</v>
          </cell>
          <cell r="B1644" t="str">
            <v>ASSY,STATUS INDICATOR 12VDC "DR SEALED"*</v>
          </cell>
          <cell r="C1644" t="str">
            <v>EA</v>
          </cell>
          <cell r="D1644" t="str">
            <v>MA100</v>
          </cell>
          <cell r="E1644">
            <v>17.070599999999999</v>
          </cell>
          <cell r="G1644">
            <v>201731</v>
          </cell>
        </row>
        <row r="1645">
          <cell r="A1645">
            <v>201732</v>
          </cell>
          <cell r="B1645" t="str">
            <v>ASSY,PWR INDICATOR 12VDC POWER ON green*</v>
          </cell>
          <cell r="C1645" t="str">
            <v>EA</v>
          </cell>
          <cell r="D1645" t="str">
            <v>MA100</v>
          </cell>
          <cell r="E1645">
            <v>12.844150000000001</v>
          </cell>
          <cell r="G1645">
            <v>201732</v>
          </cell>
        </row>
        <row r="1646">
          <cell r="A1646">
            <v>201741</v>
          </cell>
          <cell r="B1646" t="str">
            <v>KIT,AUTOSEAL DR INSTAL FOR CELL TYPE FLR</v>
          </cell>
          <cell r="C1646" t="str">
            <v>EA</v>
          </cell>
          <cell r="D1646" t="str">
            <v>MA100</v>
          </cell>
          <cell r="E1646">
            <v>29.18149</v>
          </cell>
          <cell r="G1646">
            <v>201741</v>
          </cell>
        </row>
        <row r="1647">
          <cell r="A1647">
            <v>201770</v>
          </cell>
          <cell r="B1647" t="str">
            <v>KIT,DR INSTAL MRI FULL CELL(FNGR,TAPE*</v>
          </cell>
          <cell r="C1647" t="str">
            <v>EA</v>
          </cell>
          <cell r="D1647" t="str">
            <v>MA100</v>
          </cell>
          <cell r="E1647">
            <v>179.43412000000001</v>
          </cell>
          <cell r="G1647">
            <v>201770</v>
          </cell>
        </row>
        <row r="1648">
          <cell r="A1648">
            <v>201790</v>
          </cell>
          <cell r="B1648" t="str">
            <v>ASSY,D&amp;J ALUM MRI4 LH INSWING 48"X80"</v>
          </cell>
          <cell r="C1648" t="str">
            <v>EA</v>
          </cell>
          <cell r="D1648" t="str">
            <v>MA100</v>
          </cell>
          <cell r="E1648">
            <v>1991.1059399999999</v>
          </cell>
          <cell r="G1648">
            <v>201790</v>
          </cell>
        </row>
        <row r="1649">
          <cell r="A1649">
            <v>201792</v>
          </cell>
          <cell r="B1649" t="str">
            <v>ASSY,D&amp;J ALUM MRI4 RH REVERSE 36"X80"</v>
          </cell>
          <cell r="C1649" t="str">
            <v>EA</v>
          </cell>
          <cell r="D1649" t="str">
            <v>MA100</v>
          </cell>
          <cell r="E1649">
            <v>1902.3759399999999</v>
          </cell>
          <cell r="G1649">
            <v>201792</v>
          </cell>
        </row>
        <row r="1650">
          <cell r="A1650">
            <v>201795</v>
          </cell>
          <cell r="B1650" t="str">
            <v>ASSY,D&amp;J ALUM MRI4 LH INSWING 36"X80"</v>
          </cell>
          <cell r="C1650" t="str">
            <v>EA</v>
          </cell>
          <cell r="D1650" t="str">
            <v>MA100</v>
          </cell>
          <cell r="E1650">
            <v>2014.1503399999999</v>
          </cell>
          <cell r="G1650">
            <v>201795</v>
          </cell>
        </row>
        <row r="1651">
          <cell r="A1651">
            <v>201796</v>
          </cell>
          <cell r="B1651" t="str">
            <v>ASSY,D&amp;J ALUM MRI4 RH REVERSE 29"X84"</v>
          </cell>
          <cell r="C1651" t="str">
            <v>EA</v>
          </cell>
          <cell r="D1651" t="str">
            <v>MA100</v>
          </cell>
          <cell r="E1651">
            <v>1204.71594</v>
          </cell>
          <cell r="G1651">
            <v>201796</v>
          </cell>
        </row>
        <row r="1652">
          <cell r="A1652">
            <v>201797</v>
          </cell>
          <cell r="B1652" t="str">
            <v>ASSY,D&amp;J ALUM MRI4 LH INSWING 36"X84"</v>
          </cell>
          <cell r="C1652" t="str">
            <v>EA</v>
          </cell>
          <cell r="D1652" t="str">
            <v>MA100</v>
          </cell>
          <cell r="E1652">
            <v>1121.4474399999999</v>
          </cell>
          <cell r="G1652">
            <v>201797</v>
          </cell>
        </row>
        <row r="1653">
          <cell r="A1653">
            <v>201798</v>
          </cell>
          <cell r="B1653" t="str">
            <v>ASSY,D&amp;J ALUM MRI4 RH REVERSE 36"X84"</v>
          </cell>
          <cell r="C1653" t="str">
            <v>EA</v>
          </cell>
          <cell r="D1653" t="str">
            <v>MA100</v>
          </cell>
          <cell r="E1653">
            <v>1165.4474399999999</v>
          </cell>
          <cell r="G1653">
            <v>201798</v>
          </cell>
        </row>
        <row r="1654">
          <cell r="A1654">
            <v>201799</v>
          </cell>
          <cell r="B1654" t="str">
            <v>ASSY,D&amp;J ALUM MRI4 LH INSWING 42"X84"</v>
          </cell>
          <cell r="C1654" t="str">
            <v>EA</v>
          </cell>
          <cell r="D1654" t="str">
            <v>MA100</v>
          </cell>
          <cell r="E1654">
            <v>1151.77214</v>
          </cell>
          <cell r="G1654">
            <v>201799</v>
          </cell>
        </row>
        <row r="1655">
          <cell r="A1655">
            <v>201800</v>
          </cell>
          <cell r="B1655" t="str">
            <v>ASSY,D&amp;J ALUM MRI4 RH REVERSE 42"X84"</v>
          </cell>
          <cell r="C1655" t="str">
            <v>EA</v>
          </cell>
          <cell r="D1655" t="str">
            <v>MA100</v>
          </cell>
          <cell r="E1655">
            <v>1205.03934</v>
          </cell>
          <cell r="G1655">
            <v>201800</v>
          </cell>
        </row>
        <row r="1656">
          <cell r="A1656">
            <v>201801</v>
          </cell>
          <cell r="B1656" t="str">
            <v>ASSY,D&amp;J ALUM MRI4 LH INSWING 48"X84"</v>
          </cell>
          <cell r="C1656" t="str">
            <v>EA</v>
          </cell>
          <cell r="D1656" t="str">
            <v>MA100</v>
          </cell>
          <cell r="E1656">
            <v>1116.7634599999999</v>
          </cell>
          <cell r="G1656">
            <v>201801</v>
          </cell>
        </row>
        <row r="1657">
          <cell r="A1657">
            <v>201802</v>
          </cell>
          <cell r="B1657" t="str">
            <v>ASSY,D&amp;J ALUM MRI4 RH REVERSE 48"X84"</v>
          </cell>
          <cell r="C1657" t="str">
            <v>EA</v>
          </cell>
          <cell r="D1657" t="str">
            <v>MA100</v>
          </cell>
          <cell r="E1657">
            <v>1170.00506</v>
          </cell>
          <cell r="G1657">
            <v>201802</v>
          </cell>
        </row>
        <row r="1658">
          <cell r="A1658">
            <v>201809</v>
          </cell>
          <cell r="B1658" t="str">
            <v>ASSY,D&amp;J ALUM MRI4 RH INSWING 36"X84"</v>
          </cell>
          <cell r="C1658" t="str">
            <v>EA</v>
          </cell>
          <cell r="D1658" t="str">
            <v>MA100</v>
          </cell>
          <cell r="E1658">
            <v>1231.17544</v>
          </cell>
          <cell r="G1658">
            <v>201809</v>
          </cell>
        </row>
        <row r="1659">
          <cell r="A1659">
            <v>201810</v>
          </cell>
          <cell r="B1659" t="str">
            <v>ASSY,D&amp;J ALUM MRI4 LH REVERSE 36"X84"</v>
          </cell>
          <cell r="C1659" t="str">
            <v>EA</v>
          </cell>
          <cell r="D1659" t="str">
            <v>MA100</v>
          </cell>
          <cell r="E1659">
            <v>1275.5274400000001</v>
          </cell>
          <cell r="G1659">
            <v>201810</v>
          </cell>
        </row>
        <row r="1660">
          <cell r="A1660">
            <v>201811</v>
          </cell>
          <cell r="B1660" t="str">
            <v>ASSY,D&amp;J ALUM MRI4 RH INSWING 42"X84"</v>
          </cell>
          <cell r="C1660" t="str">
            <v>EA</v>
          </cell>
          <cell r="D1660" t="str">
            <v>MA100</v>
          </cell>
          <cell r="E1660">
            <v>1261.85214</v>
          </cell>
          <cell r="G1660">
            <v>201811</v>
          </cell>
        </row>
        <row r="1661">
          <cell r="A1661">
            <v>201812</v>
          </cell>
          <cell r="B1661" t="str">
            <v>ASSY,D&amp;J ALUM MRI4 LH REVERSE 42"X84"</v>
          </cell>
          <cell r="C1661" t="str">
            <v>EA</v>
          </cell>
          <cell r="D1661" t="str">
            <v>MA100</v>
          </cell>
          <cell r="E1661">
            <v>1315.11934</v>
          </cell>
          <cell r="G1661">
            <v>201812</v>
          </cell>
        </row>
        <row r="1662">
          <cell r="A1662">
            <v>201813</v>
          </cell>
          <cell r="B1662" t="str">
            <v>ASSY,D&amp;J ALUM MRI4 RH INSWING 48"X84"</v>
          </cell>
          <cell r="C1662" t="str">
            <v>EA</v>
          </cell>
          <cell r="D1662" t="str">
            <v>MA100</v>
          </cell>
          <cell r="E1662">
            <v>2091.49746</v>
          </cell>
          <cell r="G1662">
            <v>201813</v>
          </cell>
        </row>
        <row r="1663">
          <cell r="A1663">
            <v>201814</v>
          </cell>
          <cell r="B1663" t="str">
            <v>ASSY,D&amp;J ALUM MRI4 LH REVERSE 48"X84"</v>
          </cell>
          <cell r="C1663" t="str">
            <v>EA</v>
          </cell>
          <cell r="D1663" t="str">
            <v>MA100</v>
          </cell>
          <cell r="E1663">
            <v>1280.0850600000001</v>
          </cell>
          <cell r="G1663">
            <v>201814</v>
          </cell>
        </row>
        <row r="1664">
          <cell r="A1664">
            <v>201838</v>
          </cell>
          <cell r="B1664" t="str">
            <v>ASSY,D&amp;J ALUM MRI4 LH INSWING 48"X96"</v>
          </cell>
          <cell r="C1664" t="str">
            <v>EA</v>
          </cell>
          <cell r="D1664" t="str">
            <v>MA100</v>
          </cell>
          <cell r="E1664">
            <v>2140.4054599999999</v>
          </cell>
          <cell r="G1664">
            <v>201838</v>
          </cell>
        </row>
        <row r="1665">
          <cell r="A1665">
            <v>201839</v>
          </cell>
          <cell r="B1665" t="str">
            <v>ASSY,D&amp;J ALUM MRI4 RH INSWING 48"X96"</v>
          </cell>
          <cell r="C1665" t="str">
            <v>EA</v>
          </cell>
          <cell r="D1665" t="str">
            <v>MA100</v>
          </cell>
          <cell r="E1665">
            <v>2171.82546</v>
          </cell>
          <cell r="G1665">
            <v>201839</v>
          </cell>
        </row>
        <row r="1666">
          <cell r="A1666">
            <v>201843</v>
          </cell>
          <cell r="B1666" t="str">
            <v>ASSY,D&amp;J ALUM MRI4 DBL 96"X96"</v>
          </cell>
          <cell r="C1666" t="str">
            <v>EA</v>
          </cell>
          <cell r="D1666" t="str">
            <v>MA100</v>
          </cell>
          <cell r="E1666">
            <v>3779.4730199999999</v>
          </cell>
          <cell r="G1666">
            <v>201843</v>
          </cell>
        </row>
        <row r="1667">
          <cell r="A1667">
            <v>201846</v>
          </cell>
          <cell r="B1667" t="str">
            <v>ASSY,D&amp;J ALUM MRI4 DBL 72"X96"</v>
          </cell>
          <cell r="C1667" t="str">
            <v>EA</v>
          </cell>
          <cell r="D1667" t="str">
            <v>MA100</v>
          </cell>
          <cell r="E1667">
            <v>1985.42498</v>
          </cell>
          <cell r="G1667">
            <v>201846</v>
          </cell>
        </row>
        <row r="1668">
          <cell r="A1668">
            <v>201856</v>
          </cell>
          <cell r="B1668" t="str">
            <v>KIT,AUTOSEAL DR 120VAC-12VDC</v>
          </cell>
          <cell r="C1668" t="str">
            <v>EA</v>
          </cell>
          <cell r="D1668" t="str">
            <v>MA100</v>
          </cell>
          <cell r="E1668">
            <v>1481.9016200000001</v>
          </cell>
          <cell r="G1668">
            <v>201856</v>
          </cell>
        </row>
        <row r="1669">
          <cell r="A1669">
            <v>201945</v>
          </cell>
          <cell r="B1669" t="str">
            <v>KIT,RH DEI AUTO DR FABRICATED PARTS*</v>
          </cell>
          <cell r="C1669" t="str">
            <v>EA</v>
          </cell>
          <cell r="D1669" t="str">
            <v>MA100</v>
          </cell>
          <cell r="E1669">
            <v>1649</v>
          </cell>
          <cell r="G1669">
            <v>201945</v>
          </cell>
        </row>
        <row r="1670">
          <cell r="A1670">
            <v>201948</v>
          </cell>
          <cell r="B1670" t="str">
            <v>ASSY,DR&amp;JB MRI4 DD 60"X84"  2'LH 3'RH</v>
          </cell>
          <cell r="C1670" t="str">
            <v>EA</v>
          </cell>
          <cell r="D1670" t="str">
            <v>MA100</v>
          </cell>
          <cell r="E1670">
            <v>2167.48405</v>
          </cell>
          <cell r="G1670">
            <v>201948</v>
          </cell>
        </row>
        <row r="1671">
          <cell r="A1671">
            <v>201952</v>
          </cell>
          <cell r="B1671" t="str">
            <v>EXTRU,HDR MACH 89" ALUM MRI4</v>
          </cell>
          <cell r="C1671" t="str">
            <v>EA</v>
          </cell>
          <cell r="D1671" t="str">
            <v>MA100</v>
          </cell>
          <cell r="E1671">
            <v>212.10398000000001</v>
          </cell>
          <cell r="G1671">
            <v>201952</v>
          </cell>
        </row>
        <row r="1672">
          <cell r="A1672" t="str">
            <v>202007A</v>
          </cell>
          <cell r="B1672" t="str">
            <v>TRIM, ALUM, 83-7/8"X1.25X3/16"*</v>
          </cell>
          <cell r="C1672" t="str">
            <v>EA</v>
          </cell>
          <cell r="D1672" t="str">
            <v>MA100</v>
          </cell>
          <cell r="E1672">
            <v>19.908000000000001</v>
          </cell>
          <cell r="G1672" t="str">
            <v>202007A</v>
          </cell>
        </row>
        <row r="1673">
          <cell r="A1673" t="str">
            <v>202007A-OP</v>
          </cell>
          <cell r="B1673" t="str">
            <v>PROCESS,FAB,MACH OF 200828A(83-7/8)*</v>
          </cell>
          <cell r="C1673" t="str">
            <v>EA</v>
          </cell>
          <cell r="D1673" t="str">
            <v>MA100</v>
          </cell>
          <cell r="E1673">
            <v>13.5</v>
          </cell>
          <cell r="G1673" t="str">
            <v>202007A-OP</v>
          </cell>
        </row>
        <row r="1674">
          <cell r="A1674" t="str">
            <v>202008A</v>
          </cell>
          <cell r="B1674" t="str">
            <v>TRIM, ALUM, 47-7/8X1.25X 3/16"*</v>
          </cell>
          <cell r="C1674" t="str">
            <v>EA</v>
          </cell>
          <cell r="D1674" t="str">
            <v>MA100</v>
          </cell>
          <cell r="E1674">
            <v>10.904</v>
          </cell>
          <cell r="G1674" t="str">
            <v>202008A</v>
          </cell>
        </row>
        <row r="1675">
          <cell r="A1675" t="str">
            <v>202008A-OP</v>
          </cell>
          <cell r="B1675" t="str">
            <v>PROCESS,FAB,MACH OF 200828A(47-7/8)*</v>
          </cell>
          <cell r="C1675" t="str">
            <v>EA</v>
          </cell>
          <cell r="D1675" t="str">
            <v>RM100</v>
          </cell>
          <cell r="E1675">
            <v>7.7</v>
          </cell>
          <cell r="G1675" t="str">
            <v>202008A-OP</v>
          </cell>
        </row>
        <row r="1676">
          <cell r="A1676" t="str">
            <v>202009A</v>
          </cell>
          <cell r="B1676" t="str">
            <v>TRIM, ALUM, 83-5/8X1.25X3/16*</v>
          </cell>
          <cell r="C1676" t="str">
            <v>EA</v>
          </cell>
          <cell r="D1676" t="str">
            <v>MA100</v>
          </cell>
          <cell r="E1676">
            <v>19.908000000000001</v>
          </cell>
          <cell r="G1676" t="str">
            <v>202009A</v>
          </cell>
        </row>
        <row r="1677">
          <cell r="A1677" t="str">
            <v>202009A-OP</v>
          </cell>
          <cell r="B1677" t="str">
            <v>PROCESS,FAB,MACH OF 200828A(83-5/8)*</v>
          </cell>
          <cell r="C1677" t="str">
            <v>EA</v>
          </cell>
          <cell r="D1677" t="str">
            <v>RM100</v>
          </cell>
          <cell r="E1677">
            <v>13.5</v>
          </cell>
          <cell r="G1677" t="str">
            <v>202009A-OP</v>
          </cell>
        </row>
        <row r="1678">
          <cell r="A1678" t="str">
            <v>202010A</v>
          </cell>
          <cell r="B1678" t="str">
            <v>TRIM, ALUM, 47-5/8X1.25X3/16"</v>
          </cell>
          <cell r="C1678" t="str">
            <v>EA</v>
          </cell>
          <cell r="D1678" t="str">
            <v>MA100</v>
          </cell>
          <cell r="E1678">
            <v>10.904</v>
          </cell>
          <cell r="G1678" t="str">
            <v>202010A</v>
          </cell>
        </row>
        <row r="1679">
          <cell r="A1679" t="str">
            <v>202010A-OP</v>
          </cell>
          <cell r="B1679" t="str">
            <v>PROCESS,FAB,MACH OF 200828A(47-5/8)*</v>
          </cell>
          <cell r="C1679" t="str">
            <v>EA</v>
          </cell>
          <cell r="D1679" t="str">
            <v>RM100</v>
          </cell>
          <cell r="E1679">
            <v>7.7</v>
          </cell>
          <cell r="G1679" t="str">
            <v>202010A-OP</v>
          </cell>
        </row>
        <row r="1680">
          <cell r="A1680">
            <v>202016</v>
          </cell>
          <cell r="B1680" t="str">
            <v>KIT,EVO,DOOR LOGIC,ELECTRICAL</v>
          </cell>
          <cell r="C1680" t="str">
            <v>EA</v>
          </cell>
          <cell r="D1680" t="str">
            <v>RM100</v>
          </cell>
          <cell r="E1680">
            <v>127.4</v>
          </cell>
          <cell r="G1680">
            <v>202016</v>
          </cell>
        </row>
        <row r="1681">
          <cell r="A1681">
            <v>202017</v>
          </cell>
          <cell r="B1681" t="str">
            <v>Kit,AS-II DOOR LOGIC WIRE</v>
          </cell>
          <cell r="C1681" t="str">
            <v>EA</v>
          </cell>
          <cell r="D1681" t="str">
            <v>MA100</v>
          </cell>
          <cell r="E1681">
            <v>19.154240000000001</v>
          </cell>
          <cell r="G1681">
            <v>202017</v>
          </cell>
        </row>
        <row r="1682">
          <cell r="A1682">
            <v>202018</v>
          </cell>
          <cell r="B1682" t="str">
            <v>KIT,AS2,DOOR LOGIC (ELEC)</v>
          </cell>
          <cell r="C1682" t="str">
            <v>EA</v>
          </cell>
          <cell r="D1682" t="str">
            <v>RM100</v>
          </cell>
          <cell r="E1682">
            <v>119.19</v>
          </cell>
          <cell r="G1682">
            <v>202018</v>
          </cell>
        </row>
        <row r="1683">
          <cell r="A1683">
            <v>202020</v>
          </cell>
          <cell r="B1683" t="str">
            <v>KIT,EVO, DOOR LOGIC WIRE</v>
          </cell>
          <cell r="C1683" t="str">
            <v>EA</v>
          </cell>
          <cell r="D1683" t="str">
            <v>MA100</v>
          </cell>
          <cell r="E1683">
            <v>35.986170000000001</v>
          </cell>
          <cell r="G1683">
            <v>202020</v>
          </cell>
        </row>
        <row r="1684">
          <cell r="A1684">
            <v>202035</v>
          </cell>
          <cell r="B1684" t="str">
            <v>ASSY,FIRE DOOR BOTTOM SEAL MECHANISM</v>
          </cell>
          <cell r="C1684" t="str">
            <v>EA</v>
          </cell>
          <cell r="D1684" t="str">
            <v>MA100</v>
          </cell>
          <cell r="E1684">
            <v>256.43912999999998</v>
          </cell>
          <cell r="G1684">
            <v>202035</v>
          </cell>
        </row>
        <row r="1685">
          <cell r="A1685">
            <v>202036</v>
          </cell>
          <cell r="B1685" t="str">
            <v>ASSY,DOOR BOTTOM MECH SUPPORT</v>
          </cell>
          <cell r="C1685" t="str">
            <v>EA</v>
          </cell>
          <cell r="D1685" t="str">
            <v>MA100</v>
          </cell>
          <cell r="E1685">
            <v>238.71512999999999</v>
          </cell>
          <cell r="G1685">
            <v>202036</v>
          </cell>
        </row>
        <row r="1686">
          <cell r="A1686">
            <v>202037</v>
          </cell>
          <cell r="B1686" t="str">
            <v>ASSY,JB AS2,48" DR</v>
          </cell>
          <cell r="C1686" t="str">
            <v>EA</v>
          </cell>
          <cell r="D1686" t="str">
            <v>RM100</v>
          </cell>
          <cell r="E1686">
            <v>875.84</v>
          </cell>
          <cell r="G1686">
            <v>202037</v>
          </cell>
        </row>
        <row r="1687">
          <cell r="A1687">
            <v>202049</v>
          </cell>
          <cell r="B1687" t="str">
            <v>ASSY,D&amp;J AS2 4X7 DOOR LH/RHR</v>
          </cell>
          <cell r="C1687" t="str">
            <v>EA</v>
          </cell>
          <cell r="D1687" t="str">
            <v>MA100</v>
          </cell>
          <cell r="E1687">
            <v>5852.31106</v>
          </cell>
          <cell r="G1687">
            <v>202049</v>
          </cell>
        </row>
        <row r="1688">
          <cell r="A1688">
            <v>202052</v>
          </cell>
          <cell r="B1688" t="str">
            <v>KIT,AS2 ,PNEU CYLINDER/CONTL</v>
          </cell>
          <cell r="C1688" t="str">
            <v>EA</v>
          </cell>
          <cell r="D1688" t="str">
            <v>RM100</v>
          </cell>
          <cell r="E1688">
            <v>530</v>
          </cell>
          <cell r="G1688">
            <v>202052</v>
          </cell>
        </row>
        <row r="1689">
          <cell r="A1689">
            <v>202053</v>
          </cell>
          <cell r="B1689" t="str">
            <v>KIT,EVO,PNEU CYLINDER/CONTL</v>
          </cell>
          <cell r="C1689" t="str">
            <v>EA</v>
          </cell>
          <cell r="D1689" t="str">
            <v>RM100</v>
          </cell>
          <cell r="E1689">
            <v>740.29</v>
          </cell>
          <cell r="G1689">
            <v>202053</v>
          </cell>
        </row>
        <row r="1690">
          <cell r="A1690">
            <v>202055</v>
          </cell>
          <cell r="B1690" t="str">
            <v>KIT,TIMER RELAY,SINGLE, NON-KEYED</v>
          </cell>
          <cell r="C1690" t="str">
            <v>EA</v>
          </cell>
          <cell r="D1690" t="str">
            <v>MA100</v>
          </cell>
          <cell r="E1690">
            <v>219.19877</v>
          </cell>
          <cell r="G1690">
            <v>202055</v>
          </cell>
        </row>
        <row r="1691">
          <cell r="A1691">
            <v>202056</v>
          </cell>
          <cell r="B1691" t="str">
            <v>KIT,TIMER RELAY,DOUBLE, NON-KEYED</v>
          </cell>
          <cell r="C1691" t="str">
            <v>EA</v>
          </cell>
          <cell r="D1691" t="str">
            <v>MA100</v>
          </cell>
          <cell r="E1691">
            <v>226.47387000000001</v>
          </cell>
          <cell r="G1691">
            <v>202056</v>
          </cell>
        </row>
        <row r="1692">
          <cell r="A1692">
            <v>202057</v>
          </cell>
          <cell r="B1692" t="str">
            <v>KIT, TIMER RELAY, DOUBLE, INTLK, KEYED</v>
          </cell>
          <cell r="C1692" t="str">
            <v>EA</v>
          </cell>
          <cell r="D1692" t="str">
            <v>MA100</v>
          </cell>
          <cell r="E1692">
            <v>365.82006999999999</v>
          </cell>
          <cell r="G1692">
            <v>202057</v>
          </cell>
        </row>
        <row r="1693">
          <cell r="A1693">
            <v>202058</v>
          </cell>
          <cell r="B1693" t="str">
            <v>KIT,AUTOSEAL II INSTALL KIT</v>
          </cell>
          <cell r="C1693" t="str">
            <v>EA</v>
          </cell>
          <cell r="D1693" t="str">
            <v>MA100</v>
          </cell>
          <cell r="E1693">
            <v>185.84100000000001</v>
          </cell>
          <cell r="G1693">
            <v>202058</v>
          </cell>
        </row>
        <row r="1694">
          <cell r="A1694">
            <v>202059</v>
          </cell>
          <cell r="B1694" t="str">
            <v>ASSY,DOOR #2 AS2 FOR 6' DOUBLE SWING</v>
          </cell>
          <cell r="C1694" t="str">
            <v>EA</v>
          </cell>
          <cell r="D1694" t="str">
            <v>RM100</v>
          </cell>
          <cell r="E1694">
            <v>1607.8439000000001</v>
          </cell>
          <cell r="G1694">
            <v>202059</v>
          </cell>
        </row>
        <row r="1695">
          <cell r="A1695">
            <v>202064</v>
          </cell>
          <cell r="B1695" t="str">
            <v>ASSY,DR AS2 4X7 STC 40 DR LH</v>
          </cell>
          <cell r="C1695" t="str">
            <v>EA</v>
          </cell>
          <cell r="D1695" t="str">
            <v>RM100</v>
          </cell>
          <cell r="E1695">
            <v>1186.5899999999999</v>
          </cell>
          <cell r="G1695">
            <v>202064</v>
          </cell>
        </row>
        <row r="1696">
          <cell r="A1696">
            <v>202065</v>
          </cell>
          <cell r="B1696" t="str">
            <v>ASSY,DR AS2 4X7 STC 40 DR RH</v>
          </cell>
          <cell r="C1696" t="str">
            <v>EA</v>
          </cell>
          <cell r="D1696" t="str">
            <v>RM100</v>
          </cell>
          <cell r="E1696">
            <v>1186.5899999999999</v>
          </cell>
          <cell r="G1696">
            <v>202065</v>
          </cell>
        </row>
        <row r="1697">
          <cell r="A1697">
            <v>202069</v>
          </cell>
          <cell r="B1697" t="str">
            <v>KIT,AUTO-DRAIN W/COMPRESSOR FOR OVERSEAS</v>
          </cell>
          <cell r="C1697" t="str">
            <v>EA</v>
          </cell>
          <cell r="D1697" t="str">
            <v>MA100</v>
          </cell>
          <cell r="E1697">
            <v>499.07619999999997</v>
          </cell>
          <cell r="G1697">
            <v>202069</v>
          </cell>
        </row>
        <row r="1698">
          <cell r="A1698">
            <v>202071</v>
          </cell>
          <cell r="B1698" t="str">
            <v>KIT,COMPRESSOR DRAIN (DOMESTIC)</v>
          </cell>
          <cell r="C1698" t="str">
            <v>EA</v>
          </cell>
          <cell r="D1698" t="str">
            <v>RM100</v>
          </cell>
          <cell r="E1698">
            <v>130</v>
          </cell>
          <cell r="G1698">
            <v>202071</v>
          </cell>
        </row>
        <row r="1699">
          <cell r="A1699">
            <v>202072</v>
          </cell>
          <cell r="B1699" t="str">
            <v>KIT,MRI4 DR RH ACOUSTIC UPGRADE PKG</v>
          </cell>
          <cell r="C1699" t="str">
            <v>EA</v>
          </cell>
          <cell r="D1699" t="str">
            <v>MA100</v>
          </cell>
          <cell r="E1699">
            <v>698.09694000000002</v>
          </cell>
          <cell r="G1699">
            <v>202072</v>
          </cell>
        </row>
        <row r="1700">
          <cell r="A1700">
            <v>202075</v>
          </cell>
          <cell r="B1700" t="str">
            <v>KIT,LOGIC W/PHOTO SENSOR KEYPAD,OUTSWING</v>
          </cell>
          <cell r="C1700" t="str">
            <v>EA</v>
          </cell>
          <cell r="D1700" t="str">
            <v>MA100</v>
          </cell>
          <cell r="E1700">
            <v>539.78219000000001</v>
          </cell>
          <cell r="G1700">
            <v>202075</v>
          </cell>
        </row>
        <row r="1701">
          <cell r="A1701">
            <v>202078</v>
          </cell>
          <cell r="B1701" t="str">
            <v>KIT,MRI4 DR LH ACOUSTIC UPGRADE PKG</v>
          </cell>
          <cell r="C1701" t="str">
            <v>EA</v>
          </cell>
          <cell r="D1701" t="str">
            <v>MA100</v>
          </cell>
          <cell r="E1701">
            <v>814.48694</v>
          </cell>
          <cell r="G1701">
            <v>202078</v>
          </cell>
        </row>
        <row r="1702">
          <cell r="A1702">
            <v>202081</v>
          </cell>
          <cell r="B1702" t="str">
            <v>ASSY,DR AS2 3X7 DOOR LH/RHR</v>
          </cell>
          <cell r="C1702" t="str">
            <v>EA</v>
          </cell>
          <cell r="D1702" t="str">
            <v>RM100</v>
          </cell>
          <cell r="E1702">
            <v>1146.5899999999999</v>
          </cell>
          <cell r="G1702">
            <v>202081</v>
          </cell>
        </row>
        <row r="1703">
          <cell r="A1703">
            <v>202082</v>
          </cell>
          <cell r="B1703" t="str">
            <v>ASSY,DR AS2 3X7 DOOR RH/LHR</v>
          </cell>
          <cell r="C1703" t="str">
            <v>EA</v>
          </cell>
          <cell r="D1703" t="str">
            <v>RM100</v>
          </cell>
          <cell r="E1703">
            <v>1146.5899999999999</v>
          </cell>
          <cell r="G1703">
            <v>202082</v>
          </cell>
        </row>
        <row r="1704">
          <cell r="A1704">
            <v>202085</v>
          </cell>
          <cell r="B1704" t="str">
            <v>ASSY,JB AS2 36" DR</v>
          </cell>
          <cell r="C1704" t="str">
            <v>EA</v>
          </cell>
          <cell r="D1704" t="str">
            <v>RM100</v>
          </cell>
          <cell r="E1704">
            <v>837.09</v>
          </cell>
          <cell r="G1704">
            <v>202085</v>
          </cell>
        </row>
        <row r="1705">
          <cell r="A1705">
            <v>202093</v>
          </cell>
          <cell r="B1705" t="str">
            <v>ASSY, EVO,TRANSPORT</v>
          </cell>
          <cell r="C1705" t="str">
            <v>EA</v>
          </cell>
          <cell r="D1705" t="str">
            <v>MA100</v>
          </cell>
          <cell r="E1705">
            <v>170.19579999999999</v>
          </cell>
          <cell r="G1705">
            <v>202093</v>
          </cell>
        </row>
        <row r="1706">
          <cell r="A1706">
            <v>202094</v>
          </cell>
          <cell r="B1706" t="str">
            <v>ASSY, STC34 TRANSPORT</v>
          </cell>
          <cell r="C1706" t="str">
            <v>EA</v>
          </cell>
          <cell r="D1706" t="str">
            <v>MA100</v>
          </cell>
          <cell r="E1706">
            <v>186.6096</v>
          </cell>
          <cell r="G1706">
            <v>202094</v>
          </cell>
        </row>
        <row r="1707">
          <cell r="A1707">
            <v>202095</v>
          </cell>
          <cell r="B1707" t="str">
            <v>ASSY, AS2 TRANSPORT</v>
          </cell>
          <cell r="C1707" t="str">
            <v>EA</v>
          </cell>
          <cell r="D1707" t="str">
            <v>MA100</v>
          </cell>
          <cell r="E1707">
            <v>188.8622</v>
          </cell>
          <cell r="G1707">
            <v>202095</v>
          </cell>
        </row>
        <row r="1708">
          <cell r="A1708">
            <v>202096</v>
          </cell>
          <cell r="B1708" t="str">
            <v>MAGLOCK ASSY, INSW W/KEYPAD LOGIC*</v>
          </cell>
          <cell r="C1708" t="str">
            <v>EA</v>
          </cell>
          <cell r="D1708" t="str">
            <v>MA100</v>
          </cell>
          <cell r="E1708">
            <v>1200.23657</v>
          </cell>
          <cell r="G1708">
            <v>202096</v>
          </cell>
        </row>
        <row r="1709">
          <cell r="A1709">
            <v>202098</v>
          </cell>
          <cell r="B1709" t="str">
            <v>MAGLOCK ASSY, OSW W/KEYPAD LOGIC*</v>
          </cell>
          <cell r="C1709" t="str">
            <v>EA</v>
          </cell>
          <cell r="D1709" t="str">
            <v>MA100</v>
          </cell>
          <cell r="E1709">
            <v>1390.8231800000001</v>
          </cell>
          <cell r="G1709">
            <v>202098</v>
          </cell>
        </row>
        <row r="1710">
          <cell r="A1710">
            <v>202099</v>
          </cell>
          <cell r="B1710" t="str">
            <v>ASSY,JAMB,AS2 4'-0 LH</v>
          </cell>
          <cell r="C1710" t="str">
            <v>EA</v>
          </cell>
          <cell r="D1710" t="str">
            <v>MA100</v>
          </cell>
          <cell r="E1710">
            <v>2584.8638900000001</v>
          </cell>
          <cell r="G1710">
            <v>202099</v>
          </cell>
        </row>
        <row r="1711">
          <cell r="A1711">
            <v>202100</v>
          </cell>
          <cell r="B1711" t="str">
            <v>ASSY,JAMB,AS2 4'-0 LH (STC40)</v>
          </cell>
          <cell r="C1711" t="str">
            <v>EA</v>
          </cell>
          <cell r="D1711" t="str">
            <v>MA100</v>
          </cell>
          <cell r="E1711">
            <v>2835.0468900000001</v>
          </cell>
          <cell r="G1711">
            <v>202100</v>
          </cell>
        </row>
        <row r="1712">
          <cell r="A1712">
            <v>202101</v>
          </cell>
          <cell r="B1712" t="str">
            <v>ASSY,JAMB,AS2 4'-0 RH (STC40)</v>
          </cell>
          <cell r="C1712" t="str">
            <v>EA</v>
          </cell>
          <cell r="D1712" t="str">
            <v>MA100</v>
          </cell>
          <cell r="E1712">
            <v>2842.9924599999999</v>
          </cell>
          <cell r="G1712">
            <v>202101</v>
          </cell>
        </row>
        <row r="1713">
          <cell r="A1713">
            <v>202102</v>
          </cell>
          <cell r="B1713" t="str">
            <v>ASSY,JAMB,AS2 4'-0 RH</v>
          </cell>
          <cell r="C1713" t="str">
            <v>EA</v>
          </cell>
          <cell r="D1713" t="str">
            <v>MA100</v>
          </cell>
          <cell r="E1713">
            <v>2601.20046</v>
          </cell>
          <cell r="G1713">
            <v>202102</v>
          </cell>
        </row>
        <row r="1714">
          <cell r="A1714">
            <v>202106</v>
          </cell>
          <cell r="B1714" t="str">
            <v>ASSY, BOTTOM MECH SUPPORT 6' DBL DOOR*</v>
          </cell>
          <cell r="C1714" t="str">
            <v>EA</v>
          </cell>
          <cell r="D1714" t="str">
            <v>MA100</v>
          </cell>
          <cell r="E1714">
            <v>4.64025</v>
          </cell>
          <cell r="G1714">
            <v>202106</v>
          </cell>
        </row>
        <row r="1715">
          <cell r="A1715">
            <v>202107</v>
          </cell>
          <cell r="B1715" t="str">
            <v>KIT, RH MRI4 ACOU. UPGRADE, WELDED PARTS</v>
          </cell>
          <cell r="C1715" t="str">
            <v>EA</v>
          </cell>
          <cell r="D1715" t="str">
            <v>MA100</v>
          </cell>
          <cell r="E1715">
            <v>420.52</v>
          </cell>
          <cell r="G1715">
            <v>202107</v>
          </cell>
        </row>
        <row r="1716">
          <cell r="A1716">
            <v>202108</v>
          </cell>
          <cell r="B1716" t="str">
            <v>KIT, LH MRI4 ACOU. UPGRADE, WELDED PARTS</v>
          </cell>
          <cell r="C1716" t="str">
            <v>EA</v>
          </cell>
          <cell r="D1716" t="str">
            <v>MA100</v>
          </cell>
          <cell r="E1716">
            <v>479.26</v>
          </cell>
          <cell r="G1716">
            <v>202108</v>
          </cell>
        </row>
        <row r="1717">
          <cell r="A1717">
            <v>202109</v>
          </cell>
          <cell r="B1717" t="str">
            <v>KIT,EVO,MAGLOCK,(O.S) SINGLE, W/KEYPAD</v>
          </cell>
          <cell r="C1717" t="str">
            <v>EA</v>
          </cell>
          <cell r="D1717" t="str">
            <v>MA100</v>
          </cell>
          <cell r="E1717">
            <v>1276.8399999999999</v>
          </cell>
          <cell r="G1717">
            <v>202109</v>
          </cell>
        </row>
        <row r="1718">
          <cell r="A1718">
            <v>202110</v>
          </cell>
          <cell r="B1718" t="str">
            <v>KIT,EVO,MAGLOCK,(I.S) SINGLE, W/KEYPAD</v>
          </cell>
          <cell r="C1718" t="str">
            <v>EA</v>
          </cell>
          <cell r="D1718" t="str">
            <v>MA100</v>
          </cell>
          <cell r="E1718">
            <v>1144.96</v>
          </cell>
          <cell r="G1718">
            <v>202110</v>
          </cell>
        </row>
        <row r="1719">
          <cell r="A1719">
            <v>202111</v>
          </cell>
          <cell r="B1719" t="str">
            <v>KIT, OPNR/CLSR, EVO, LH, I.S., 4'</v>
          </cell>
          <cell r="C1719" t="str">
            <v>EA</v>
          </cell>
          <cell r="D1719" t="str">
            <v>MA100</v>
          </cell>
          <cell r="E1719">
            <v>2824.9551299999998</v>
          </cell>
          <cell r="G1719">
            <v>202111</v>
          </cell>
        </row>
        <row r="1720">
          <cell r="A1720">
            <v>202112</v>
          </cell>
          <cell r="B1720" t="str">
            <v>KIT, OPNR/CLSR, EVO, RH, I.S., 4'</v>
          </cell>
          <cell r="C1720" t="str">
            <v>EA</v>
          </cell>
          <cell r="D1720" t="str">
            <v>MA100</v>
          </cell>
          <cell r="E1720">
            <v>2896.9651600000002</v>
          </cell>
          <cell r="G1720">
            <v>202112</v>
          </cell>
        </row>
        <row r="1721">
          <cell r="A1721">
            <v>202113</v>
          </cell>
          <cell r="B1721" t="str">
            <v>KIT,AS2 FILTER ASSY FOR INSWING DR</v>
          </cell>
          <cell r="C1721" t="str">
            <v>EA</v>
          </cell>
          <cell r="D1721" t="str">
            <v>MA100</v>
          </cell>
          <cell r="E1721">
            <v>655.75018</v>
          </cell>
          <cell r="G1721">
            <v>202113</v>
          </cell>
        </row>
        <row r="1722">
          <cell r="A1722">
            <v>202114</v>
          </cell>
          <cell r="B1722" t="str">
            <v>KIT, KEYPAD (MEDICAL DOORS)</v>
          </cell>
          <cell r="C1722" t="str">
            <v>EA</v>
          </cell>
          <cell r="D1722" t="str">
            <v>MA100</v>
          </cell>
          <cell r="E1722">
            <v>143.30410000000001</v>
          </cell>
          <cell r="G1722">
            <v>202114</v>
          </cell>
        </row>
        <row r="1723">
          <cell r="A1723">
            <v>202115</v>
          </cell>
          <cell r="B1723" t="str">
            <v>KIT, OUTSIDE, PUSHPLATE w/KEYED SWITCH</v>
          </cell>
          <cell r="C1723" t="str">
            <v>EA</v>
          </cell>
          <cell r="D1723" t="str">
            <v>MA100</v>
          </cell>
          <cell r="E1723">
            <v>226.50905</v>
          </cell>
          <cell r="G1723">
            <v>202115</v>
          </cell>
        </row>
        <row r="1724">
          <cell r="A1724">
            <v>202116</v>
          </cell>
          <cell r="B1724" t="str">
            <v>ASSY,W/COMPRESSOR FOR USA (115VAC-60Hz)*</v>
          </cell>
          <cell r="C1724" t="str">
            <v>EA</v>
          </cell>
          <cell r="D1724" t="str">
            <v>MA100</v>
          </cell>
          <cell r="E1724">
            <v>491.80786000000001</v>
          </cell>
          <cell r="G1724">
            <v>202116</v>
          </cell>
        </row>
        <row r="1725">
          <cell r="A1725">
            <v>202117</v>
          </cell>
          <cell r="B1725" t="str">
            <v>ASSY,3' LEAF,3'-2'&amp;3'-3',AS-II DBL DR,RH</v>
          </cell>
          <cell r="C1725" t="str">
            <v>EA</v>
          </cell>
          <cell r="D1725" t="str">
            <v>RM100</v>
          </cell>
          <cell r="E1725">
            <v>1078.1067</v>
          </cell>
          <cell r="G1725">
            <v>202117</v>
          </cell>
        </row>
        <row r="1726">
          <cell r="A1726">
            <v>202118</v>
          </cell>
          <cell r="B1726" t="str">
            <v>ASSY,D&amp;J AS2 6X7 (3'-3') DBLSWG No/WDW's</v>
          </cell>
          <cell r="C1726" t="str">
            <v>EA</v>
          </cell>
          <cell r="D1726" t="str">
            <v>MA100</v>
          </cell>
          <cell r="E1726">
            <v>14340.75835</v>
          </cell>
          <cell r="G1726">
            <v>202118</v>
          </cell>
        </row>
        <row r="1727">
          <cell r="A1727">
            <v>202119</v>
          </cell>
          <cell r="B1727" t="str">
            <v>ASSY,JAMB,AS2 6'WIDE x7' CLEAR OPENING</v>
          </cell>
          <cell r="C1727" t="str">
            <v>EA</v>
          </cell>
          <cell r="D1727" t="str">
            <v>RM100</v>
          </cell>
          <cell r="E1727">
            <v>1167.3</v>
          </cell>
          <cell r="G1727">
            <v>202119</v>
          </cell>
        </row>
        <row r="1728">
          <cell r="A1728">
            <v>202120</v>
          </cell>
          <cell r="B1728" t="str">
            <v>OBSOLETE</v>
          </cell>
          <cell r="C1728" t="str">
            <v>EA</v>
          </cell>
          <cell r="D1728" t="str">
            <v>FG055</v>
          </cell>
          <cell r="E1728">
            <v>17546.963589999999</v>
          </cell>
          <cell r="G1728">
            <v>202120</v>
          </cell>
        </row>
        <row r="1729">
          <cell r="A1729">
            <v>202121</v>
          </cell>
          <cell r="B1729" t="str">
            <v>ASSY,DOOR #1 AS2 FOR 6' DBLSWING,w/WDW</v>
          </cell>
          <cell r="C1729" t="str">
            <v>EA</v>
          </cell>
          <cell r="D1729" t="str">
            <v>FG055</v>
          </cell>
          <cell r="E1729">
            <v>1298.51</v>
          </cell>
          <cell r="G1729">
            <v>202121</v>
          </cell>
        </row>
        <row r="1730">
          <cell r="A1730">
            <v>202122</v>
          </cell>
          <cell r="B1730" t="str">
            <v>ASSY,DOOR #2 AS2 FOR 6' DBLSWING,w/WDW</v>
          </cell>
          <cell r="C1730" t="str">
            <v>EA</v>
          </cell>
          <cell r="D1730" t="str">
            <v>FG055</v>
          </cell>
          <cell r="E1730">
            <v>1298.51</v>
          </cell>
          <cell r="G1730">
            <v>202122</v>
          </cell>
        </row>
        <row r="1731">
          <cell r="A1731">
            <v>202125</v>
          </cell>
          <cell r="B1731" t="str">
            <v>KIT,ASII,DR HNDL,W/BIMBA</v>
          </cell>
          <cell r="C1731" t="str">
            <v>EA</v>
          </cell>
          <cell r="D1731" t="str">
            <v>MA100</v>
          </cell>
          <cell r="E1731">
            <v>481.04300999999998</v>
          </cell>
          <cell r="G1731">
            <v>202125</v>
          </cell>
        </row>
        <row r="1732">
          <cell r="A1732">
            <v>202127</v>
          </cell>
          <cell r="B1732" t="str">
            <v>KIT, OPNR/CLSR, EVO, RH, O.S., 4'</v>
          </cell>
          <cell r="C1732" t="str">
            <v>EA</v>
          </cell>
          <cell r="D1732" t="str">
            <v>MA100</v>
          </cell>
          <cell r="E1732">
            <v>2892.2815300000002</v>
          </cell>
          <cell r="G1732">
            <v>202127</v>
          </cell>
        </row>
        <row r="1733">
          <cell r="A1733">
            <v>202128</v>
          </cell>
          <cell r="B1733" t="str">
            <v>KIT, OPNR/CLSR, EVO, LH, O.S., 4'</v>
          </cell>
          <cell r="C1733" t="str">
            <v>EA</v>
          </cell>
          <cell r="D1733" t="str">
            <v>MA100</v>
          </cell>
          <cell r="E1733">
            <v>2891.1879300000001</v>
          </cell>
          <cell r="G1733">
            <v>202128</v>
          </cell>
        </row>
        <row r="1734">
          <cell r="A1734">
            <v>202130</v>
          </cell>
          <cell r="B1734" t="str">
            <v>ASSY,OPENER/CLOSER (ELEC.) LH/RH 4'</v>
          </cell>
          <cell r="C1734" t="str">
            <v>EA</v>
          </cell>
          <cell r="D1734" t="str">
            <v>MA100</v>
          </cell>
          <cell r="E1734">
            <v>104.6242</v>
          </cell>
          <cell r="G1734">
            <v>202130</v>
          </cell>
        </row>
        <row r="1735">
          <cell r="A1735">
            <v>202131</v>
          </cell>
          <cell r="B1735" t="str">
            <v>KIT,EVO,IV,LH-IN&amp;OUT</v>
          </cell>
          <cell r="C1735" t="str">
            <v>EA</v>
          </cell>
          <cell r="D1735" t="str">
            <v>MA100</v>
          </cell>
          <cell r="E1735">
            <v>250.60097999999999</v>
          </cell>
          <cell r="G1735">
            <v>202131</v>
          </cell>
        </row>
        <row r="1736">
          <cell r="A1736">
            <v>202132</v>
          </cell>
          <cell r="B1736" t="str">
            <v>KIT,EVO,IV,RH-IN&amp;OUT</v>
          </cell>
          <cell r="C1736" t="str">
            <v>EA</v>
          </cell>
          <cell r="D1736" t="str">
            <v>MA100</v>
          </cell>
          <cell r="E1736">
            <v>300.35097999999999</v>
          </cell>
          <cell r="G1736">
            <v>202132</v>
          </cell>
        </row>
        <row r="1737">
          <cell r="A1737">
            <v>202136</v>
          </cell>
          <cell r="B1737" t="str">
            <v>OBSOLETE</v>
          </cell>
          <cell r="C1737" t="str">
            <v>EA</v>
          </cell>
          <cell r="D1737" t="str">
            <v>FG055</v>
          </cell>
          <cell r="E1737">
            <v>20855.449830000001</v>
          </cell>
          <cell r="G1737">
            <v>202136</v>
          </cell>
        </row>
        <row r="1738">
          <cell r="A1738">
            <v>202137</v>
          </cell>
          <cell r="B1738" t="str">
            <v>ASSY,D&amp;J AS2 6X7 4'-2' DBL INSW NO/W,LH</v>
          </cell>
          <cell r="C1738" t="str">
            <v>EA</v>
          </cell>
          <cell r="D1738" t="str">
            <v>FG055</v>
          </cell>
          <cell r="E1738">
            <v>14796.063330000001</v>
          </cell>
          <cell r="G1738">
            <v>202137</v>
          </cell>
        </row>
        <row r="1739">
          <cell r="A1739">
            <v>202138</v>
          </cell>
          <cell r="B1739" t="str">
            <v>ASSY,D&amp;J AS2 6X7 4'-2' DBL INSW,WDW,RH*</v>
          </cell>
          <cell r="C1739" t="str">
            <v>EA</v>
          </cell>
          <cell r="D1739" t="str">
            <v>FG055</v>
          </cell>
          <cell r="E1739">
            <v>15326.0419</v>
          </cell>
          <cell r="G1739">
            <v>202138</v>
          </cell>
        </row>
        <row r="1740">
          <cell r="A1740">
            <v>202139</v>
          </cell>
          <cell r="B1740" t="str">
            <v>ASSY,AS2 4'DOOR FOR 6' DBLSWG,WDW,RH</v>
          </cell>
          <cell r="C1740" t="str">
            <v>EA</v>
          </cell>
          <cell r="D1740" t="str">
            <v>FG055</v>
          </cell>
          <cell r="E1740">
            <v>1607.3</v>
          </cell>
          <cell r="G1740">
            <v>202139</v>
          </cell>
        </row>
        <row r="1741">
          <cell r="A1741">
            <v>202140</v>
          </cell>
          <cell r="B1741" t="str">
            <v>ASSY,AS2 LH 2' DOOR for RH 6' DBLSWG</v>
          </cell>
          <cell r="C1741" t="str">
            <v>EA</v>
          </cell>
          <cell r="D1741" t="str">
            <v>FG055</v>
          </cell>
          <cell r="E1741">
            <v>2131.59</v>
          </cell>
          <cell r="G1741">
            <v>202140</v>
          </cell>
        </row>
        <row r="1742">
          <cell r="A1742">
            <v>202141</v>
          </cell>
          <cell r="B1742" t="str">
            <v>ASSY,D&amp;J AS2 6X7 4'-2' DBL INSW WDW,LH</v>
          </cell>
          <cell r="C1742" t="str">
            <v>EA</v>
          </cell>
          <cell r="D1742" t="str">
            <v>FG055</v>
          </cell>
          <cell r="E1742">
            <v>15922.40835</v>
          </cell>
          <cell r="G1742">
            <v>202141</v>
          </cell>
        </row>
        <row r="1743">
          <cell r="A1743">
            <v>202142</v>
          </cell>
          <cell r="B1743" t="str">
            <v>ASSY,AS2 4' DOOR FOR 6' DBLSWG,WDW,LH</v>
          </cell>
          <cell r="C1743" t="str">
            <v>EA</v>
          </cell>
          <cell r="D1743" t="str">
            <v>FG055</v>
          </cell>
          <cell r="E1743">
            <v>1828.7966699999999</v>
          </cell>
          <cell r="G1743">
            <v>202142</v>
          </cell>
        </row>
        <row r="1744">
          <cell r="A1744">
            <v>202143</v>
          </cell>
          <cell r="B1744" t="str">
            <v>ASSY,AS2 RH 2' DOOR for LH 6' DBLSWG</v>
          </cell>
          <cell r="C1744" t="str">
            <v>EA</v>
          </cell>
          <cell r="D1744" t="str">
            <v>FG055</v>
          </cell>
          <cell r="E1744">
            <v>2085</v>
          </cell>
          <cell r="G1744">
            <v>202143</v>
          </cell>
        </row>
        <row r="1745">
          <cell r="A1745">
            <v>202144</v>
          </cell>
          <cell r="B1745" t="str">
            <v>ASSY,DR AS2 3X7  DOOR LH,w/WDW</v>
          </cell>
          <cell r="C1745" t="str">
            <v>EA</v>
          </cell>
          <cell r="D1745" t="str">
            <v>FG055</v>
          </cell>
          <cell r="E1745">
            <v>1545.9907900000001</v>
          </cell>
          <cell r="G1745">
            <v>202144</v>
          </cell>
        </row>
        <row r="1746">
          <cell r="A1746">
            <v>202145</v>
          </cell>
          <cell r="B1746" t="str">
            <v>ASSY,DR AS2 3X7  DOOR RH,w/WDW</v>
          </cell>
          <cell r="C1746" t="str">
            <v>EA</v>
          </cell>
          <cell r="D1746" t="str">
            <v>FG055</v>
          </cell>
          <cell r="E1746">
            <v>1545.99</v>
          </cell>
          <cell r="G1746">
            <v>202145</v>
          </cell>
        </row>
        <row r="1747">
          <cell r="A1747">
            <v>202151</v>
          </cell>
          <cell r="B1747" t="str">
            <v>ASSY,3' OPENER/CLOSER FOR AS2 LH OUTSWG</v>
          </cell>
          <cell r="C1747" t="str">
            <v>EA</v>
          </cell>
          <cell r="D1747" t="str">
            <v>FG055</v>
          </cell>
          <cell r="E1747">
            <v>2152.7894700000002</v>
          </cell>
          <cell r="G1747">
            <v>202151</v>
          </cell>
        </row>
        <row r="1748">
          <cell r="A1748">
            <v>202152</v>
          </cell>
          <cell r="B1748" t="str">
            <v>ASSY,AS2 BOTTOM SEAL MECHANISM 2' DR</v>
          </cell>
          <cell r="C1748" t="str">
            <v>EA</v>
          </cell>
          <cell r="D1748" t="str">
            <v>FG055</v>
          </cell>
          <cell r="E1748">
            <v>358.75274999999999</v>
          </cell>
          <cell r="G1748">
            <v>202152</v>
          </cell>
        </row>
        <row r="1749">
          <cell r="A1749">
            <v>202153</v>
          </cell>
          <cell r="B1749" t="str">
            <v>ASSY, BOTTOM MECH SUPPORT 2' DBL DOOR</v>
          </cell>
          <cell r="C1749" t="str">
            <v>EA</v>
          </cell>
          <cell r="D1749" t="str">
            <v>MA100</v>
          </cell>
          <cell r="E1749">
            <v>97.635750000000002</v>
          </cell>
          <cell r="G1749">
            <v>202153</v>
          </cell>
        </row>
        <row r="1750">
          <cell r="A1750">
            <v>202154</v>
          </cell>
          <cell r="B1750" t="str">
            <v>ASSY,JAMB,AS2 6'WDx7' CO w/4'-2' DRLH&amp;RH</v>
          </cell>
          <cell r="C1750" t="str">
            <v>EA</v>
          </cell>
          <cell r="D1750" t="str">
            <v>RM100</v>
          </cell>
          <cell r="E1750">
            <v>1275.23</v>
          </cell>
          <cell r="G1750">
            <v>202154</v>
          </cell>
        </row>
        <row r="1751">
          <cell r="A1751">
            <v>202155</v>
          </cell>
          <cell r="B1751" t="str">
            <v>KIT,EVO,I.S.,DR HNDL,W/BIMBA</v>
          </cell>
          <cell r="C1751" t="str">
            <v>EA</v>
          </cell>
          <cell r="D1751" t="str">
            <v>MA100</v>
          </cell>
          <cell r="E1751">
            <v>595.62061000000006</v>
          </cell>
          <cell r="G1751">
            <v>202155</v>
          </cell>
        </row>
        <row r="1752">
          <cell r="A1752">
            <v>202156</v>
          </cell>
          <cell r="B1752" t="str">
            <v>KIT,EVO,O.S.,DR HNDL,W/BIMBA</v>
          </cell>
          <cell r="C1752" t="str">
            <v>EA</v>
          </cell>
          <cell r="D1752" t="str">
            <v>MA100</v>
          </cell>
          <cell r="E1752">
            <v>595.62061000000006</v>
          </cell>
          <cell r="G1752">
            <v>202156</v>
          </cell>
        </row>
        <row r="1753">
          <cell r="A1753">
            <v>202159</v>
          </cell>
          <cell r="B1753" t="str">
            <v>BRKT,MAGLOCK,UNIV,DBL DR</v>
          </cell>
          <cell r="C1753" t="str">
            <v>EA</v>
          </cell>
          <cell r="D1753" t="str">
            <v>RM100</v>
          </cell>
          <cell r="E1753">
            <v>294.75</v>
          </cell>
          <cell r="G1753">
            <v>202159</v>
          </cell>
        </row>
        <row r="1754">
          <cell r="A1754">
            <v>202160</v>
          </cell>
          <cell r="B1754" t="str">
            <v>ASSY,D&amp;J STC (34) LH INSWING 48"X84"</v>
          </cell>
          <cell r="C1754" t="str">
            <v>EA</v>
          </cell>
          <cell r="D1754" t="str">
            <v>MA100</v>
          </cell>
          <cell r="E1754">
            <v>1731.1454900000001</v>
          </cell>
          <cell r="G1754">
            <v>202160</v>
          </cell>
        </row>
        <row r="1755">
          <cell r="A1755">
            <v>202161</v>
          </cell>
          <cell r="B1755" t="str">
            <v>ASSY,D&amp;J STC (34) RH INSWING 48"X84"</v>
          </cell>
          <cell r="C1755" t="str">
            <v>EA</v>
          </cell>
          <cell r="D1755" t="str">
            <v>MA100</v>
          </cell>
          <cell r="E1755">
            <v>1954.21949</v>
          </cell>
          <cell r="G1755">
            <v>202161</v>
          </cell>
        </row>
        <row r="1756">
          <cell r="A1756">
            <v>202162</v>
          </cell>
          <cell r="B1756" t="str">
            <v>ASSY,D&amp;J STC (34) LH REVERSE 48"X84"</v>
          </cell>
          <cell r="C1756" t="str">
            <v>EA</v>
          </cell>
          <cell r="D1756" t="str">
            <v>MA100</v>
          </cell>
          <cell r="E1756">
            <v>2007.80989</v>
          </cell>
          <cell r="G1756">
            <v>202162</v>
          </cell>
        </row>
        <row r="1757">
          <cell r="A1757">
            <v>202163</v>
          </cell>
          <cell r="B1757" t="str">
            <v>ASSY,D&amp;J STC (34) RH REVERSE 48"X84"</v>
          </cell>
          <cell r="C1757" t="str">
            <v>EA</v>
          </cell>
          <cell r="D1757" t="str">
            <v>MA100</v>
          </cell>
          <cell r="E1757">
            <v>1783.4794899999999</v>
          </cell>
          <cell r="G1757">
            <v>202163</v>
          </cell>
        </row>
        <row r="1758">
          <cell r="A1758">
            <v>202164</v>
          </cell>
          <cell r="B1758" t="str">
            <v>ASSY,D&amp;J STC (34) LH INSWING 42"X84"</v>
          </cell>
          <cell r="C1758" t="str">
            <v>EA</v>
          </cell>
          <cell r="D1758" t="str">
            <v>MA100</v>
          </cell>
          <cell r="E1758">
            <v>1764.2038399999999</v>
          </cell>
          <cell r="G1758">
            <v>202164</v>
          </cell>
        </row>
        <row r="1759">
          <cell r="A1759">
            <v>202165</v>
          </cell>
          <cell r="B1759" t="str">
            <v>ASSY,D&amp;J STC (34) RH INSWING 42"X84"</v>
          </cell>
          <cell r="C1759" t="str">
            <v>EA</v>
          </cell>
          <cell r="D1759" t="str">
            <v>MA100</v>
          </cell>
          <cell r="E1759">
            <v>1987.82384</v>
          </cell>
          <cell r="G1759">
            <v>202165</v>
          </cell>
        </row>
        <row r="1760">
          <cell r="A1760">
            <v>202167</v>
          </cell>
          <cell r="B1760" t="str">
            <v>ASSY,D&amp;J STC (34) RH REVERSE 42"X84"</v>
          </cell>
          <cell r="C1760" t="str">
            <v>EA</v>
          </cell>
          <cell r="D1760" t="str">
            <v>MA100</v>
          </cell>
          <cell r="E1760">
            <v>1817.08384</v>
          </cell>
          <cell r="G1760">
            <v>202167</v>
          </cell>
        </row>
        <row r="1761">
          <cell r="A1761">
            <v>202168</v>
          </cell>
          <cell r="B1761" t="str">
            <v>ASSY,D&amp;J STC (34) LH INSWING 36"X84"</v>
          </cell>
          <cell r="C1761" t="str">
            <v>EA</v>
          </cell>
          <cell r="D1761" t="str">
            <v>MA100</v>
          </cell>
          <cell r="E1761">
            <v>1955.4903200000001</v>
          </cell>
          <cell r="G1761">
            <v>202168</v>
          </cell>
        </row>
        <row r="1762">
          <cell r="A1762">
            <v>202169</v>
          </cell>
          <cell r="B1762" t="str">
            <v>ASSY,D&amp;J STC (34) RH INSWING 36"X84"</v>
          </cell>
          <cell r="C1762" t="str">
            <v>EA</v>
          </cell>
          <cell r="D1762" t="str">
            <v>MA100</v>
          </cell>
          <cell r="E1762">
            <v>1958.0853400000001</v>
          </cell>
          <cell r="G1762">
            <v>202169</v>
          </cell>
        </row>
        <row r="1763">
          <cell r="A1763">
            <v>202170</v>
          </cell>
          <cell r="B1763" t="str">
            <v>ASSY,D&amp;J STC (34) LH REVERSE 36"X84"</v>
          </cell>
          <cell r="C1763" t="str">
            <v>EA</v>
          </cell>
          <cell r="D1763" t="str">
            <v>MA100</v>
          </cell>
          <cell r="E1763">
            <v>2578.5853400000001</v>
          </cell>
          <cell r="G1763">
            <v>202170</v>
          </cell>
        </row>
        <row r="1764">
          <cell r="A1764">
            <v>202171</v>
          </cell>
          <cell r="B1764" t="str">
            <v>ASSY,D&amp;J STC (34) RH REVERSE 36"X84"</v>
          </cell>
          <cell r="C1764" t="str">
            <v>EA</v>
          </cell>
          <cell r="D1764" t="str">
            <v>MA100</v>
          </cell>
          <cell r="E1764">
            <v>2354.9653400000002</v>
          </cell>
          <cell r="G1764">
            <v>202171</v>
          </cell>
        </row>
        <row r="1765">
          <cell r="A1765">
            <v>202172</v>
          </cell>
          <cell r="B1765" t="str">
            <v>ASSY D&amp;J STC34 48X84,LH-REV WHT</v>
          </cell>
          <cell r="C1765" t="str">
            <v>EA</v>
          </cell>
          <cell r="D1765" t="str">
            <v>MA100</v>
          </cell>
          <cell r="E1765">
            <v>3510.3005800000001</v>
          </cell>
          <cell r="G1765">
            <v>202172</v>
          </cell>
        </row>
        <row r="1766">
          <cell r="A1766">
            <v>202173</v>
          </cell>
          <cell r="B1766" t="str">
            <v>ASSY D&amp;J STC34 48X84, RH-REV WHT</v>
          </cell>
          <cell r="C1766" t="str">
            <v>EA</v>
          </cell>
          <cell r="D1766" t="str">
            <v>MA100</v>
          </cell>
          <cell r="E1766">
            <v>3286.6805800000002</v>
          </cell>
          <cell r="G1766">
            <v>202173</v>
          </cell>
        </row>
        <row r="1767">
          <cell r="A1767">
            <v>202176</v>
          </cell>
          <cell r="B1767" t="str">
            <v>ASSY D&amp;J STC34 36X84 RH-IS/LH-REV WHT</v>
          </cell>
          <cell r="C1767" t="str">
            <v>EA</v>
          </cell>
          <cell r="D1767" t="str">
            <v>MA100</v>
          </cell>
          <cell r="E1767">
            <v>2934.4065300000002</v>
          </cell>
          <cell r="G1767">
            <v>202176</v>
          </cell>
        </row>
        <row r="1768">
          <cell r="A1768">
            <v>202177</v>
          </cell>
          <cell r="B1768" t="str">
            <v>ASSY D&amp;J STC34 36X84 LH-IS/RH-REV WHT</v>
          </cell>
          <cell r="C1768" t="str">
            <v>EA</v>
          </cell>
          <cell r="D1768" t="str">
            <v>MA100</v>
          </cell>
          <cell r="E1768">
            <v>2694.2505299999998</v>
          </cell>
          <cell r="G1768">
            <v>202177</v>
          </cell>
        </row>
        <row r="1769">
          <cell r="A1769">
            <v>202178</v>
          </cell>
          <cell r="B1769" t="str">
            <v>ASSY,DR&amp;JAMB MRDSDD 72"X84" BLTD 3'-3'</v>
          </cell>
          <cell r="C1769" t="str">
            <v>EA</v>
          </cell>
          <cell r="D1769" t="str">
            <v>MA100</v>
          </cell>
          <cell r="E1769">
            <v>1888.0595900000001</v>
          </cell>
          <cell r="G1769">
            <v>202178</v>
          </cell>
        </row>
        <row r="1770">
          <cell r="A1770">
            <v>202179</v>
          </cell>
          <cell r="B1770" t="str">
            <v>ASSY,SENSOR,STANLEY,ASII</v>
          </cell>
          <cell r="C1770" t="str">
            <v>EA</v>
          </cell>
          <cell r="D1770" t="str">
            <v>MA100</v>
          </cell>
          <cell r="E1770">
            <v>378.36225000000002</v>
          </cell>
          <cell r="G1770">
            <v>202179</v>
          </cell>
        </row>
        <row r="1771">
          <cell r="A1771">
            <v>202183</v>
          </cell>
          <cell r="B1771" t="str">
            <v>ASSY,D&amp;J STC (34) LH/IS 48"X84"W/BLOWOUT</v>
          </cell>
          <cell r="C1771" t="str">
            <v>EA</v>
          </cell>
          <cell r="D1771" t="str">
            <v>MA100</v>
          </cell>
          <cell r="E1771">
            <v>2708.9804300000001</v>
          </cell>
          <cell r="G1771">
            <v>202183</v>
          </cell>
        </row>
        <row r="1772">
          <cell r="A1772">
            <v>202184</v>
          </cell>
          <cell r="B1772" t="str">
            <v>ASSY,D&amp;J STC (34) RH/IS 48"X84"W/BLOWOUT</v>
          </cell>
          <cell r="C1772" t="str">
            <v>EA</v>
          </cell>
          <cell r="D1772" t="str">
            <v>MA100</v>
          </cell>
          <cell r="E1772">
            <v>2932.60043</v>
          </cell>
          <cell r="G1772">
            <v>202184</v>
          </cell>
        </row>
        <row r="1773">
          <cell r="A1773">
            <v>202185</v>
          </cell>
          <cell r="B1773" t="str">
            <v>OBSOLETE</v>
          </cell>
          <cell r="C1773" t="str">
            <v>EA</v>
          </cell>
          <cell r="D1773" t="str">
            <v>MA100</v>
          </cell>
          <cell r="E1773">
            <v>1792.3210999999999</v>
          </cell>
          <cell r="G1773">
            <v>202185</v>
          </cell>
        </row>
        <row r="1774">
          <cell r="A1774">
            <v>202186</v>
          </cell>
          <cell r="B1774" t="str">
            <v>OBSOLETE</v>
          </cell>
          <cell r="C1774" t="str">
            <v>EA</v>
          </cell>
          <cell r="D1774" t="str">
            <v>MA100</v>
          </cell>
          <cell r="E1774">
            <v>1790.2014999999999</v>
          </cell>
          <cell r="G1774">
            <v>202186</v>
          </cell>
        </row>
        <row r="1775">
          <cell r="A1775">
            <v>202187</v>
          </cell>
          <cell r="B1775" t="str">
            <v>OBSOLETE</v>
          </cell>
          <cell r="C1775" t="str">
            <v>EA</v>
          </cell>
          <cell r="D1775" t="str">
            <v>MA100</v>
          </cell>
          <cell r="E1775">
            <v>1859.6475</v>
          </cell>
          <cell r="G1775">
            <v>202187</v>
          </cell>
        </row>
        <row r="1776">
          <cell r="A1776">
            <v>202188</v>
          </cell>
          <cell r="B1776" t="str">
            <v>OBSOLETE</v>
          </cell>
          <cell r="C1776" t="str">
            <v>EA</v>
          </cell>
          <cell r="D1776" t="str">
            <v>MA100</v>
          </cell>
          <cell r="E1776">
            <v>1857.5279</v>
          </cell>
          <cell r="G1776">
            <v>202188</v>
          </cell>
        </row>
        <row r="1777">
          <cell r="A1777">
            <v>202190</v>
          </cell>
          <cell r="B1777" t="str">
            <v>OBSOLETE</v>
          </cell>
          <cell r="C1777" t="str">
            <v>EA</v>
          </cell>
          <cell r="D1777" t="str">
            <v>FG055</v>
          </cell>
          <cell r="E1777">
            <v>16129.27486</v>
          </cell>
          <cell r="G1777">
            <v>202190</v>
          </cell>
        </row>
        <row r="1778">
          <cell r="A1778">
            <v>202192</v>
          </cell>
          <cell r="B1778" t="str">
            <v>ASSY,AS2 4'DOOR FOR 6' DBLSWG, RH</v>
          </cell>
          <cell r="C1778" t="str">
            <v>EA</v>
          </cell>
          <cell r="D1778" t="str">
            <v>FG055</v>
          </cell>
          <cell r="E1778">
            <v>2266.66</v>
          </cell>
          <cell r="G1778">
            <v>202192</v>
          </cell>
        </row>
        <row r="1779">
          <cell r="A1779">
            <v>202193</v>
          </cell>
          <cell r="B1779" t="str">
            <v>ASSY,ASII, 4' DOOR FOR DOUBLSWG,LH</v>
          </cell>
          <cell r="C1779" t="str">
            <v>EA</v>
          </cell>
          <cell r="D1779" t="str">
            <v>FG055</v>
          </cell>
          <cell r="E1779">
            <v>1238.0899999999999</v>
          </cell>
          <cell r="G1779">
            <v>202193</v>
          </cell>
        </row>
        <row r="1780">
          <cell r="A1780">
            <v>202194</v>
          </cell>
          <cell r="B1780" t="str">
            <v>ASSY,JMB,AS2 8' DBL DR</v>
          </cell>
          <cell r="C1780" t="str">
            <v>EA</v>
          </cell>
          <cell r="D1780" t="str">
            <v>FG055</v>
          </cell>
          <cell r="E1780">
            <v>1728</v>
          </cell>
          <cell r="G1780">
            <v>202194</v>
          </cell>
        </row>
        <row r="1781">
          <cell r="A1781">
            <v>202195</v>
          </cell>
          <cell r="B1781" t="str">
            <v>ASSY,AS2 4' INACTIVE DR for 8' LH DBL DR</v>
          </cell>
          <cell r="C1781" t="str">
            <v>EA</v>
          </cell>
          <cell r="D1781" t="str">
            <v>FG055</v>
          </cell>
          <cell r="E1781">
            <v>1608</v>
          </cell>
          <cell r="G1781">
            <v>202195</v>
          </cell>
        </row>
        <row r="1782">
          <cell r="A1782">
            <v>202203</v>
          </cell>
          <cell r="B1782" t="str">
            <v>KIT,COMPRESSOR DRAIN (INTERNATIONAL)</v>
          </cell>
          <cell r="C1782" t="str">
            <v>EA</v>
          </cell>
          <cell r="D1782" t="str">
            <v>RM100</v>
          </cell>
          <cell r="E1782">
            <v>130</v>
          </cell>
          <cell r="G1782">
            <v>202203</v>
          </cell>
        </row>
        <row r="1783">
          <cell r="A1783">
            <v>202216</v>
          </cell>
          <cell r="B1783" t="str">
            <v>RELAY, ADAMS#A850G7R</v>
          </cell>
          <cell r="C1783" t="str">
            <v>EA</v>
          </cell>
          <cell r="D1783" t="str">
            <v>RM100</v>
          </cell>
          <cell r="E1783">
            <v>62.42</v>
          </cell>
          <cell r="G1783">
            <v>202216</v>
          </cell>
        </row>
        <row r="1784">
          <cell r="A1784">
            <v>202218</v>
          </cell>
          <cell r="B1784" t="str">
            <v>ASSY,SAFETY LIGHT CURTAIN,IMRIS</v>
          </cell>
          <cell r="C1784" t="str">
            <v>EA</v>
          </cell>
          <cell r="D1784" t="str">
            <v>MA100</v>
          </cell>
          <cell r="E1784">
            <v>487.15499999999997</v>
          </cell>
          <cell r="G1784">
            <v>202218</v>
          </cell>
        </row>
        <row r="1785">
          <cell r="A1785">
            <v>202219</v>
          </cell>
          <cell r="B1785" t="str">
            <v>SENSOR,SAFETY,LIGHT CURTAIN,IMRIS</v>
          </cell>
          <cell r="C1785" t="str">
            <v>EA</v>
          </cell>
          <cell r="D1785" t="str">
            <v>RM100</v>
          </cell>
          <cell r="E1785">
            <v>384.25</v>
          </cell>
          <cell r="G1785">
            <v>202219</v>
          </cell>
        </row>
        <row r="1786">
          <cell r="A1786">
            <v>202222</v>
          </cell>
          <cell r="B1786" t="str">
            <v>KIT,RELAY,MAGLOCK, DBL DOORS</v>
          </cell>
          <cell r="C1786" t="str">
            <v>EA</v>
          </cell>
          <cell r="D1786" t="str">
            <v>MA100</v>
          </cell>
          <cell r="E1786">
            <v>105.34753000000001</v>
          </cell>
          <cell r="G1786">
            <v>202222</v>
          </cell>
        </row>
        <row r="1787">
          <cell r="A1787">
            <v>202225</v>
          </cell>
          <cell r="B1787" t="str">
            <v>KIT, E-STOP, FOR ALL AIR DOORS</v>
          </cell>
          <cell r="C1787" t="str">
            <v>EA</v>
          </cell>
          <cell r="D1787" t="str">
            <v>MA100</v>
          </cell>
          <cell r="E1787">
            <v>614.88941</v>
          </cell>
          <cell r="G1787">
            <v>202225</v>
          </cell>
        </row>
        <row r="1788">
          <cell r="A1788">
            <v>202226</v>
          </cell>
          <cell r="B1788" t="str">
            <v>KIT,MAGLOCK KIT FOR 3'-3' DBL SWING AS2</v>
          </cell>
          <cell r="C1788" t="str">
            <v>EA</v>
          </cell>
          <cell r="D1788" t="str">
            <v>MA100</v>
          </cell>
          <cell r="E1788">
            <v>1504.6777999999999</v>
          </cell>
          <cell r="G1788">
            <v>202226</v>
          </cell>
        </row>
        <row r="1789">
          <cell r="A1789">
            <v>202227</v>
          </cell>
          <cell r="B1789" t="str">
            <v>ASSY, OPENER, 3'-3' DBL AS2 (TB-4 relay)</v>
          </cell>
          <cell r="C1789" t="str">
            <v>EA</v>
          </cell>
          <cell r="D1789" t="str">
            <v>MA100</v>
          </cell>
          <cell r="E1789">
            <v>85.489729999999994</v>
          </cell>
          <cell r="G1789">
            <v>202227</v>
          </cell>
        </row>
        <row r="1790">
          <cell r="A1790">
            <v>202229</v>
          </cell>
          <cell r="B1790" t="str">
            <v>OBSOLETE</v>
          </cell>
          <cell r="C1790" t="str">
            <v>EA</v>
          </cell>
          <cell r="D1790" t="str">
            <v>MA100</v>
          </cell>
          <cell r="E1790">
            <v>6274.4506000000001</v>
          </cell>
          <cell r="G1790">
            <v>202229</v>
          </cell>
        </row>
        <row r="1791">
          <cell r="A1791">
            <v>202230</v>
          </cell>
          <cell r="B1791" t="str">
            <v>ASSY,PWR SUP 24V, UL LISTED, CLASS2</v>
          </cell>
          <cell r="C1791" t="str">
            <v>EA</v>
          </cell>
          <cell r="D1791" t="str">
            <v>RM100</v>
          </cell>
          <cell r="E1791">
            <v>235</v>
          </cell>
          <cell r="G1791">
            <v>202230</v>
          </cell>
        </row>
        <row r="1792">
          <cell r="A1792">
            <v>202231</v>
          </cell>
          <cell r="B1792" t="str">
            <v>KIT, ON SITE STORAGE &amp; RETURN KIT FOR **</v>
          </cell>
          <cell r="C1792" t="str">
            <v>EA</v>
          </cell>
          <cell r="D1792" t="str">
            <v>MA100</v>
          </cell>
          <cell r="E1792">
            <v>3.1</v>
          </cell>
          <cell r="G1792">
            <v>202231</v>
          </cell>
        </row>
        <row r="1793">
          <cell r="A1793">
            <v>202232</v>
          </cell>
          <cell r="B1793" t="str">
            <v>ASSY,DR AS2 4X7  DOOR LH,w/WINDOW</v>
          </cell>
          <cell r="C1793" t="str">
            <v>EA</v>
          </cell>
          <cell r="D1793" t="str">
            <v>FG055</v>
          </cell>
          <cell r="E1793">
            <v>1755.66</v>
          </cell>
          <cell r="G1793">
            <v>202232</v>
          </cell>
        </row>
        <row r="1794">
          <cell r="A1794">
            <v>202233</v>
          </cell>
          <cell r="B1794" t="str">
            <v>ASSY,DR AS2 4X7 DOOR RH ,w/WINDOW</v>
          </cell>
          <cell r="C1794" t="str">
            <v>EA</v>
          </cell>
          <cell r="D1794" t="str">
            <v>FG055</v>
          </cell>
          <cell r="E1794">
            <v>1679.59953</v>
          </cell>
          <cell r="G1794">
            <v>202233</v>
          </cell>
        </row>
        <row r="1795">
          <cell r="A1795">
            <v>202240</v>
          </cell>
          <cell r="B1795" t="str">
            <v>KIT,AS-II DBL DR SENSOR SWITCH ASSY</v>
          </cell>
          <cell r="C1795" t="str">
            <v>EA</v>
          </cell>
          <cell r="D1795" t="str">
            <v>MA100</v>
          </cell>
          <cell r="E1795">
            <v>225.59878</v>
          </cell>
          <cell r="G1795">
            <v>202240</v>
          </cell>
        </row>
        <row r="1796">
          <cell r="A1796">
            <v>202246</v>
          </cell>
          <cell r="B1796" t="str">
            <v>ROLLER LATCH ADJ,SURF MNT,AS2 DR</v>
          </cell>
          <cell r="C1796" t="str">
            <v>EA</v>
          </cell>
          <cell r="D1796" t="str">
            <v>RM100</v>
          </cell>
          <cell r="E1796">
            <v>15.23</v>
          </cell>
          <cell r="G1796">
            <v>202246</v>
          </cell>
        </row>
        <row r="1797">
          <cell r="A1797">
            <v>202248</v>
          </cell>
          <cell r="B1797" t="str">
            <v>OBSOLETE</v>
          </cell>
          <cell r="C1797" t="str">
            <v>EA</v>
          </cell>
          <cell r="D1797" t="str">
            <v>MA100</v>
          </cell>
          <cell r="E1797">
            <v>1896.05621</v>
          </cell>
          <cell r="G1797">
            <v>202248</v>
          </cell>
        </row>
        <row r="1798">
          <cell r="A1798">
            <v>202249</v>
          </cell>
          <cell r="B1798" t="str">
            <v>KIT,AS2 DBL 4'-2' INSW W/OPENER LOGIC</v>
          </cell>
          <cell r="C1798" t="str">
            <v>EA</v>
          </cell>
          <cell r="D1798" t="str">
            <v>MA100</v>
          </cell>
          <cell r="E1798">
            <v>4539.5603300000002</v>
          </cell>
          <cell r="G1798">
            <v>202249</v>
          </cell>
        </row>
        <row r="1799">
          <cell r="A1799">
            <v>202250</v>
          </cell>
          <cell r="B1799" t="str">
            <v>KIT,MAGLOCK KIT FOR 4'-2' DBL SWING AS2</v>
          </cell>
          <cell r="C1799" t="str">
            <v>EA</v>
          </cell>
          <cell r="D1799" t="str">
            <v>MA100</v>
          </cell>
          <cell r="E1799">
            <v>1120.6948299999999</v>
          </cell>
          <cell r="G1799">
            <v>202250</v>
          </cell>
        </row>
        <row r="1800">
          <cell r="A1800">
            <v>202251</v>
          </cell>
          <cell r="B1800" t="str">
            <v>ASSY,D&amp;J ALUM MRI4 LH 56"X84"BOLTED ARC*</v>
          </cell>
          <cell r="C1800" t="str">
            <v>EA</v>
          </cell>
          <cell r="D1800" t="str">
            <v>MA100</v>
          </cell>
          <cell r="E1800">
            <v>1301.6995899999999</v>
          </cell>
          <cell r="G1800">
            <v>202251</v>
          </cell>
        </row>
        <row r="1801">
          <cell r="A1801">
            <v>202252</v>
          </cell>
          <cell r="B1801" t="str">
            <v>ASSY,D&amp;J ALUM MRI4 RH 56"X84"BOLTED ARC*</v>
          </cell>
          <cell r="C1801" t="str">
            <v>EA</v>
          </cell>
          <cell r="D1801" t="str">
            <v>MA100</v>
          </cell>
          <cell r="E1801">
            <v>1752.8039699999999</v>
          </cell>
          <cell r="G1801">
            <v>202252</v>
          </cell>
        </row>
        <row r="1802">
          <cell r="A1802">
            <v>202253</v>
          </cell>
          <cell r="B1802" t="str">
            <v>ASSY,D&amp;J ALUM MRI4 RH 56"X96" W/WIN 2X2</v>
          </cell>
          <cell r="C1802" t="str">
            <v>EA</v>
          </cell>
          <cell r="D1802" t="str">
            <v>MA100</v>
          </cell>
          <cell r="E1802">
            <v>1970.2911300000001</v>
          </cell>
          <cell r="G1802">
            <v>202253</v>
          </cell>
        </row>
        <row r="1803">
          <cell r="A1803">
            <v>202254</v>
          </cell>
          <cell r="B1803" t="str">
            <v>ASSY,D&amp;J ALUM MRI4 LH 56"X96" W/WIN 2X2</v>
          </cell>
          <cell r="C1803" t="str">
            <v>EA</v>
          </cell>
          <cell r="D1803" t="str">
            <v>MA100</v>
          </cell>
          <cell r="E1803">
            <v>2276.5036100000002</v>
          </cell>
          <cell r="G1803">
            <v>202254</v>
          </cell>
        </row>
        <row r="1804">
          <cell r="A1804">
            <v>202264</v>
          </cell>
          <cell r="B1804" t="str">
            <v>ASSY,PWR SPPLY,24V,SNGL,UL,INTERLCK</v>
          </cell>
          <cell r="C1804" t="str">
            <v>EA</v>
          </cell>
          <cell r="D1804" t="str">
            <v>RM100</v>
          </cell>
          <cell r="E1804">
            <v>518.21</v>
          </cell>
          <cell r="G1804">
            <v>202264</v>
          </cell>
        </row>
        <row r="1805">
          <cell r="A1805">
            <v>202265</v>
          </cell>
          <cell r="B1805" t="str">
            <v>ASSY,JB,AS2,48" DR,LH,IV-FEEDTHRU</v>
          </cell>
          <cell r="C1805" t="str">
            <v>EA</v>
          </cell>
          <cell r="D1805" t="str">
            <v>MA100</v>
          </cell>
          <cell r="E1805">
            <v>1057</v>
          </cell>
          <cell r="G1805">
            <v>202265</v>
          </cell>
        </row>
        <row r="1806">
          <cell r="A1806">
            <v>202272</v>
          </cell>
          <cell r="B1806" t="str">
            <v>ASSY,JB,AS2,48" DR,RH,IV-FEEDTHRU</v>
          </cell>
          <cell r="C1806" t="str">
            <v>EA</v>
          </cell>
          <cell r="D1806" t="str">
            <v>RM100</v>
          </cell>
          <cell r="E1806">
            <v>1057</v>
          </cell>
          <cell r="G1806">
            <v>202272</v>
          </cell>
        </row>
        <row r="1807">
          <cell r="A1807">
            <v>202275</v>
          </cell>
          <cell r="B1807" t="str">
            <v>KIT,IV-FEEDTHRU,AS2,48"DR,LH</v>
          </cell>
          <cell r="C1807" t="str">
            <v>EA</v>
          </cell>
          <cell r="D1807" t="str">
            <v>FG055</v>
          </cell>
          <cell r="E1807">
            <v>1439.6613</v>
          </cell>
          <cell r="G1807">
            <v>202275</v>
          </cell>
        </row>
        <row r="1808">
          <cell r="A1808">
            <v>202278</v>
          </cell>
          <cell r="B1808" t="str">
            <v>KIT,IV-FEEDTHRU,AS2,48"DR,RH</v>
          </cell>
          <cell r="C1808" t="str">
            <v>EA</v>
          </cell>
          <cell r="D1808" t="str">
            <v>FG055</v>
          </cell>
          <cell r="E1808">
            <v>1452.3797</v>
          </cell>
          <cell r="G1808">
            <v>202278</v>
          </cell>
        </row>
        <row r="1809">
          <cell r="A1809">
            <v>202281</v>
          </cell>
          <cell r="B1809" t="str">
            <v>ASSY,TAPESWITCH,7',SSD&amp;IOSD</v>
          </cell>
          <cell r="C1809" t="str">
            <v>EA</v>
          </cell>
          <cell r="D1809" t="str">
            <v>FG055</v>
          </cell>
          <cell r="E1809">
            <v>304.12849999999997</v>
          </cell>
          <cell r="G1809">
            <v>202281</v>
          </cell>
        </row>
        <row r="1810">
          <cell r="A1810">
            <v>202282</v>
          </cell>
          <cell r="B1810" t="str">
            <v>ASSY,LIGHT CURTAIN,for SSD</v>
          </cell>
          <cell r="C1810" t="str">
            <v>EA</v>
          </cell>
          <cell r="D1810" t="str">
            <v>FG055</v>
          </cell>
          <cell r="E1810">
            <v>474.76</v>
          </cell>
          <cell r="G1810">
            <v>202282</v>
          </cell>
        </row>
        <row r="1811">
          <cell r="A1811">
            <v>202283</v>
          </cell>
          <cell r="B1811" t="str">
            <v>SIGNAL VLV BOX,  for PUSHPLT CNTRL SYSTM</v>
          </cell>
          <cell r="C1811" t="str">
            <v>EA</v>
          </cell>
          <cell r="D1811" t="str">
            <v>MA100</v>
          </cell>
          <cell r="E1811">
            <v>990.86077999999998</v>
          </cell>
          <cell r="G1811">
            <v>202283</v>
          </cell>
        </row>
        <row r="1812">
          <cell r="A1812">
            <v>202284</v>
          </cell>
          <cell r="B1812" t="str">
            <v>ASSY,PUSHBTN CNTRL SYS,INSIDE RF RM</v>
          </cell>
          <cell r="C1812" t="str">
            <v>EA</v>
          </cell>
          <cell r="D1812" t="str">
            <v>FG054</v>
          </cell>
          <cell r="E1812">
            <v>4371.3486800000001</v>
          </cell>
          <cell r="G1812">
            <v>202284</v>
          </cell>
        </row>
        <row r="1813">
          <cell r="A1813">
            <v>202285</v>
          </cell>
          <cell r="B1813" t="str">
            <v>ASSY,PLC/PNEU CNTRL SYS,for PUSHPLTS</v>
          </cell>
          <cell r="C1813" t="str">
            <v>EA</v>
          </cell>
          <cell r="D1813" t="str">
            <v>MA100</v>
          </cell>
          <cell r="E1813">
            <v>3380.4879000000001</v>
          </cell>
          <cell r="G1813">
            <v>202285</v>
          </cell>
        </row>
        <row r="1814">
          <cell r="A1814" t="str">
            <v>202285-AC</v>
          </cell>
          <cell r="B1814" t="str">
            <v>ASSY,PLC/PNEU CNTRL SYS,for PUSHPLTS</v>
          </cell>
          <cell r="C1814" t="str">
            <v>EA</v>
          </cell>
          <cell r="D1814" t="str">
            <v>MA100</v>
          </cell>
          <cell r="E1814">
            <v>4473.9003000000002</v>
          </cell>
          <cell r="G1814" t="str">
            <v>202285-AC</v>
          </cell>
        </row>
        <row r="1815">
          <cell r="A1815">
            <v>202286</v>
          </cell>
          <cell r="B1815" t="str">
            <v>ASSY,PWR SUPPLY 24V,AS2,UL LSTD,CLASS II</v>
          </cell>
          <cell r="C1815" t="str">
            <v>EA</v>
          </cell>
          <cell r="D1815" t="str">
            <v>RM100</v>
          </cell>
          <cell r="E1815">
            <v>242.9</v>
          </cell>
          <cell r="G1815">
            <v>202286</v>
          </cell>
        </row>
        <row r="1816">
          <cell r="A1816">
            <v>202297</v>
          </cell>
          <cell r="B1816" t="str">
            <v>ASSY,JB,AS2,48" DR,RH,IV DUAL</v>
          </cell>
          <cell r="C1816" t="str">
            <v>EA</v>
          </cell>
          <cell r="D1816" t="str">
            <v>RM100</v>
          </cell>
          <cell r="E1816">
            <v>1200</v>
          </cell>
          <cell r="G1816">
            <v>202297</v>
          </cell>
        </row>
        <row r="1817">
          <cell r="A1817">
            <v>202298</v>
          </cell>
          <cell r="B1817" t="str">
            <v>ASSY,JB,AS2,48" DR,RH,IV DUAL,W/FEED</v>
          </cell>
          <cell r="C1817" t="str">
            <v>EA</v>
          </cell>
          <cell r="D1817" t="str">
            <v>MA100</v>
          </cell>
          <cell r="E1817">
            <v>10450.22624</v>
          </cell>
          <cell r="G1817">
            <v>202298</v>
          </cell>
        </row>
        <row r="1818">
          <cell r="A1818">
            <v>202303</v>
          </cell>
          <cell r="B1818" t="str">
            <v>ASSY,JB,AS2,48" DR,LH,IV DUAL</v>
          </cell>
          <cell r="C1818" t="str">
            <v>EA</v>
          </cell>
          <cell r="D1818" t="str">
            <v>RM100</v>
          </cell>
          <cell r="E1818">
            <v>1200</v>
          </cell>
          <cell r="G1818">
            <v>202303</v>
          </cell>
        </row>
        <row r="1819">
          <cell r="A1819">
            <v>202304</v>
          </cell>
          <cell r="B1819" t="str">
            <v>ASSY,JB,AS2,48" DR,LH,IV DUAL,W/FEED</v>
          </cell>
          <cell r="C1819" t="str">
            <v>EA</v>
          </cell>
          <cell r="D1819" t="str">
            <v>MA100</v>
          </cell>
          <cell r="E1819">
            <v>10490.54624</v>
          </cell>
          <cell r="G1819">
            <v>202304</v>
          </cell>
        </row>
        <row r="1820">
          <cell r="A1820">
            <v>202320</v>
          </cell>
          <cell r="B1820" t="str">
            <v>KIT,EVO,44,LH,IV,FIELD UPGRADE</v>
          </cell>
          <cell r="C1820" t="str">
            <v>EA</v>
          </cell>
          <cell r="D1820" t="str">
            <v>MA100</v>
          </cell>
          <cell r="E1820">
            <v>1206.14798</v>
          </cell>
          <cell r="G1820">
            <v>202320</v>
          </cell>
        </row>
        <row r="1821">
          <cell r="A1821">
            <v>202321</v>
          </cell>
          <cell r="B1821" t="str">
            <v>KIT,EVO,44,RH,IV,FIELD UPGRADE</v>
          </cell>
          <cell r="C1821" t="str">
            <v>EA</v>
          </cell>
          <cell r="D1821" t="str">
            <v>RM100</v>
          </cell>
          <cell r="E1821">
            <v>1202.2679800000001</v>
          </cell>
          <cell r="G1821">
            <v>202321</v>
          </cell>
        </row>
        <row r="1822">
          <cell r="A1822">
            <v>202392</v>
          </cell>
          <cell r="B1822" t="str">
            <v>ASSY,D&amp;J AS2 4X7 DOOR LH I/S [IV FEED]</v>
          </cell>
          <cell r="C1822" t="str">
            <v>EA</v>
          </cell>
          <cell r="D1822" t="str">
            <v>MA100</v>
          </cell>
          <cell r="E1822">
            <v>7541.6374999999998</v>
          </cell>
          <cell r="G1822">
            <v>202392</v>
          </cell>
        </row>
        <row r="1823">
          <cell r="A1823">
            <v>202393</v>
          </cell>
          <cell r="B1823" t="str">
            <v>ASSY,D&amp;J AS2 4X7 DOOR RH I/S [IV FEED]</v>
          </cell>
          <cell r="C1823" t="str">
            <v>EA</v>
          </cell>
          <cell r="D1823" t="str">
            <v>MA100</v>
          </cell>
          <cell r="E1823">
            <v>7601.4531200000001</v>
          </cell>
          <cell r="G1823">
            <v>202393</v>
          </cell>
        </row>
        <row r="1824">
          <cell r="A1824">
            <v>202394</v>
          </cell>
          <cell r="B1824" t="str">
            <v>ASSY,D&amp;J AS2 4X7 DOOR LH REV [IV FEED]</v>
          </cell>
          <cell r="C1824" t="str">
            <v>EA</v>
          </cell>
          <cell r="D1824" t="str">
            <v>MA100</v>
          </cell>
          <cell r="E1824">
            <v>6867.4496099999997</v>
          </cell>
          <cell r="G1824">
            <v>202394</v>
          </cell>
        </row>
        <row r="1825">
          <cell r="A1825">
            <v>202395</v>
          </cell>
          <cell r="B1825" t="str">
            <v>ASSY,D&amp;J AS2 4X7 DOOR RH REV [IV FEED]</v>
          </cell>
          <cell r="C1825" t="str">
            <v>EA</v>
          </cell>
          <cell r="D1825" t="str">
            <v>MA100</v>
          </cell>
          <cell r="E1825">
            <v>6872.85124</v>
          </cell>
          <cell r="G1825">
            <v>202395</v>
          </cell>
        </row>
        <row r="1826">
          <cell r="A1826">
            <v>202396</v>
          </cell>
          <cell r="B1826" t="str">
            <v>ASSY,D&amp;J AS2 4X7 STC 40 LH I/S [IV FEED]</v>
          </cell>
          <cell r="C1826" t="str">
            <v>EA</v>
          </cell>
          <cell r="D1826" t="str">
            <v>MA100</v>
          </cell>
          <cell r="E1826">
            <v>7827.6381499999998</v>
          </cell>
          <cell r="G1826">
            <v>202396</v>
          </cell>
        </row>
        <row r="1827">
          <cell r="A1827">
            <v>202397</v>
          </cell>
          <cell r="B1827" t="str">
            <v>ASSY,D&amp;J AS2 4X7 STC 40 RH I/S [IV FEED]</v>
          </cell>
          <cell r="C1827" t="str">
            <v>EA</v>
          </cell>
          <cell r="D1827" t="str">
            <v>MA100</v>
          </cell>
          <cell r="E1827">
            <v>7845.14624</v>
          </cell>
          <cell r="G1827">
            <v>202397</v>
          </cell>
        </row>
        <row r="1828">
          <cell r="A1828">
            <v>202398</v>
          </cell>
          <cell r="B1828" t="str">
            <v>ASSY,D&amp;J AS2 4X7 STC 40 LH REV [IV FEED]</v>
          </cell>
          <cell r="C1828" t="str">
            <v>EA</v>
          </cell>
          <cell r="D1828" t="str">
            <v>MA100</v>
          </cell>
          <cell r="E1828">
            <v>7269.4482099999996</v>
          </cell>
          <cell r="G1828">
            <v>202398</v>
          </cell>
        </row>
        <row r="1829">
          <cell r="A1829">
            <v>202399</v>
          </cell>
          <cell r="B1829" t="str">
            <v>ASSY,D&amp;J AS2 4X7 STC 40 RH REV [IV FEED]</v>
          </cell>
          <cell r="C1829" t="str">
            <v>EA</v>
          </cell>
          <cell r="D1829" t="str">
            <v>MA100</v>
          </cell>
          <cell r="E1829">
            <v>7189.0442400000002</v>
          </cell>
          <cell r="G1829">
            <v>202399</v>
          </cell>
        </row>
        <row r="1830">
          <cell r="A1830">
            <v>202400</v>
          </cell>
          <cell r="B1830" t="str">
            <v>ASSY,D&amp;J AS2 3X7 DOOR LH INSWING</v>
          </cell>
          <cell r="C1830" t="str">
            <v>EA</v>
          </cell>
          <cell r="D1830" t="str">
            <v>MA100</v>
          </cell>
          <cell r="E1830">
            <v>6067.1421399999999</v>
          </cell>
          <cell r="G1830">
            <v>202400</v>
          </cell>
        </row>
        <row r="1831">
          <cell r="A1831">
            <v>202401</v>
          </cell>
          <cell r="B1831" t="str">
            <v>ASSY,D&amp;J AS2 3X7 DOOR RH INSWING</v>
          </cell>
          <cell r="C1831" t="str">
            <v>EA</v>
          </cell>
          <cell r="D1831" t="str">
            <v>MA100</v>
          </cell>
          <cell r="E1831">
            <v>6225.16093</v>
          </cell>
          <cell r="G1831">
            <v>202401</v>
          </cell>
        </row>
        <row r="1832">
          <cell r="A1832">
            <v>202402</v>
          </cell>
          <cell r="B1832" t="str">
            <v>ASSY,D&amp;J AS2 3X7 DOOR LH REVERSE</v>
          </cell>
          <cell r="C1832" t="str">
            <v>EA</v>
          </cell>
          <cell r="D1832" t="str">
            <v>MA100</v>
          </cell>
          <cell r="E1832">
            <v>5431.7138000000004</v>
          </cell>
          <cell r="G1832">
            <v>202402</v>
          </cell>
        </row>
        <row r="1833">
          <cell r="A1833">
            <v>202403</v>
          </cell>
          <cell r="B1833" t="str">
            <v>ASSY,D&amp;J AS2 3X7 DOOR RH REVERSE</v>
          </cell>
          <cell r="C1833" t="str">
            <v>EA</v>
          </cell>
          <cell r="D1833" t="str">
            <v>MA100</v>
          </cell>
          <cell r="E1833">
            <v>5425.9882299999999</v>
          </cell>
          <cell r="G1833">
            <v>202403</v>
          </cell>
        </row>
        <row r="1834">
          <cell r="A1834">
            <v>202405</v>
          </cell>
          <cell r="B1834" t="str">
            <v>ASSY,D&amp;J AS2 3X7 STC 40 DR RH INSWING</v>
          </cell>
          <cell r="C1834" t="str">
            <v>EA</v>
          </cell>
          <cell r="D1834" t="str">
            <v>MA100</v>
          </cell>
          <cell r="E1834">
            <v>6384.01271</v>
          </cell>
          <cell r="G1834">
            <v>202405</v>
          </cell>
        </row>
        <row r="1835">
          <cell r="A1835">
            <v>202406</v>
          </cell>
          <cell r="B1835" t="str">
            <v>ASSY,D&amp;J AS2 3X7 STC 40 DR LH REVERSE</v>
          </cell>
          <cell r="C1835" t="str">
            <v>EA</v>
          </cell>
          <cell r="D1835" t="str">
            <v>MA100</v>
          </cell>
          <cell r="E1835">
            <v>5742.8588</v>
          </cell>
          <cell r="G1835">
            <v>202406</v>
          </cell>
        </row>
        <row r="1836">
          <cell r="A1836">
            <v>202407</v>
          </cell>
          <cell r="B1836" t="str">
            <v>ASSY,D&amp;J AS2 3X7 STC 40 DR RH REVERSE</v>
          </cell>
          <cell r="C1836" t="str">
            <v>EA</v>
          </cell>
          <cell r="D1836" t="str">
            <v>MA100</v>
          </cell>
          <cell r="E1836">
            <v>5736.0842300000004</v>
          </cell>
          <cell r="G1836">
            <v>202407</v>
          </cell>
        </row>
        <row r="1837">
          <cell r="A1837">
            <v>202409</v>
          </cell>
          <cell r="B1837" t="str">
            <v>ASSY,D&amp;J AS2 3X7 ,ACOUSTIC, RH/IS,w/WDW</v>
          </cell>
          <cell r="C1837" t="str">
            <v>EA</v>
          </cell>
          <cell r="D1837" t="str">
            <v>MA100</v>
          </cell>
          <cell r="E1837">
            <v>7223.3067799999999</v>
          </cell>
          <cell r="G1837">
            <v>202409</v>
          </cell>
        </row>
        <row r="1838">
          <cell r="A1838">
            <v>202410</v>
          </cell>
          <cell r="B1838" t="str">
            <v>ASSY,D&amp;J AS2 3X7 ,ACOUSTIC, LH/REV,w/WDW</v>
          </cell>
          <cell r="C1838" t="str">
            <v>EA</v>
          </cell>
          <cell r="D1838" t="str">
            <v>MA100</v>
          </cell>
          <cell r="E1838">
            <v>6582.1528699999999</v>
          </cell>
          <cell r="G1838">
            <v>202410</v>
          </cell>
        </row>
        <row r="1839">
          <cell r="A1839">
            <v>202411</v>
          </cell>
          <cell r="B1839" t="str">
            <v>ASSY,D&amp;J AS2 3X7 ,ACOUSTIC, RH/REV,w/WDW</v>
          </cell>
          <cell r="C1839" t="str">
            <v>EA</v>
          </cell>
          <cell r="D1839" t="str">
            <v>MA100</v>
          </cell>
          <cell r="E1839">
            <v>6576.4280900000003</v>
          </cell>
          <cell r="G1839">
            <v>202411</v>
          </cell>
        </row>
        <row r="1840">
          <cell r="A1840">
            <v>202418</v>
          </cell>
          <cell r="B1840" t="str">
            <v>ASSY,D&amp;J AS2 4X7 LH/R (FRST WHT) CRATED</v>
          </cell>
          <cell r="C1840" t="str">
            <v>EA</v>
          </cell>
          <cell r="D1840" t="str">
            <v>MA100</v>
          </cell>
          <cell r="E1840">
            <v>8067.45147</v>
          </cell>
          <cell r="G1840">
            <v>202418</v>
          </cell>
        </row>
        <row r="1841">
          <cell r="A1841">
            <v>202419</v>
          </cell>
          <cell r="B1841" t="str">
            <v>ASSY,D&amp;J AS2 4X7 RH/R (FRST WHT) CRATED</v>
          </cell>
          <cell r="C1841" t="str">
            <v>EA</v>
          </cell>
          <cell r="D1841" t="str">
            <v>MA100</v>
          </cell>
          <cell r="E1841">
            <v>8062.2659000000003</v>
          </cell>
          <cell r="G1841">
            <v>202419</v>
          </cell>
        </row>
        <row r="1842">
          <cell r="A1842">
            <v>202420</v>
          </cell>
          <cell r="B1842" t="str">
            <v>ASSY,D&amp;J AS2 4X7 DOOR LH INSWING</v>
          </cell>
          <cell r="C1842" t="str">
            <v>EA</v>
          </cell>
          <cell r="D1842" t="str">
            <v>MA100</v>
          </cell>
          <cell r="E1842">
            <v>6445.0823200000004</v>
          </cell>
          <cell r="G1842">
            <v>202420</v>
          </cell>
        </row>
        <row r="1843">
          <cell r="A1843">
            <v>202421</v>
          </cell>
          <cell r="B1843" t="str">
            <v>ASSY,D&amp;J AS2 4X7 DOOR RH INSWING</v>
          </cell>
          <cell r="C1843" t="str">
            <v>EA</v>
          </cell>
          <cell r="D1843" t="str">
            <v>MA100</v>
          </cell>
          <cell r="E1843">
            <v>6460.7665399999996</v>
          </cell>
          <cell r="G1843">
            <v>202421</v>
          </cell>
        </row>
        <row r="1844">
          <cell r="A1844">
            <v>202422</v>
          </cell>
          <cell r="B1844" t="str">
            <v>ASSY,D&amp;J AS2 4X7 DOOR LH REVERSE</v>
          </cell>
          <cell r="C1844" t="str">
            <v>EA</v>
          </cell>
          <cell r="D1844" t="str">
            <v>MA100</v>
          </cell>
          <cell r="E1844">
            <v>5819.6126299999996</v>
          </cell>
          <cell r="G1844">
            <v>202422</v>
          </cell>
        </row>
        <row r="1845">
          <cell r="A1845">
            <v>202423</v>
          </cell>
          <cell r="B1845" t="str">
            <v>ASSY,D&amp;J AS2 4X7 DOOR RH REVERSE</v>
          </cell>
          <cell r="C1845" t="str">
            <v>EA</v>
          </cell>
          <cell r="D1845" t="str">
            <v>MA100</v>
          </cell>
          <cell r="E1845">
            <v>5806.0360600000004</v>
          </cell>
          <cell r="G1845">
            <v>202423</v>
          </cell>
        </row>
        <row r="1846">
          <cell r="A1846">
            <v>202424</v>
          </cell>
          <cell r="B1846" t="str">
            <v>ASSY,D&amp;J AS2 4X7 STC 40 DR LH INSWING</v>
          </cell>
          <cell r="C1846" t="str">
            <v>EA</v>
          </cell>
          <cell r="D1846" t="str">
            <v>MA100</v>
          </cell>
          <cell r="E1846">
            <v>6763.3829699999997</v>
          </cell>
          <cell r="G1846">
            <v>202424</v>
          </cell>
        </row>
        <row r="1847">
          <cell r="A1847">
            <v>202425</v>
          </cell>
          <cell r="B1847" t="str">
            <v>ASSY,D&amp;J AS2 4X7 STC 40 DR RH INSWING</v>
          </cell>
          <cell r="C1847" t="str">
            <v>EA</v>
          </cell>
          <cell r="D1847" t="str">
            <v>MA100</v>
          </cell>
          <cell r="E1847">
            <v>6768.5685400000002</v>
          </cell>
          <cell r="G1847">
            <v>202425</v>
          </cell>
        </row>
        <row r="1848">
          <cell r="A1848">
            <v>202426</v>
          </cell>
          <cell r="B1848" t="str">
            <v>ASSY,D&amp;J AS2 4X7 STC 40 DR LH REVERSE</v>
          </cell>
          <cell r="C1848" t="str">
            <v>EA</v>
          </cell>
          <cell r="D1848" t="str">
            <v>MA100</v>
          </cell>
          <cell r="E1848">
            <v>6127.4146300000002</v>
          </cell>
          <cell r="G1848">
            <v>202426</v>
          </cell>
        </row>
        <row r="1849">
          <cell r="A1849">
            <v>202427</v>
          </cell>
          <cell r="B1849" t="str">
            <v>ASSY,D&amp;J AS2 4X7 STC 40 DR RH REVERSE</v>
          </cell>
          <cell r="C1849" t="str">
            <v>EA</v>
          </cell>
          <cell r="D1849" t="str">
            <v>MA100</v>
          </cell>
          <cell r="E1849">
            <v>6124.3805599999996</v>
          </cell>
          <cell r="G1849">
            <v>202427</v>
          </cell>
        </row>
        <row r="1850">
          <cell r="A1850">
            <v>202428</v>
          </cell>
          <cell r="B1850" t="str">
            <v>ASSY,D&amp;J AS2 4X7 ,ACOUSTIC, LH/IS,w/WDW</v>
          </cell>
          <cell r="C1850" t="str">
            <v>EA</v>
          </cell>
          <cell r="D1850" t="str">
            <v>MA100</v>
          </cell>
          <cell r="E1850">
            <v>8284.9516399999993</v>
          </cell>
          <cell r="G1850">
            <v>202428</v>
          </cell>
        </row>
        <row r="1851">
          <cell r="A1851">
            <v>202429</v>
          </cell>
          <cell r="B1851" t="str">
            <v>ASSY,D&amp;J AS2 4X7 ,ACOUSTIC, RH/IS,w/WDW</v>
          </cell>
          <cell r="C1851" t="str">
            <v>EA</v>
          </cell>
          <cell r="D1851" t="str">
            <v>MA100</v>
          </cell>
          <cell r="E1851">
            <v>8381.8265699999993</v>
          </cell>
          <cell r="G1851">
            <v>202429</v>
          </cell>
        </row>
        <row r="1852">
          <cell r="A1852">
            <v>202430</v>
          </cell>
          <cell r="B1852" t="str">
            <v>ASSY,D&amp;J AS2 4X7 ,ACOUSTIC, LH/REV,w/WDW</v>
          </cell>
          <cell r="C1852" t="str">
            <v>EA</v>
          </cell>
          <cell r="D1852" t="str">
            <v>MA100</v>
          </cell>
          <cell r="E1852">
            <v>7604.1519200000002</v>
          </cell>
          <cell r="G1852">
            <v>202430</v>
          </cell>
        </row>
        <row r="1853">
          <cell r="A1853">
            <v>202431</v>
          </cell>
          <cell r="B1853" t="str">
            <v>ASSY,D&amp;J AS2 4X7 ,ACOUSTIC, RH/REV,w/WDW</v>
          </cell>
          <cell r="C1853" t="str">
            <v>EA</v>
          </cell>
          <cell r="D1853" t="str">
            <v>MA100</v>
          </cell>
          <cell r="E1853">
            <v>7155.9111400000002</v>
          </cell>
          <cell r="G1853">
            <v>202431</v>
          </cell>
        </row>
        <row r="1854">
          <cell r="A1854">
            <v>202450</v>
          </cell>
          <cell r="B1854" t="str">
            <v>ASSY,DR&amp;JB,EVO 44,LH,IN,AIR,36"WHT</v>
          </cell>
          <cell r="C1854" t="str">
            <v>EA</v>
          </cell>
          <cell r="D1854" t="str">
            <v>MA100</v>
          </cell>
          <cell r="E1854">
            <v>8210.0279900000005</v>
          </cell>
          <cell r="G1854">
            <v>202450</v>
          </cell>
        </row>
        <row r="1855">
          <cell r="A1855">
            <v>202451</v>
          </cell>
          <cell r="B1855" t="str">
            <v>ASSY,DR&amp;JB,EVO 44,LH,OUT,AIR,36"WHT</v>
          </cell>
          <cell r="C1855" t="str">
            <v>EA</v>
          </cell>
          <cell r="D1855" t="str">
            <v>MA100</v>
          </cell>
          <cell r="E1855">
            <v>7568.8740799999996</v>
          </cell>
          <cell r="G1855">
            <v>202451</v>
          </cell>
        </row>
        <row r="1856">
          <cell r="A1856">
            <v>202452</v>
          </cell>
          <cell r="B1856" t="str">
            <v>ASSY,DR&amp;JB,EVO 44,RH,IN,AIR,36"WHT</v>
          </cell>
          <cell r="C1856" t="str">
            <v>EA</v>
          </cell>
          <cell r="D1856" t="str">
            <v>MA100</v>
          </cell>
          <cell r="E1856">
            <v>8248.3596899999993</v>
          </cell>
          <cell r="G1856">
            <v>202452</v>
          </cell>
        </row>
        <row r="1857">
          <cell r="A1857">
            <v>202453</v>
          </cell>
          <cell r="B1857" t="str">
            <v>ASSY,DR&amp;JB,EVO 44,RH,OUT,AIR,36"WHT</v>
          </cell>
          <cell r="C1857" t="str">
            <v>EA</v>
          </cell>
          <cell r="D1857" t="str">
            <v>MA100</v>
          </cell>
          <cell r="E1857">
            <v>7607.2057800000002</v>
          </cell>
          <cell r="G1857">
            <v>202453</v>
          </cell>
        </row>
        <row r="1858">
          <cell r="A1858">
            <v>202454</v>
          </cell>
          <cell r="B1858" t="str">
            <v>ASSY,DR&amp;JB,EVO 44,LH,IN,AIR,48"WHT</v>
          </cell>
          <cell r="C1858" t="str">
            <v>EA</v>
          </cell>
          <cell r="D1858" t="str">
            <v>MA100</v>
          </cell>
          <cell r="E1858">
            <v>8121.87237</v>
          </cell>
          <cell r="G1858">
            <v>202454</v>
          </cell>
        </row>
        <row r="1859">
          <cell r="A1859">
            <v>202455</v>
          </cell>
          <cell r="B1859" t="str">
            <v>ASSY,DR&amp;JB,EVO 44,LH,OUT,AIR,48"WHT</v>
          </cell>
          <cell r="C1859" t="str">
            <v>EA</v>
          </cell>
          <cell r="D1859" t="str">
            <v>MA100</v>
          </cell>
          <cell r="E1859">
            <v>7466.8608599999998</v>
          </cell>
          <cell r="G1859">
            <v>202455</v>
          </cell>
        </row>
        <row r="1860">
          <cell r="A1860">
            <v>202456</v>
          </cell>
          <cell r="B1860" t="str">
            <v>ASSY,DR&amp;JB,EVO 44,RH,IN,AIR,48"WHT</v>
          </cell>
          <cell r="C1860" t="str">
            <v>EA</v>
          </cell>
          <cell r="D1860" t="str">
            <v>MA100</v>
          </cell>
          <cell r="E1860">
            <v>6970.4242700000004</v>
          </cell>
          <cell r="G1860">
            <v>202456</v>
          </cell>
        </row>
        <row r="1861">
          <cell r="A1861">
            <v>202457</v>
          </cell>
          <cell r="B1861" t="str">
            <v>ASSY,DR&amp;JB,EVO 44,RH,OUT,AIR,48"WHT</v>
          </cell>
          <cell r="C1861" t="str">
            <v>EA</v>
          </cell>
          <cell r="D1861" t="str">
            <v>MA100</v>
          </cell>
          <cell r="E1861">
            <v>7482.2703600000004</v>
          </cell>
          <cell r="G1861">
            <v>202457</v>
          </cell>
        </row>
        <row r="1862">
          <cell r="A1862">
            <v>202458</v>
          </cell>
          <cell r="B1862" t="str">
            <v>ASSY,DR&amp;JB,EVO 32,LH,IN,AIR,36"WHT</v>
          </cell>
          <cell r="C1862" t="str">
            <v>EA</v>
          </cell>
          <cell r="D1862" t="str">
            <v>MA100</v>
          </cell>
          <cell r="E1862">
            <v>8210.0279900000005</v>
          </cell>
          <cell r="G1862">
            <v>202458</v>
          </cell>
        </row>
        <row r="1863">
          <cell r="A1863">
            <v>202459</v>
          </cell>
          <cell r="B1863" t="str">
            <v>ASSY,DR&amp;JB,EVO 32,LH,OUT,AIR,36"WHT</v>
          </cell>
          <cell r="C1863" t="str">
            <v>EA</v>
          </cell>
          <cell r="D1863" t="str">
            <v>MA100</v>
          </cell>
          <cell r="E1863">
            <v>7568.8740799999996</v>
          </cell>
          <cell r="G1863">
            <v>202459</v>
          </cell>
        </row>
        <row r="1864">
          <cell r="A1864">
            <v>202460</v>
          </cell>
          <cell r="B1864" t="str">
            <v>ASSY,DR&amp;JB,EVO 32,RH,IN,AIR,36"WHT</v>
          </cell>
          <cell r="C1864" t="str">
            <v>EA</v>
          </cell>
          <cell r="D1864" t="str">
            <v>MA100</v>
          </cell>
          <cell r="E1864">
            <v>8248.3596899999993</v>
          </cell>
          <cell r="G1864">
            <v>202460</v>
          </cell>
        </row>
        <row r="1865">
          <cell r="A1865">
            <v>202461</v>
          </cell>
          <cell r="B1865" t="str">
            <v>ASSY,DR&amp;JB,EVO 32,RH,OUT,AIR,36"WHT</v>
          </cell>
          <cell r="C1865" t="str">
            <v>EA</v>
          </cell>
          <cell r="D1865" t="str">
            <v>MA100</v>
          </cell>
          <cell r="E1865">
            <v>7607.2057800000002</v>
          </cell>
          <cell r="G1865">
            <v>202461</v>
          </cell>
        </row>
        <row r="1866">
          <cell r="A1866">
            <v>202462</v>
          </cell>
          <cell r="B1866" t="str">
            <v>ASSY,DR&amp;JB,EVO 32,LH,IN,AIR,48"WHT</v>
          </cell>
          <cell r="C1866" t="str">
            <v>EA</v>
          </cell>
          <cell r="D1866" t="str">
            <v>MA100</v>
          </cell>
          <cell r="E1866">
            <v>7742.4157699999996</v>
          </cell>
          <cell r="G1866">
            <v>202462</v>
          </cell>
        </row>
        <row r="1867">
          <cell r="A1867">
            <v>202463</v>
          </cell>
          <cell r="B1867" t="str">
            <v>ASSY,DR&amp;JB,EVO 32,LH,OUT,AIR,48"WHT</v>
          </cell>
          <cell r="C1867" t="str">
            <v>EA</v>
          </cell>
          <cell r="D1867" t="str">
            <v>MA100</v>
          </cell>
          <cell r="E1867">
            <v>7158.9118600000002</v>
          </cell>
          <cell r="G1867">
            <v>202463</v>
          </cell>
        </row>
        <row r="1868">
          <cell r="A1868">
            <v>202464</v>
          </cell>
          <cell r="B1868" t="str">
            <v>ASSY,DR&amp;JB,EVO 32,RH,IN,AIR,48"WHT</v>
          </cell>
          <cell r="C1868" t="str">
            <v>EA</v>
          </cell>
          <cell r="D1868" t="str">
            <v>MA100</v>
          </cell>
          <cell r="E1868">
            <v>7789.5597699999998</v>
          </cell>
          <cell r="G1868">
            <v>202464</v>
          </cell>
        </row>
        <row r="1869">
          <cell r="A1869">
            <v>202465</v>
          </cell>
          <cell r="B1869" t="str">
            <v>ASSY,DR&amp;JB,EVO 32,RH,OUT,AIR,48"WHT</v>
          </cell>
          <cell r="C1869" t="str">
            <v>EA</v>
          </cell>
          <cell r="D1869" t="str">
            <v>MA100</v>
          </cell>
          <cell r="E1869">
            <v>7148.4058599999998</v>
          </cell>
          <cell r="G1869">
            <v>202465</v>
          </cell>
        </row>
        <row r="1870">
          <cell r="A1870">
            <v>202476</v>
          </cell>
          <cell r="B1870" t="str">
            <v>ASSY,DR&amp;JB,EVO 40,RH,OUT,MAN,36"WHT</v>
          </cell>
          <cell r="C1870" t="str">
            <v>EA</v>
          </cell>
          <cell r="D1870" t="str">
            <v>MA100</v>
          </cell>
          <cell r="E1870">
            <v>5578.3450199999997</v>
          </cell>
          <cell r="G1870">
            <v>202476</v>
          </cell>
        </row>
        <row r="1871">
          <cell r="A1871">
            <v>202477</v>
          </cell>
          <cell r="B1871" t="str">
            <v>ASSY,DR&amp;JB,EVO 40,LH,OUT,MAN,36"WHT</v>
          </cell>
          <cell r="C1871" t="str">
            <v>EA</v>
          </cell>
          <cell r="D1871" t="str">
            <v>MA100</v>
          </cell>
          <cell r="E1871">
            <v>5532.11402</v>
          </cell>
          <cell r="G1871">
            <v>202477</v>
          </cell>
        </row>
        <row r="1872">
          <cell r="A1872">
            <v>202478</v>
          </cell>
          <cell r="B1872" t="str">
            <v>ASSY,DR&amp;JB,EVO 40,RH,IN,MAN,36"WHT</v>
          </cell>
          <cell r="C1872" t="str">
            <v>EA</v>
          </cell>
          <cell r="D1872" t="str">
            <v>MA100</v>
          </cell>
          <cell r="E1872">
            <v>5588.6990100000003</v>
          </cell>
          <cell r="G1872">
            <v>202478</v>
          </cell>
        </row>
        <row r="1873">
          <cell r="A1873">
            <v>202479</v>
          </cell>
          <cell r="B1873" t="str">
            <v>ASSY,DR&amp;JB,EVO 40,LH,IN,MAN,36"WHT</v>
          </cell>
          <cell r="C1873" t="str">
            <v>EA</v>
          </cell>
          <cell r="D1873" t="str">
            <v>MA100</v>
          </cell>
          <cell r="E1873">
            <v>5618.5126099999998</v>
          </cell>
          <cell r="G1873">
            <v>202479</v>
          </cell>
        </row>
        <row r="1874">
          <cell r="A1874">
            <v>202480</v>
          </cell>
          <cell r="B1874" t="str">
            <v>ASSY,DR&amp;JB,EVO 34,RH,OUT,MAN,36"WHT</v>
          </cell>
          <cell r="C1874" t="str">
            <v>EA</v>
          </cell>
          <cell r="D1874" t="str">
            <v>MA100</v>
          </cell>
          <cell r="E1874">
            <v>4556.7538199999999</v>
          </cell>
          <cell r="G1874">
            <v>202480</v>
          </cell>
        </row>
        <row r="1875">
          <cell r="A1875">
            <v>202481</v>
          </cell>
          <cell r="B1875" t="str">
            <v>ASSY,DR&amp;JB,EVO 34,LH,OUT,MAN,36"WHT</v>
          </cell>
          <cell r="C1875" t="str">
            <v>EA</v>
          </cell>
          <cell r="D1875" t="str">
            <v>MA100</v>
          </cell>
          <cell r="E1875">
            <v>4557.5559199999998</v>
          </cell>
          <cell r="G1875">
            <v>202481</v>
          </cell>
        </row>
        <row r="1876">
          <cell r="A1876">
            <v>202482</v>
          </cell>
          <cell r="B1876" t="str">
            <v>ASSY,DR&amp;JB,EVO 32,RH,IN,MAN,36"WHT</v>
          </cell>
          <cell r="C1876" t="str">
            <v>EA</v>
          </cell>
          <cell r="D1876" t="str">
            <v>MA100</v>
          </cell>
          <cell r="E1876">
            <v>4323.1113100000002</v>
          </cell>
          <cell r="G1876">
            <v>202482</v>
          </cell>
        </row>
        <row r="1877">
          <cell r="A1877">
            <v>202483</v>
          </cell>
          <cell r="B1877" t="str">
            <v>ASSY,DR&amp;JB,EVO 34,LH,IN,MAN,36"WHT</v>
          </cell>
          <cell r="C1877" t="str">
            <v>EA</v>
          </cell>
          <cell r="D1877" t="str">
            <v>MA100</v>
          </cell>
          <cell r="E1877">
            <v>4567.9099100000003</v>
          </cell>
          <cell r="G1877">
            <v>202483</v>
          </cell>
        </row>
        <row r="1878">
          <cell r="A1878">
            <v>202484</v>
          </cell>
          <cell r="B1878" t="str">
            <v>ASSY,DR&amp;JB,EVO 28,RH,OUT,MAN,36"WHT</v>
          </cell>
          <cell r="C1878" t="str">
            <v>EA</v>
          </cell>
          <cell r="D1878" t="str">
            <v>MA100</v>
          </cell>
          <cell r="E1878">
            <v>4233.08122</v>
          </cell>
          <cell r="G1878">
            <v>202484</v>
          </cell>
        </row>
        <row r="1879">
          <cell r="A1879">
            <v>202485</v>
          </cell>
          <cell r="B1879" t="str">
            <v>ASSY,DR&amp;JB,EVO 28,LH,OUT,MAN,36"WHT</v>
          </cell>
          <cell r="C1879" t="str">
            <v>EA</v>
          </cell>
          <cell r="D1879" t="str">
            <v>MA100</v>
          </cell>
          <cell r="E1879">
            <v>4234.0698199999997</v>
          </cell>
          <cell r="G1879">
            <v>202485</v>
          </cell>
        </row>
        <row r="1880">
          <cell r="A1880">
            <v>202486</v>
          </cell>
          <cell r="B1880" t="str">
            <v>ASSY,DR&amp;JB,EVO 28,RH,IN,MAN,36"WHT</v>
          </cell>
          <cell r="C1880" t="str">
            <v>EA</v>
          </cell>
          <cell r="D1880" t="str">
            <v>MA100</v>
          </cell>
          <cell r="E1880">
            <v>4238.3968100000002</v>
          </cell>
          <cell r="G1880">
            <v>202486</v>
          </cell>
        </row>
        <row r="1881">
          <cell r="A1881">
            <v>202487</v>
          </cell>
          <cell r="B1881" t="str">
            <v>ASSY,DR&amp;JB,EVO 28,LH,IN,MAN,36"WHT</v>
          </cell>
          <cell r="C1881" t="str">
            <v>EA</v>
          </cell>
          <cell r="D1881" t="str">
            <v>MA100</v>
          </cell>
          <cell r="E1881">
            <v>4239.3854099999999</v>
          </cell>
          <cell r="G1881">
            <v>202487</v>
          </cell>
        </row>
        <row r="1882">
          <cell r="A1882">
            <v>202488</v>
          </cell>
          <cell r="B1882" t="str">
            <v>ASSY,DR&amp;JB,EVO 40,RH,OUT,MAN,48"WHT</v>
          </cell>
          <cell r="C1882" t="str">
            <v>EA</v>
          </cell>
          <cell r="D1882" t="str">
            <v>MA100</v>
          </cell>
          <cell r="E1882">
            <v>5248.2414600000002</v>
          </cell>
          <cell r="G1882">
            <v>202488</v>
          </cell>
        </row>
        <row r="1883">
          <cell r="A1883">
            <v>202489</v>
          </cell>
          <cell r="B1883" t="str">
            <v>ASSY,DR&amp;JB,EVO 40,LH,OUT,MAN,48" WHT</v>
          </cell>
          <cell r="C1883" t="str">
            <v>EA</v>
          </cell>
          <cell r="D1883" t="str">
            <v>MA100</v>
          </cell>
          <cell r="E1883">
            <v>5268.5438599999998</v>
          </cell>
          <cell r="G1883">
            <v>202489</v>
          </cell>
        </row>
        <row r="1884">
          <cell r="A1884">
            <v>202490</v>
          </cell>
          <cell r="B1884" t="str">
            <v>ASSY,DR&amp;JB,EVO 40,RH,IN,MAN,48"WHT</v>
          </cell>
          <cell r="C1884" t="str">
            <v>EA</v>
          </cell>
          <cell r="D1884" t="str">
            <v>MA100</v>
          </cell>
          <cell r="E1884">
            <v>5263.0714500000004</v>
          </cell>
          <cell r="G1884">
            <v>202490</v>
          </cell>
        </row>
        <row r="1885">
          <cell r="A1885">
            <v>202491</v>
          </cell>
          <cell r="B1885" t="str">
            <v>ASSY,DR&amp;JB,EVO 40,LH,IN,MAN,48" WHT</v>
          </cell>
          <cell r="C1885" t="str">
            <v>EA</v>
          </cell>
          <cell r="D1885" t="str">
            <v>MA100</v>
          </cell>
          <cell r="E1885">
            <v>5244.3542500000003</v>
          </cell>
          <cell r="G1885">
            <v>202491</v>
          </cell>
        </row>
        <row r="1886">
          <cell r="A1886">
            <v>202492</v>
          </cell>
          <cell r="B1886" t="str">
            <v>ASSY,DR&amp;JB,EVO 34,RH,OUT,MAN,48" WHT</v>
          </cell>
          <cell r="C1886" t="str">
            <v>EA</v>
          </cell>
          <cell r="D1886" t="str">
            <v>MA100</v>
          </cell>
          <cell r="E1886">
            <v>4420.24046</v>
          </cell>
          <cell r="G1886">
            <v>202492</v>
          </cell>
        </row>
        <row r="1887">
          <cell r="A1887">
            <v>202493</v>
          </cell>
          <cell r="B1887" t="str">
            <v>ASSY,DR&amp;JB,EVO 34,LH,OUT,MAN,48" WHT</v>
          </cell>
          <cell r="C1887" t="str">
            <v>EA</v>
          </cell>
          <cell r="D1887" t="str">
            <v>MA100</v>
          </cell>
          <cell r="E1887">
            <v>4424.0254599999998</v>
          </cell>
          <cell r="G1887">
            <v>202493</v>
          </cell>
        </row>
        <row r="1888">
          <cell r="A1888">
            <v>202494</v>
          </cell>
          <cell r="B1888" t="str">
            <v>ASSY,DR&amp;JB,EVO 34,RH,IN,MAN,48" WHT</v>
          </cell>
          <cell r="C1888" t="str">
            <v>EA</v>
          </cell>
          <cell r="D1888" t="str">
            <v>MA100</v>
          </cell>
          <cell r="E1888">
            <v>4431.1933499999996</v>
          </cell>
          <cell r="G1888">
            <v>202494</v>
          </cell>
        </row>
        <row r="1889">
          <cell r="A1889">
            <v>202495</v>
          </cell>
          <cell r="B1889" t="str">
            <v>ASSY,DR&amp;JB,EVO 34,LH,IN,MAN,48" WHT</v>
          </cell>
          <cell r="C1889" t="str">
            <v>EA</v>
          </cell>
          <cell r="D1889" t="str">
            <v>MA100</v>
          </cell>
          <cell r="E1889">
            <v>4424.1229499999999</v>
          </cell>
          <cell r="G1889">
            <v>202495</v>
          </cell>
        </row>
        <row r="1890">
          <cell r="A1890">
            <v>202496</v>
          </cell>
          <cell r="B1890" t="str">
            <v>ASSY,DR&amp;JB,EVO 28,RH,OUT,MAN,48" WHT</v>
          </cell>
          <cell r="C1890" t="str">
            <v>EA</v>
          </cell>
          <cell r="D1890" t="str">
            <v>MA100</v>
          </cell>
          <cell r="E1890">
            <v>4102.2656100000004</v>
          </cell>
          <cell r="G1890">
            <v>202496</v>
          </cell>
        </row>
        <row r="1891">
          <cell r="A1891">
            <v>202497</v>
          </cell>
          <cell r="B1891" t="str">
            <v>ASSY,DR&amp;JB,EVO 28,LH,OUT,MAN,48" WHT</v>
          </cell>
          <cell r="C1891" t="str">
            <v>EA</v>
          </cell>
          <cell r="D1891" t="str">
            <v>MA100</v>
          </cell>
          <cell r="E1891">
            <v>4106.6735200000003</v>
          </cell>
          <cell r="G1891">
            <v>202497</v>
          </cell>
        </row>
        <row r="1892">
          <cell r="A1892">
            <v>202498</v>
          </cell>
          <cell r="B1892" t="str">
            <v>ASSY,DR&amp;JB,EVO 28,RH,IN,MAN,48" WHT</v>
          </cell>
          <cell r="C1892" t="str">
            <v>EA</v>
          </cell>
          <cell r="D1892" t="str">
            <v>MA100</v>
          </cell>
          <cell r="E1892">
            <v>4118.0376100000003</v>
          </cell>
          <cell r="G1892">
            <v>202498</v>
          </cell>
        </row>
        <row r="1893">
          <cell r="A1893">
            <v>202499</v>
          </cell>
          <cell r="B1893" t="str">
            <v>ASSY,DR&amp;JB,EVO 28,LH,IN,MAN,48" WHT</v>
          </cell>
          <cell r="C1893" t="str">
            <v>EA</v>
          </cell>
          <cell r="D1893" t="str">
            <v>MA100</v>
          </cell>
          <cell r="E1893">
            <v>4113.7327100000002</v>
          </cell>
          <cell r="G1893">
            <v>202499</v>
          </cell>
        </row>
        <row r="1894">
          <cell r="A1894" t="str">
            <v>202500-36-RH-IN</v>
          </cell>
          <cell r="B1894" t="str">
            <v>OBSOLETE</v>
          </cell>
          <cell r="C1894" t="str">
            <v>EA</v>
          </cell>
          <cell r="D1894" t="str">
            <v>FG055</v>
          </cell>
          <cell r="E1894">
            <v>3441.8072200000001</v>
          </cell>
          <cell r="G1894" t="str">
            <v>202500-36-RH-IN</v>
          </cell>
        </row>
        <row r="1895">
          <cell r="A1895" t="str">
            <v>202501-36-LH-IN</v>
          </cell>
          <cell r="B1895" t="str">
            <v>EVO 40,DR&amp;JB,LH,IN,MAN,36"</v>
          </cell>
          <cell r="C1895" t="str">
            <v>EA</v>
          </cell>
          <cell r="D1895" t="str">
            <v>FG055</v>
          </cell>
          <cell r="E1895">
            <v>4253.32</v>
          </cell>
          <cell r="G1895" t="str">
            <v>202501-36-LH-IN</v>
          </cell>
        </row>
        <row r="1896">
          <cell r="A1896" t="str">
            <v>202501-36-LH-OUT</v>
          </cell>
          <cell r="B1896" t="str">
            <v>EVO 40,DR&amp;JB,LH,OUT,MAN,36"</v>
          </cell>
          <cell r="C1896" t="str">
            <v>EA</v>
          </cell>
          <cell r="D1896" t="str">
            <v>FG055</v>
          </cell>
          <cell r="E1896">
            <v>4072.77</v>
          </cell>
          <cell r="G1896" t="str">
            <v>202501-36-LH-OUT</v>
          </cell>
        </row>
        <row r="1897">
          <cell r="A1897" t="str">
            <v>202501-36-RH-IN</v>
          </cell>
          <cell r="B1897" t="str">
            <v>EVO 40,DR&amp;JB,RH,IN,MAN,36"</v>
          </cell>
          <cell r="C1897" t="str">
            <v>EA</v>
          </cell>
          <cell r="D1897" t="str">
            <v>FG055</v>
          </cell>
          <cell r="E1897">
            <v>4252.33</v>
          </cell>
          <cell r="G1897" t="str">
            <v>202501-36-RH-IN</v>
          </cell>
        </row>
        <row r="1898">
          <cell r="A1898" t="str">
            <v>202501-36-RH-OUT</v>
          </cell>
          <cell r="B1898" t="str">
            <v>EVO 40,DR&amp;JB,RH,OUT,MAN,36"</v>
          </cell>
          <cell r="C1898" t="str">
            <v>EA</v>
          </cell>
          <cell r="D1898" t="str">
            <v>FG055</v>
          </cell>
          <cell r="E1898">
            <v>4071.78</v>
          </cell>
          <cell r="G1898" t="str">
            <v>202501-36-RH-OUT</v>
          </cell>
        </row>
        <row r="1899">
          <cell r="A1899" t="str">
            <v>202501-48-LH-IN</v>
          </cell>
          <cell r="B1899" t="str">
            <v>EVO 40,DR&amp;JB,LH,IN,MAN,48"</v>
          </cell>
          <cell r="C1899" t="str">
            <v>EA</v>
          </cell>
          <cell r="D1899" t="str">
            <v>FG055</v>
          </cell>
          <cell r="E1899">
            <v>3945.19</v>
          </cell>
          <cell r="G1899" t="str">
            <v>202501-48-LH-IN</v>
          </cell>
        </row>
        <row r="1900">
          <cell r="A1900" t="str">
            <v>202501-48-LH-OUT</v>
          </cell>
          <cell r="B1900" t="str">
            <v>EVO 40,DR&amp;JB,LH,OUT,MANUAL,48"</v>
          </cell>
          <cell r="C1900" t="str">
            <v>EA</v>
          </cell>
          <cell r="D1900" t="str">
            <v>FG055</v>
          </cell>
          <cell r="E1900">
            <v>3931.67</v>
          </cell>
          <cell r="G1900" t="str">
            <v>202501-48-LH-OUT</v>
          </cell>
        </row>
        <row r="1901">
          <cell r="A1901" t="str">
            <v>202501-48-RH-IN</v>
          </cell>
          <cell r="B1901" t="str">
            <v>EVO 40,DR&amp;JB,RH,IN,MAN,48"</v>
          </cell>
          <cell r="C1901" t="str">
            <v>EA</v>
          </cell>
          <cell r="D1901" t="str">
            <v>FG055</v>
          </cell>
          <cell r="E1901">
            <v>3945.28</v>
          </cell>
          <cell r="G1901" t="str">
            <v>202501-48-RH-IN</v>
          </cell>
        </row>
        <row r="1902">
          <cell r="A1902" t="str">
            <v>202501-48-RH-OUT</v>
          </cell>
          <cell r="B1902" t="str">
            <v>EVO 40,DR&amp;JB,RH,OUT,MAN,48"</v>
          </cell>
          <cell r="C1902" t="str">
            <v>EA</v>
          </cell>
          <cell r="D1902" t="str">
            <v>FG055</v>
          </cell>
          <cell r="E1902">
            <v>3931.76</v>
          </cell>
          <cell r="G1902" t="str">
            <v>202501-48-RH-OUT</v>
          </cell>
        </row>
        <row r="1903">
          <cell r="A1903" t="str">
            <v>202510-36-LH-IN</v>
          </cell>
          <cell r="B1903" t="str">
            <v>EVO 28,DR&amp;JB,LH,IN,MAN,36"</v>
          </cell>
          <cell r="C1903" t="str">
            <v>EA</v>
          </cell>
          <cell r="D1903" t="str">
            <v>FG055</v>
          </cell>
          <cell r="E1903">
            <v>2844.66</v>
          </cell>
          <cell r="G1903" t="str">
            <v>202510-36-LH-IN</v>
          </cell>
        </row>
        <row r="1904">
          <cell r="A1904" t="str">
            <v>202510-36-LH-OUT</v>
          </cell>
          <cell r="B1904" t="str">
            <v>EVO 28,DR&amp;JB,LH,OUT,MAN,36"</v>
          </cell>
          <cell r="C1904" t="str">
            <v>EA</v>
          </cell>
          <cell r="D1904" t="str">
            <v>FG055</v>
          </cell>
          <cell r="E1904">
            <v>2839.35</v>
          </cell>
          <cell r="G1904" t="str">
            <v>202510-36-LH-OUT</v>
          </cell>
        </row>
        <row r="1905">
          <cell r="A1905" t="str">
            <v>202510-36-RH-IN</v>
          </cell>
          <cell r="B1905" t="str">
            <v>EVO 28,DR&amp;JB,RH,IN,MAN,36"</v>
          </cell>
          <cell r="C1905" t="str">
            <v>EA</v>
          </cell>
          <cell r="D1905" t="str">
            <v>FG055</v>
          </cell>
          <cell r="E1905">
            <v>2843.68</v>
          </cell>
          <cell r="G1905" t="str">
            <v>202510-36-RH-IN</v>
          </cell>
        </row>
        <row r="1906">
          <cell r="A1906" t="str">
            <v>202510-36-RH-OUT</v>
          </cell>
          <cell r="B1906" t="str">
            <v>EVO 28,DR&amp;JB,RH,OUT,MAN,36"</v>
          </cell>
          <cell r="C1906" t="str">
            <v>EA</v>
          </cell>
          <cell r="D1906" t="str">
            <v>FG055</v>
          </cell>
          <cell r="E1906">
            <v>2838.36</v>
          </cell>
          <cell r="G1906" t="str">
            <v>202510-36-RH-OUT</v>
          </cell>
        </row>
        <row r="1907">
          <cell r="A1907" t="str">
            <v>202510-48-LH-IN</v>
          </cell>
          <cell r="B1907" t="str">
            <v>EVO 28,DR&amp;JB,LH,IN,MAN,48"</v>
          </cell>
          <cell r="C1907" t="str">
            <v>EA</v>
          </cell>
          <cell r="D1907" t="str">
            <v>MA100</v>
          </cell>
          <cell r="E1907">
            <v>2771.19</v>
          </cell>
          <cell r="G1907" t="str">
            <v>202510-48-LH-IN</v>
          </cell>
        </row>
        <row r="1908">
          <cell r="A1908" t="str">
            <v>202510-48-LH-OUT</v>
          </cell>
          <cell r="B1908" t="str">
            <v>EVO 28,DR&amp;JB,LH,OUT, MAN,48"</v>
          </cell>
          <cell r="C1908" t="str">
            <v>EA</v>
          </cell>
          <cell r="D1908" t="str">
            <v>MA100</v>
          </cell>
          <cell r="E1908">
            <v>2765.87</v>
          </cell>
          <cell r="G1908" t="str">
            <v>202510-48-LH-OUT</v>
          </cell>
        </row>
        <row r="1909">
          <cell r="A1909" t="str">
            <v>202510-48-RH-IN</v>
          </cell>
          <cell r="B1909" t="str">
            <v>EVO 28,DR&amp;JB,RH,IN,MAN,48"</v>
          </cell>
          <cell r="C1909" t="str">
            <v>EA</v>
          </cell>
          <cell r="D1909" t="str">
            <v>MA100</v>
          </cell>
          <cell r="E1909">
            <v>2771.28</v>
          </cell>
          <cell r="G1909" t="str">
            <v>202510-48-RH-IN</v>
          </cell>
        </row>
        <row r="1910">
          <cell r="A1910" t="str">
            <v>202510-48-RH-OUT</v>
          </cell>
          <cell r="B1910" t="str">
            <v>EVO 28,DR&amp;JB,RH,OUT,MAN,48"</v>
          </cell>
          <cell r="C1910" t="str">
            <v>EA</v>
          </cell>
          <cell r="D1910" t="str">
            <v>MA100</v>
          </cell>
          <cell r="E1910">
            <v>2765.96</v>
          </cell>
          <cell r="G1910" t="str">
            <v>202510-48-RH-OUT</v>
          </cell>
        </row>
        <row r="1911">
          <cell r="A1911" t="str">
            <v>202511-36-LH-IN</v>
          </cell>
          <cell r="B1911" t="str">
            <v>EVO 34,DR&amp;JB,LH,IN,MAN,36"</v>
          </cell>
          <cell r="C1911" t="str">
            <v>EA</v>
          </cell>
          <cell r="D1911" t="str">
            <v>MA100</v>
          </cell>
          <cell r="E1911">
            <v>3222.57</v>
          </cell>
          <cell r="G1911" t="str">
            <v>202511-36-LH-IN</v>
          </cell>
        </row>
        <row r="1912">
          <cell r="A1912" t="str">
            <v>202511-36-LH-OUT</v>
          </cell>
          <cell r="B1912" t="str">
            <v>EVO 34,DR&amp;JB,LH,OUT,MAN,36"</v>
          </cell>
          <cell r="C1912" t="str">
            <v>EA</v>
          </cell>
          <cell r="D1912" t="str">
            <v>FG055</v>
          </cell>
          <cell r="E1912">
            <v>3212.21</v>
          </cell>
          <cell r="G1912" t="str">
            <v>202511-36-LH-OUT</v>
          </cell>
        </row>
        <row r="1913">
          <cell r="A1913" t="str">
            <v>202511-36-RH-IN</v>
          </cell>
          <cell r="B1913" t="str">
            <v>EVO 34,DR&amp;JB,RH,IN,MAN,36"</v>
          </cell>
          <cell r="C1913" t="str">
            <v>EA</v>
          </cell>
          <cell r="D1913" t="str">
            <v>FG055</v>
          </cell>
          <cell r="E1913">
            <v>3221.58</v>
          </cell>
          <cell r="G1913" t="str">
            <v>202511-36-RH-IN</v>
          </cell>
        </row>
        <row r="1914">
          <cell r="A1914" t="str">
            <v>202511-36-RH-OUT</v>
          </cell>
          <cell r="B1914" t="str">
            <v>EVO 34,DR&amp;JB,RH,OUT,MAN,36"</v>
          </cell>
          <cell r="C1914" t="str">
            <v>EA</v>
          </cell>
          <cell r="D1914" t="str">
            <v>FG055</v>
          </cell>
          <cell r="E1914">
            <v>3211.41</v>
          </cell>
          <cell r="G1914" t="str">
            <v>202511-36-RH-OUT</v>
          </cell>
        </row>
        <row r="1915">
          <cell r="A1915" t="str">
            <v>202511-48-LH-IN</v>
          </cell>
          <cell r="B1915" t="str">
            <v>EVO 34,DR&amp;JB,LH,IN,MAN,48"</v>
          </cell>
          <cell r="C1915" t="str">
            <v>EA</v>
          </cell>
          <cell r="D1915" t="str">
            <v>MA100</v>
          </cell>
          <cell r="E1915">
            <v>3114.81</v>
          </cell>
          <cell r="G1915" t="str">
            <v>202511-48-LH-IN</v>
          </cell>
        </row>
        <row r="1916">
          <cell r="A1916" t="str">
            <v>202511-48-LH-OUT</v>
          </cell>
          <cell r="B1916" t="str">
            <v>EVO 34,DR&amp;JB,LH,OUT,MAN,48"</v>
          </cell>
          <cell r="C1916" t="str">
            <v>EA</v>
          </cell>
          <cell r="D1916" t="str">
            <v>MA100</v>
          </cell>
          <cell r="E1916">
            <v>3104.64</v>
          </cell>
          <cell r="G1916" t="str">
            <v>202511-48-LH-OUT</v>
          </cell>
        </row>
        <row r="1917">
          <cell r="A1917" t="str">
            <v>202511-48-RH-IN</v>
          </cell>
          <cell r="B1917" t="str">
            <v>EVO 34,DR&amp;JB,RH,IN,MAN,48"</v>
          </cell>
          <cell r="C1917" t="str">
            <v>EA</v>
          </cell>
          <cell r="D1917" t="str">
            <v>MA100</v>
          </cell>
          <cell r="E1917">
            <v>3114.9</v>
          </cell>
          <cell r="G1917" t="str">
            <v>202511-48-RH-IN</v>
          </cell>
        </row>
        <row r="1918">
          <cell r="A1918" t="str">
            <v>202511-48-RH-OUT</v>
          </cell>
          <cell r="B1918" t="str">
            <v>EVO 34,DR&amp;JB,RH,OUT,MAN,48"</v>
          </cell>
          <cell r="C1918" t="str">
            <v>EA</v>
          </cell>
          <cell r="D1918" t="str">
            <v>MA100</v>
          </cell>
          <cell r="E1918">
            <v>3104.73</v>
          </cell>
          <cell r="G1918" t="str">
            <v>202511-48-RH-OUT</v>
          </cell>
        </row>
        <row r="1919">
          <cell r="A1919" t="str">
            <v>202530-36-LH-IN</v>
          </cell>
          <cell r="B1919" t="str">
            <v>EVO 44,DR&amp;JB,AIR,LH,IN,36"</v>
          </cell>
          <cell r="C1919" t="str">
            <v>EA</v>
          </cell>
          <cell r="D1919" t="str">
            <v>FG304</v>
          </cell>
          <cell r="E1919">
            <v>6077.56</v>
          </cell>
          <cell r="G1919" t="str">
            <v>202530-36-LH-IN</v>
          </cell>
        </row>
        <row r="1920">
          <cell r="A1920" t="str">
            <v>202530-36-LH-OUT</v>
          </cell>
          <cell r="B1920" t="str">
            <v>EVO 44,DR&amp;JB,AIR,LH,OUT,36"</v>
          </cell>
          <cell r="C1920" t="str">
            <v>EA</v>
          </cell>
          <cell r="D1920" t="str">
            <v>FG304</v>
          </cell>
          <cell r="E1920">
            <v>5313.36</v>
          </cell>
          <cell r="G1920" t="str">
            <v>202530-36-LH-OUT</v>
          </cell>
        </row>
        <row r="1921">
          <cell r="A1921" t="str">
            <v>202530-36-RH-IN</v>
          </cell>
          <cell r="B1921" t="str">
            <v>EVO 44,DR&amp;JB,AIR,RH,IN,36"</v>
          </cell>
          <cell r="C1921" t="str">
            <v>EA</v>
          </cell>
          <cell r="D1921" t="str">
            <v>FG304</v>
          </cell>
          <cell r="E1921">
            <v>6078</v>
          </cell>
          <cell r="G1921" t="str">
            <v>202530-36-RH-IN</v>
          </cell>
        </row>
        <row r="1922">
          <cell r="A1922" t="str">
            <v>202530-36-RH-OUT</v>
          </cell>
          <cell r="B1922" t="str">
            <v>EVO 44,DR&amp;JB,AIR,RH,OUT,36"</v>
          </cell>
          <cell r="C1922" t="str">
            <v>EA</v>
          </cell>
          <cell r="D1922" t="str">
            <v>FG304</v>
          </cell>
          <cell r="E1922">
            <v>5313.81</v>
          </cell>
          <cell r="G1922" t="str">
            <v>202530-36-RH-OUT</v>
          </cell>
        </row>
        <row r="1923">
          <cell r="A1923" t="str">
            <v>202530-48-LH-IN</v>
          </cell>
          <cell r="B1923" t="str">
            <v>EVO 44,DR&amp;JB,AIR,LH,IN,48"</v>
          </cell>
          <cell r="C1923" t="str">
            <v>EA</v>
          </cell>
          <cell r="D1923" t="str">
            <v>FG304</v>
          </cell>
          <cell r="E1923">
            <v>6215.96</v>
          </cell>
          <cell r="G1923" t="str">
            <v>202530-48-LH-IN</v>
          </cell>
        </row>
        <row r="1924">
          <cell r="A1924" t="str">
            <v>202530-48-LH-OUT</v>
          </cell>
          <cell r="B1924" t="str">
            <v>EVO 44,DR&amp;JB,AIR,LH,OUT,48"</v>
          </cell>
          <cell r="C1924" t="str">
            <v>EA</v>
          </cell>
          <cell r="D1924" t="str">
            <v>FG304</v>
          </cell>
          <cell r="E1924">
            <v>5452.03</v>
          </cell>
          <cell r="G1924" t="str">
            <v>202530-48-LH-OUT</v>
          </cell>
        </row>
        <row r="1925">
          <cell r="A1925" t="str">
            <v>202530-48-RH-IN</v>
          </cell>
          <cell r="B1925" t="str">
            <v>EVO 44,DR&amp;JB,AIR,RH,IN,48"</v>
          </cell>
          <cell r="C1925" t="str">
            <v>EA</v>
          </cell>
          <cell r="D1925" t="str">
            <v>FG304</v>
          </cell>
          <cell r="E1925">
            <v>6217</v>
          </cell>
          <cell r="G1925" t="str">
            <v>202530-48-RH-IN</v>
          </cell>
        </row>
        <row r="1926">
          <cell r="A1926" t="str">
            <v>202530-48-RH-OUT</v>
          </cell>
          <cell r="B1926" t="str">
            <v>EVO 44,DR&amp;JB,AIR,RH,OUT,48"</v>
          </cell>
          <cell r="C1926" t="str">
            <v>EA</v>
          </cell>
          <cell r="D1926" t="str">
            <v>FG304</v>
          </cell>
          <cell r="E1926">
            <v>5453.06</v>
          </cell>
          <cell r="G1926" t="str">
            <v>202530-48-RH-OUT</v>
          </cell>
        </row>
        <row r="1927">
          <cell r="A1927" t="str">
            <v>202535-36-RH</v>
          </cell>
          <cell r="B1927" t="str">
            <v>ASSY,JAMB,EVO 44,AIR,RH,36X84</v>
          </cell>
          <cell r="C1927" t="str">
            <v>EA</v>
          </cell>
          <cell r="D1927" t="str">
            <v>MA100</v>
          </cell>
          <cell r="E1927">
            <v>0</v>
          </cell>
          <cell r="G1927" t="str">
            <v>202535-36-RH</v>
          </cell>
        </row>
        <row r="1928">
          <cell r="A1928" t="str">
            <v>202535-48-LH</v>
          </cell>
          <cell r="B1928" t="str">
            <v>ASSY,JAMB,EVO,AIR,LH,48X84</v>
          </cell>
          <cell r="C1928" t="str">
            <v>EA</v>
          </cell>
          <cell r="D1928" t="str">
            <v>MA100</v>
          </cell>
          <cell r="E1928">
            <v>2236.41</v>
          </cell>
          <cell r="G1928" t="str">
            <v>202535-48-LH</v>
          </cell>
        </row>
        <row r="1929">
          <cell r="A1929" t="str">
            <v>202535-48-RH</v>
          </cell>
          <cell r="B1929" t="str">
            <v>ASSY,JAMB,EVO,AIR,RH,48X84</v>
          </cell>
          <cell r="C1929" t="str">
            <v>EA</v>
          </cell>
          <cell r="D1929" t="str">
            <v>MA100</v>
          </cell>
          <cell r="E1929">
            <v>2191.14</v>
          </cell>
          <cell r="G1929" t="str">
            <v>202535-48-RH</v>
          </cell>
        </row>
        <row r="1930">
          <cell r="A1930" t="str">
            <v>202540-36-LH-IN</v>
          </cell>
          <cell r="B1930" t="str">
            <v>EVO 32,DR&amp;JB,AIR,LH,IN,36"</v>
          </cell>
          <cell r="C1930" t="str">
            <v>EA</v>
          </cell>
          <cell r="D1930" t="str">
            <v>MA100</v>
          </cell>
          <cell r="E1930">
            <v>6121.27</v>
          </cell>
          <cell r="G1930" t="str">
            <v>202540-36-LH-IN</v>
          </cell>
        </row>
        <row r="1931">
          <cell r="A1931" t="str">
            <v>202540-36-LH-OUT</v>
          </cell>
          <cell r="B1931" t="str">
            <v>EVO 32,DR&amp;JB,AIR,LH,OUT,36"</v>
          </cell>
          <cell r="C1931" t="str">
            <v>EA</v>
          </cell>
          <cell r="D1931" t="str">
            <v>MA100</v>
          </cell>
          <cell r="E1931">
            <v>5387.33</v>
          </cell>
          <cell r="G1931" t="str">
            <v>202540-36-LH-OUT</v>
          </cell>
        </row>
        <row r="1932">
          <cell r="A1932" t="str">
            <v>202540-36-RH-IN</v>
          </cell>
          <cell r="B1932" t="str">
            <v>EVO 32,DR&amp;JB,AIR,RH,IN,36"</v>
          </cell>
          <cell r="C1932" t="str">
            <v>EA</v>
          </cell>
          <cell r="D1932" t="str">
            <v>MA100</v>
          </cell>
          <cell r="E1932">
            <v>6151.72</v>
          </cell>
          <cell r="G1932" t="str">
            <v>202540-36-RH-IN</v>
          </cell>
        </row>
        <row r="1933">
          <cell r="A1933" t="str">
            <v>202540-36-RH-OUT</v>
          </cell>
          <cell r="B1933" t="str">
            <v>EVO 32,DR&amp;JB,AIR,RH,OUT,36"</v>
          </cell>
          <cell r="C1933" t="str">
            <v>EA</v>
          </cell>
          <cell r="D1933" t="str">
            <v>MA100</v>
          </cell>
          <cell r="E1933">
            <v>5387.79</v>
          </cell>
          <cell r="G1933" t="str">
            <v>202540-36-RH-OUT</v>
          </cell>
        </row>
        <row r="1934">
          <cell r="A1934" t="str">
            <v>202540-48-LH-IN</v>
          </cell>
          <cell r="B1934" t="str">
            <v>EVO 32,DR&amp;JB,AIR,LH,IN,48"</v>
          </cell>
          <cell r="C1934" t="str">
            <v>EA</v>
          </cell>
          <cell r="D1934" t="str">
            <v>MA100</v>
          </cell>
          <cell r="E1934">
            <v>5900.7</v>
          </cell>
          <cell r="G1934" t="str">
            <v>202540-48-LH-IN</v>
          </cell>
        </row>
        <row r="1935">
          <cell r="A1935" t="str">
            <v>202540-48-LH-OUT</v>
          </cell>
          <cell r="B1935" t="str">
            <v>EVO 32,DR&amp;JB,AIR,LH,OUT,48"</v>
          </cell>
          <cell r="C1935" t="str">
            <v>EA</v>
          </cell>
          <cell r="D1935" t="str">
            <v>MA100</v>
          </cell>
          <cell r="E1935">
            <v>5136.7700000000004</v>
          </cell>
          <cell r="G1935" t="str">
            <v>202540-48-LH-OUT</v>
          </cell>
        </row>
        <row r="1936">
          <cell r="A1936" t="str">
            <v>202540-48-RH-IN</v>
          </cell>
          <cell r="B1936" t="str">
            <v>EVO 32,DR&amp;JB,AIR,RH,IN,48"</v>
          </cell>
          <cell r="C1936" t="str">
            <v>EA</v>
          </cell>
          <cell r="D1936" t="str">
            <v>MA100</v>
          </cell>
          <cell r="E1936">
            <v>5890.2</v>
          </cell>
          <cell r="G1936" t="str">
            <v>202540-48-RH-IN</v>
          </cell>
        </row>
        <row r="1937">
          <cell r="A1937" t="str">
            <v>202540-48-RH-OUT</v>
          </cell>
          <cell r="B1937" t="str">
            <v>EVO 32,DR&amp;JB,AIR,RH,OUT,48"</v>
          </cell>
          <cell r="C1937" t="str">
            <v>EA</v>
          </cell>
          <cell r="D1937" t="str">
            <v>MA100</v>
          </cell>
          <cell r="E1937">
            <v>5126.26</v>
          </cell>
          <cell r="G1937" t="str">
            <v>202540-48-RH-OUT</v>
          </cell>
        </row>
        <row r="1938">
          <cell r="A1938" t="str">
            <v>202550-35-LH-IN</v>
          </cell>
          <cell r="B1938" t="str">
            <v>EVO,DR&amp;JB,LH,IN,MAN,35" CUSTOM</v>
          </cell>
          <cell r="C1938" t="str">
            <v>EA</v>
          </cell>
          <cell r="D1938" t="str">
            <v>FG055</v>
          </cell>
          <cell r="E1938">
            <v>4216.8</v>
          </cell>
          <cell r="G1938" t="str">
            <v>202550-35-LH-IN</v>
          </cell>
        </row>
        <row r="1939">
          <cell r="A1939" t="str">
            <v>202553-48-LH-IN</v>
          </cell>
          <cell r="B1939" t="str">
            <v>EVO,DR&amp;JB,LH,IN,MAN,48" W/.125 LEAD</v>
          </cell>
          <cell r="C1939" t="str">
            <v>EA</v>
          </cell>
          <cell r="D1939" t="str">
            <v>FG055</v>
          </cell>
          <cell r="E1939">
            <v>4228.1000000000004</v>
          </cell>
          <cell r="G1939" t="str">
            <v>202553-48-LH-IN</v>
          </cell>
        </row>
        <row r="1940">
          <cell r="A1940" t="str">
            <v>202556-36-LH-IN</v>
          </cell>
          <cell r="B1940" t="str">
            <v>EVO,DR&amp;JB,LH,IN,MAN,36" W/.056 SIL</v>
          </cell>
          <cell r="C1940" t="str">
            <v>EA</v>
          </cell>
          <cell r="D1940" t="str">
            <v>FG055</v>
          </cell>
          <cell r="E1940">
            <v>3454.5</v>
          </cell>
          <cell r="G1940" t="str">
            <v>202556-36-LH-IN</v>
          </cell>
        </row>
        <row r="1941">
          <cell r="A1941" t="str">
            <v>202556-36-RH-IN</v>
          </cell>
          <cell r="B1941" t="str">
            <v>EVO,DR&amp;JB,RH,IN,MAN,36" W/.056 SIL</v>
          </cell>
          <cell r="C1941" t="str">
            <v>EA</v>
          </cell>
          <cell r="D1941" t="str">
            <v>FG055</v>
          </cell>
          <cell r="E1941">
            <v>3458.46</v>
          </cell>
          <cell r="G1941" t="str">
            <v>202556-36-RH-IN</v>
          </cell>
        </row>
        <row r="1942">
          <cell r="A1942" t="str">
            <v>202556-42-LH-IN</v>
          </cell>
          <cell r="B1942" t="str">
            <v>EVO,DR&amp;JB,LH,IN,MAN,42" W/.056 SIL</v>
          </cell>
          <cell r="C1942" t="str">
            <v>EA</v>
          </cell>
          <cell r="D1942" t="str">
            <v>FG055</v>
          </cell>
          <cell r="E1942">
            <v>3627.73</v>
          </cell>
          <cell r="G1942" t="str">
            <v>202556-42-LH-IN</v>
          </cell>
        </row>
        <row r="1943">
          <cell r="A1943" t="str">
            <v>202558-35-LH-IN</v>
          </cell>
          <cell r="B1943" t="str">
            <v>EVO,DR&amp;JB,LH,IN,MAN,35" LAMBOO</v>
          </cell>
          <cell r="C1943" t="str">
            <v>EA</v>
          </cell>
          <cell r="D1943" t="str">
            <v>FG055</v>
          </cell>
          <cell r="E1943">
            <v>3831.86</v>
          </cell>
          <cell r="G1943" t="str">
            <v>202558-35-LH-IN</v>
          </cell>
        </row>
        <row r="1944">
          <cell r="A1944" t="str">
            <v>202736-LH-IN</v>
          </cell>
          <cell r="B1944" t="str">
            <v>RESERVED FOR POSSIBLE EVO KIT</v>
          </cell>
          <cell r="C1944" t="str">
            <v>EA</v>
          </cell>
          <cell r="D1944" t="str">
            <v>MA100</v>
          </cell>
          <cell r="E1944">
            <v>0</v>
          </cell>
          <cell r="G1944" t="str">
            <v>202736-LH-IN</v>
          </cell>
        </row>
        <row r="1945">
          <cell r="A1945" t="str">
            <v>202736-LH-OUT</v>
          </cell>
          <cell r="B1945" t="str">
            <v>RESERVED FOR POSSIBLE EVO KIT</v>
          </cell>
          <cell r="C1945" t="str">
            <v>EA</v>
          </cell>
          <cell r="D1945" t="str">
            <v>MA100</v>
          </cell>
          <cell r="E1945">
            <v>0</v>
          </cell>
          <cell r="G1945" t="str">
            <v>202736-LH-OUT</v>
          </cell>
        </row>
        <row r="1946">
          <cell r="A1946" t="str">
            <v>202736-RH-IN</v>
          </cell>
          <cell r="B1946" t="str">
            <v>RESERVED FOR POSSIBLE EVO KIT</v>
          </cell>
          <cell r="C1946" t="str">
            <v>EA</v>
          </cell>
          <cell r="D1946" t="str">
            <v>MA100</v>
          </cell>
          <cell r="E1946">
            <v>0</v>
          </cell>
          <cell r="G1946" t="str">
            <v>202736-RH-IN</v>
          </cell>
        </row>
        <row r="1947">
          <cell r="A1947" t="str">
            <v>202736-RH-OUT</v>
          </cell>
          <cell r="B1947" t="str">
            <v>RESERVED FOR POSSIBLE EVO KIT</v>
          </cell>
          <cell r="C1947" t="str">
            <v>EA</v>
          </cell>
          <cell r="D1947" t="str">
            <v>MA100</v>
          </cell>
          <cell r="E1947">
            <v>0</v>
          </cell>
          <cell r="G1947" t="str">
            <v>202736-RH-OUT</v>
          </cell>
        </row>
        <row r="1948">
          <cell r="A1948" t="str">
            <v>202742-LH-IN</v>
          </cell>
          <cell r="B1948" t="str">
            <v>RESERVED FOR POSSIBLE EVO KIT</v>
          </cell>
          <cell r="C1948" t="str">
            <v>EA</v>
          </cell>
          <cell r="D1948" t="str">
            <v>MA100</v>
          </cell>
          <cell r="E1948">
            <v>0</v>
          </cell>
          <cell r="G1948" t="str">
            <v>202742-LH-IN</v>
          </cell>
        </row>
        <row r="1949">
          <cell r="A1949" t="str">
            <v>202742-LH-OUT</v>
          </cell>
          <cell r="B1949" t="str">
            <v>RESERVED FOR POSSIBLE EVO KIT</v>
          </cell>
          <cell r="C1949" t="str">
            <v>EA</v>
          </cell>
          <cell r="D1949" t="str">
            <v>MA100</v>
          </cell>
          <cell r="E1949">
            <v>0</v>
          </cell>
          <cell r="G1949" t="str">
            <v>202742-LH-OUT</v>
          </cell>
        </row>
        <row r="1950">
          <cell r="A1950" t="str">
            <v>202742-RH-IN</v>
          </cell>
          <cell r="B1950" t="str">
            <v>RESERVED FOR POSSIBLE EVO KIT</v>
          </cell>
          <cell r="C1950" t="str">
            <v>EA</v>
          </cell>
          <cell r="D1950" t="str">
            <v>MA100</v>
          </cell>
          <cell r="E1950">
            <v>0</v>
          </cell>
          <cell r="G1950" t="str">
            <v>202742-RH-IN</v>
          </cell>
        </row>
        <row r="1951">
          <cell r="A1951" t="str">
            <v>202742-RH-OUT</v>
          </cell>
          <cell r="B1951" t="str">
            <v>RESERVED FOR POSSIBLE EVO KIT</v>
          </cell>
          <cell r="C1951" t="str">
            <v>EA</v>
          </cell>
          <cell r="D1951" t="str">
            <v>MA100</v>
          </cell>
          <cell r="E1951">
            <v>0</v>
          </cell>
          <cell r="G1951" t="str">
            <v>202742-RH-OUT</v>
          </cell>
        </row>
        <row r="1952">
          <cell r="A1952" t="str">
            <v>202748-LH-IN</v>
          </cell>
          <cell r="B1952" t="str">
            <v>RESERVED FOR POSSIBLE EVO KIT</v>
          </cell>
          <cell r="C1952" t="str">
            <v>EA</v>
          </cell>
          <cell r="D1952" t="str">
            <v>MA100</v>
          </cell>
          <cell r="E1952">
            <v>0</v>
          </cell>
          <cell r="G1952" t="str">
            <v>202748-LH-IN</v>
          </cell>
        </row>
        <row r="1953">
          <cell r="A1953" t="str">
            <v>202748-LH-OUT</v>
          </cell>
          <cell r="B1953" t="str">
            <v>RESERVED FOR POSSIBLE EVO KIT</v>
          </cell>
          <cell r="C1953" t="str">
            <v>EA</v>
          </cell>
          <cell r="D1953" t="str">
            <v>MA100</v>
          </cell>
          <cell r="E1953">
            <v>0</v>
          </cell>
          <cell r="G1953" t="str">
            <v>202748-LH-OUT</v>
          </cell>
        </row>
        <row r="1954">
          <cell r="A1954" t="str">
            <v>202748-RH-IN</v>
          </cell>
          <cell r="B1954" t="str">
            <v>RESERVED FOR POSSIBLE EVO KIT</v>
          </cell>
          <cell r="C1954" t="str">
            <v>EA</v>
          </cell>
          <cell r="D1954" t="str">
            <v>MA100</v>
          </cell>
          <cell r="E1954">
            <v>0</v>
          </cell>
          <cell r="G1954" t="str">
            <v>202748-RH-IN</v>
          </cell>
        </row>
        <row r="1955">
          <cell r="A1955" t="str">
            <v>202748-RH-OUT</v>
          </cell>
          <cell r="B1955" t="str">
            <v>RESERVED FOR POSSIBLE EVO KIT</v>
          </cell>
          <cell r="C1955" t="str">
            <v>EA</v>
          </cell>
          <cell r="D1955" t="str">
            <v>MA100</v>
          </cell>
          <cell r="E1955">
            <v>0</v>
          </cell>
          <cell r="G1955" t="str">
            <v>202748-RH-OUT</v>
          </cell>
        </row>
        <row r="1956">
          <cell r="A1956">
            <v>204021</v>
          </cell>
          <cell r="B1956" t="str">
            <v>EXTRU,ALUM,MRDS HDR 77" MACH BLTD*</v>
          </cell>
          <cell r="C1956" t="str">
            <v>EA</v>
          </cell>
          <cell r="D1956" t="str">
            <v>MA100</v>
          </cell>
          <cell r="E1956">
            <v>143.59</v>
          </cell>
          <cell r="G1956">
            <v>204021</v>
          </cell>
        </row>
        <row r="1957">
          <cell r="A1957">
            <v>204022</v>
          </cell>
          <cell r="B1957" t="str">
            <v>THRSLD,MACH 77" ALUM MRI4  BLTD72X84"*</v>
          </cell>
          <cell r="C1957" t="str">
            <v>EA</v>
          </cell>
          <cell r="D1957" t="str">
            <v>RM100</v>
          </cell>
          <cell r="E1957">
            <v>226</v>
          </cell>
          <cell r="G1957">
            <v>204022</v>
          </cell>
        </row>
        <row r="1958">
          <cell r="A1958">
            <v>204023</v>
          </cell>
          <cell r="B1958" t="str">
            <v>EXTRU,ALUM,MR3&amp;4 HDR 65"(60X84 JB) MACH</v>
          </cell>
          <cell r="C1958" t="str">
            <v>EA</v>
          </cell>
          <cell r="D1958" t="str">
            <v>MA100</v>
          </cell>
          <cell r="E1958">
            <v>110</v>
          </cell>
          <cell r="G1958">
            <v>204023</v>
          </cell>
        </row>
        <row r="1959">
          <cell r="A1959">
            <v>204024</v>
          </cell>
          <cell r="B1959" t="str">
            <v>THRSLD,MACH 65" ALUM MRI3&amp;4 BLTD 60X84"*</v>
          </cell>
          <cell r="C1959" t="str">
            <v>EA</v>
          </cell>
          <cell r="D1959" t="str">
            <v>MA100</v>
          </cell>
          <cell r="E1959">
            <v>230</v>
          </cell>
          <cell r="G1959">
            <v>204024</v>
          </cell>
        </row>
        <row r="1960">
          <cell r="A1960">
            <v>204026</v>
          </cell>
          <cell r="B1960" t="str">
            <v>FNGR,97-536-17 LAIRD 24"LG TIN PLT*</v>
          </cell>
          <cell r="C1960" t="str">
            <v>EA</v>
          </cell>
          <cell r="D1960" t="str">
            <v>RM100</v>
          </cell>
          <cell r="E1960">
            <v>9.5890000000000004</v>
          </cell>
          <cell r="G1960">
            <v>204026</v>
          </cell>
        </row>
        <row r="1961">
          <cell r="A1961">
            <v>204027</v>
          </cell>
          <cell r="B1961" t="str">
            <v>FNGR,97-640-02 LAIRD 16" STRIPS</v>
          </cell>
          <cell r="C1961" t="str">
            <v>EA</v>
          </cell>
          <cell r="D1961" t="str">
            <v>RM100</v>
          </cell>
          <cell r="E1961">
            <v>4.32</v>
          </cell>
          <cell r="G1961">
            <v>204027</v>
          </cell>
        </row>
        <row r="1962">
          <cell r="A1962">
            <v>204028</v>
          </cell>
          <cell r="B1962" t="str">
            <v>FNGR,97-515-17 LAIRD BRIGHT TIN 24"L</v>
          </cell>
          <cell r="C1962" t="str">
            <v>EA</v>
          </cell>
          <cell r="D1962" t="str">
            <v>RM100</v>
          </cell>
          <cell r="E1962">
            <v>12.686</v>
          </cell>
          <cell r="G1962">
            <v>204028</v>
          </cell>
        </row>
        <row r="1963">
          <cell r="A1963">
            <v>204029</v>
          </cell>
          <cell r="B1963" t="str">
            <v>SHIELD CRAFT DR MAINT KIT PN 4070</v>
          </cell>
          <cell r="C1963" t="str">
            <v>EA</v>
          </cell>
          <cell r="D1963" t="str">
            <v>RM100</v>
          </cell>
          <cell r="E1963">
            <v>525</v>
          </cell>
          <cell r="G1963">
            <v>204029</v>
          </cell>
        </row>
        <row r="1964">
          <cell r="A1964">
            <v>204030</v>
          </cell>
          <cell r="B1964" t="str">
            <v>FNGR,77-014 LAIRD 24"LG CU</v>
          </cell>
          <cell r="C1964" t="str">
            <v>EA</v>
          </cell>
          <cell r="D1964" t="str">
            <v>RM100</v>
          </cell>
          <cell r="E1964">
            <v>5.2279999999999998</v>
          </cell>
          <cell r="G1964">
            <v>204030</v>
          </cell>
        </row>
        <row r="1965">
          <cell r="A1965">
            <v>204196</v>
          </cell>
          <cell r="B1965" t="str">
            <v>CLAMP,DE-STA-CO #324,STL 1-1/2" #53240</v>
          </cell>
          <cell r="C1965" t="str">
            <v>EA</v>
          </cell>
          <cell r="D1965" t="str">
            <v>RM100</v>
          </cell>
          <cell r="E1965">
            <v>19.47</v>
          </cell>
          <cell r="G1965">
            <v>204196</v>
          </cell>
        </row>
        <row r="1966">
          <cell r="A1966" t="str">
            <v>204232B</v>
          </cell>
          <cell r="B1966" t="str">
            <v>TRIM,DR,T/M  (T/B)19-1/8X2X1/8"</v>
          </cell>
          <cell r="C1966" t="str">
            <v>EA</v>
          </cell>
          <cell r="D1966" t="str">
            <v>RM100</v>
          </cell>
          <cell r="E1966">
            <v>18.25</v>
          </cell>
          <cell r="G1966" t="str">
            <v>204232B</v>
          </cell>
        </row>
        <row r="1967">
          <cell r="A1967" t="str">
            <v>204233B</v>
          </cell>
          <cell r="B1967" t="str">
            <v>TRIM,DR 15-1/8X2X1/8 CRS 18X18 DR</v>
          </cell>
          <cell r="C1967" t="str">
            <v>EA</v>
          </cell>
          <cell r="D1967" t="str">
            <v>RM100</v>
          </cell>
          <cell r="E1967">
            <v>22.25</v>
          </cell>
          <cell r="G1967" t="str">
            <v>204233B</v>
          </cell>
        </row>
        <row r="1968">
          <cell r="A1968" t="str">
            <v>204274B</v>
          </cell>
          <cell r="B1968" t="str">
            <v>TRIM,T/B CRS 2X49-1/8X1/8" LBBC</v>
          </cell>
          <cell r="C1968" t="str">
            <v>EA</v>
          </cell>
          <cell r="D1968" t="str">
            <v>RM100</v>
          </cell>
          <cell r="E1968">
            <v>29</v>
          </cell>
          <cell r="G1968" t="str">
            <v>204274B</v>
          </cell>
        </row>
        <row r="1969">
          <cell r="A1969">
            <v>204310</v>
          </cell>
          <cell r="B1969" t="str">
            <v>SPCR,HNG 2-9/16X1-3/4X1/8THK ALUM DR SID</v>
          </cell>
          <cell r="C1969" t="str">
            <v>EA</v>
          </cell>
          <cell r="D1969" t="str">
            <v>MA100</v>
          </cell>
          <cell r="E1969">
            <v>1.1499999999999999</v>
          </cell>
          <cell r="G1969">
            <v>204310</v>
          </cell>
        </row>
        <row r="1970">
          <cell r="A1970">
            <v>204332</v>
          </cell>
          <cell r="B1970" t="str">
            <v>TAPE,KAPTON 1/2" X 36 YDS</v>
          </cell>
          <cell r="C1970" t="str">
            <v>RL</v>
          </cell>
          <cell r="D1970" t="str">
            <v>MA100</v>
          </cell>
          <cell r="E1970">
            <v>8.7200000000000006</v>
          </cell>
          <cell r="G1970">
            <v>204332</v>
          </cell>
        </row>
        <row r="1971">
          <cell r="A1971">
            <v>204333</v>
          </cell>
          <cell r="B1971" t="str">
            <v>TAPE,KAPTON, 2 MM THK., 1" W X 36 YDS</v>
          </cell>
          <cell r="C1971" t="str">
            <v>RL</v>
          </cell>
          <cell r="D1971" t="str">
            <v>RM100</v>
          </cell>
          <cell r="E1971">
            <v>15.39</v>
          </cell>
          <cell r="G1971">
            <v>204333</v>
          </cell>
        </row>
        <row r="1972">
          <cell r="A1972">
            <v>204334</v>
          </cell>
          <cell r="B1972" t="str">
            <v>TAPE,INSRT,.710"x.024"x250' ABS-NO PSA*</v>
          </cell>
          <cell r="C1972" t="str">
            <v>FT</v>
          </cell>
          <cell r="D1972" t="str">
            <v>RM100</v>
          </cell>
          <cell r="E1972">
            <v>0.53500000000000003</v>
          </cell>
          <cell r="G1972">
            <v>204334</v>
          </cell>
        </row>
        <row r="1973">
          <cell r="A1973">
            <v>204335</v>
          </cell>
          <cell r="B1973" t="str">
            <v>TAPE,INSRT .725X.024X250' ABS PLASTIC</v>
          </cell>
          <cell r="C1973" t="str">
            <v>FT</v>
          </cell>
          <cell r="D1973" t="str">
            <v>RM100</v>
          </cell>
          <cell r="E1973">
            <v>0.63300000000000001</v>
          </cell>
          <cell r="G1973">
            <v>204335</v>
          </cell>
        </row>
        <row r="1974">
          <cell r="A1974" t="str">
            <v>204369B</v>
          </cell>
          <cell r="B1974" t="str">
            <v>TRIM,DR,T/M 9-1/8"X2"X1/8" HINGE SIDE</v>
          </cell>
          <cell r="C1974" t="str">
            <v>EA</v>
          </cell>
          <cell r="D1974" t="str">
            <v>RM100</v>
          </cell>
          <cell r="E1974">
            <v>19.649999999999999</v>
          </cell>
          <cell r="G1974" t="str">
            <v>204369B</v>
          </cell>
        </row>
        <row r="1975">
          <cell r="A1975">
            <v>204487</v>
          </cell>
          <cell r="B1975" t="str">
            <v>EXTRU,POST 1-1/8 ANOD CRL D630A WINDOWS</v>
          </cell>
          <cell r="C1975" t="str">
            <v>FT</v>
          </cell>
          <cell r="D1975" t="str">
            <v>RM100</v>
          </cell>
          <cell r="E1975">
            <v>1.8783300000000001</v>
          </cell>
          <cell r="G1975">
            <v>204487</v>
          </cell>
        </row>
        <row r="1976">
          <cell r="A1976">
            <v>204551</v>
          </cell>
          <cell r="B1976" t="str">
            <v>BOLT,SLIDE SURFACE TOP/BOTTOM *</v>
          </cell>
          <cell r="C1976" t="str">
            <v>EA</v>
          </cell>
          <cell r="D1976" t="str">
            <v>RM100</v>
          </cell>
          <cell r="E1976">
            <v>18.03</v>
          </cell>
          <cell r="G1976">
            <v>204551</v>
          </cell>
        </row>
        <row r="1977">
          <cell r="A1977">
            <v>204552</v>
          </cell>
          <cell r="B1977" t="str">
            <v>BOLT,SLIDE BTM, FOOT ACTUATED MMC1436A2</v>
          </cell>
          <cell r="C1977" t="str">
            <v>EA</v>
          </cell>
          <cell r="D1977" t="str">
            <v>RM100</v>
          </cell>
          <cell r="E1977">
            <v>16.420000000000002</v>
          </cell>
          <cell r="G1977">
            <v>204552</v>
          </cell>
        </row>
        <row r="1978">
          <cell r="A1978">
            <v>204567</v>
          </cell>
          <cell r="B1978" t="str">
            <v>ISLTR,THRSLD BS .5X53X5.875 O/S PHEN B*</v>
          </cell>
          <cell r="C1978" t="str">
            <v>EA</v>
          </cell>
          <cell r="D1978" t="str">
            <v>RM100</v>
          </cell>
          <cell r="E1978">
            <v>88.45</v>
          </cell>
          <cell r="G1978">
            <v>204567</v>
          </cell>
        </row>
        <row r="1979">
          <cell r="A1979">
            <v>204569</v>
          </cell>
          <cell r="B1979" t="str">
            <v>ISLTR,THRSLD BS .5X61X5.875 O/S PHEN B*</v>
          </cell>
          <cell r="C1979" t="str">
            <v>EA</v>
          </cell>
          <cell r="D1979" t="str">
            <v>MA100</v>
          </cell>
          <cell r="E1979">
            <v>290</v>
          </cell>
          <cell r="G1979">
            <v>204569</v>
          </cell>
        </row>
        <row r="1980">
          <cell r="A1980">
            <v>204570</v>
          </cell>
          <cell r="B1980" t="str">
            <v>THRSLD,OSWG ADPT 50X2X1/2 AL W/TAPER</v>
          </cell>
          <cell r="C1980" t="str">
            <v>EA</v>
          </cell>
          <cell r="D1980" t="str">
            <v>RM100</v>
          </cell>
          <cell r="E1980">
            <v>52.88</v>
          </cell>
          <cell r="G1980">
            <v>204570</v>
          </cell>
        </row>
        <row r="1981">
          <cell r="A1981" t="str">
            <v>204577B</v>
          </cell>
          <cell r="B1981" t="str">
            <v>TRIM,HNG 10GHz 80-1/4X3X1/8 (4)*</v>
          </cell>
          <cell r="C1981" t="str">
            <v>EA</v>
          </cell>
          <cell r="D1981" t="str">
            <v>RM100</v>
          </cell>
          <cell r="E1981">
            <v>179.67</v>
          </cell>
          <cell r="G1981" t="str">
            <v>204577B</v>
          </cell>
        </row>
        <row r="1982">
          <cell r="A1982" t="str">
            <v>204630B</v>
          </cell>
          <cell r="B1982" t="str">
            <v>BAR,LG 60-1/4X1-1/4 CRS BRUSH-CHROME</v>
          </cell>
          <cell r="C1982" t="str">
            <v>EA</v>
          </cell>
          <cell r="D1982" t="str">
            <v>RM100</v>
          </cell>
          <cell r="E1982">
            <v>58.14</v>
          </cell>
          <cell r="G1982" t="str">
            <v>204630B</v>
          </cell>
        </row>
        <row r="1983">
          <cell r="A1983">
            <v>204656</v>
          </cell>
          <cell r="B1983" t="str">
            <v>LATCH ROLLER, W/NYLON ROLLER</v>
          </cell>
          <cell r="C1983" t="str">
            <v>EA</v>
          </cell>
          <cell r="D1983" t="str">
            <v>RM100</v>
          </cell>
          <cell r="E1983">
            <v>21.18</v>
          </cell>
          <cell r="G1983">
            <v>204656</v>
          </cell>
        </row>
        <row r="1984">
          <cell r="A1984">
            <v>204657</v>
          </cell>
          <cell r="B1984" t="str">
            <v>ISLTR,THRSLD BS .5X41X3.875 I/S PHEN B*</v>
          </cell>
          <cell r="C1984" t="str">
            <v>EA</v>
          </cell>
          <cell r="D1984" t="str">
            <v>RM100</v>
          </cell>
          <cell r="E1984">
            <v>53.4</v>
          </cell>
          <cell r="G1984">
            <v>204657</v>
          </cell>
        </row>
        <row r="1985">
          <cell r="A1985">
            <v>204658</v>
          </cell>
          <cell r="B1985" t="str">
            <v>ISLTR,THRSLD BS .5X47X3.875 I/S PHEN B*</v>
          </cell>
          <cell r="C1985" t="str">
            <v>EA</v>
          </cell>
          <cell r="D1985" t="str">
            <v>RM100</v>
          </cell>
          <cell r="E1985">
            <v>53.4</v>
          </cell>
          <cell r="G1985">
            <v>204658</v>
          </cell>
        </row>
        <row r="1986">
          <cell r="A1986">
            <v>204659</v>
          </cell>
          <cell r="B1986" t="str">
            <v>ISLTR,THRSLD BS .5X53X3.875 I/S PHEN B*</v>
          </cell>
          <cell r="C1986" t="str">
            <v>EA</v>
          </cell>
          <cell r="D1986" t="str">
            <v>RM100</v>
          </cell>
          <cell r="E1986">
            <v>62</v>
          </cell>
          <cell r="G1986">
            <v>204659</v>
          </cell>
        </row>
        <row r="1987">
          <cell r="A1987">
            <v>204719</v>
          </cell>
          <cell r="B1987" t="str">
            <v>THRSLD,MACH 34" ALUM MRI4  BOLTED</v>
          </cell>
          <cell r="C1987" t="str">
            <v>EA</v>
          </cell>
          <cell r="D1987" t="str">
            <v>MA100</v>
          </cell>
          <cell r="E1987">
            <v>61.5</v>
          </cell>
          <cell r="G1987">
            <v>204719</v>
          </cell>
        </row>
        <row r="1988">
          <cell r="A1988">
            <v>204720</v>
          </cell>
          <cell r="B1988" t="str">
            <v>THRSLD,MACH 53" ALUM MRI4  BOLTED</v>
          </cell>
          <cell r="C1988" t="str">
            <v>EA</v>
          </cell>
          <cell r="D1988" t="str">
            <v>RM100</v>
          </cell>
          <cell r="E1988">
            <v>102.57</v>
          </cell>
          <cell r="G1988">
            <v>204720</v>
          </cell>
        </row>
        <row r="1989">
          <cell r="A1989">
            <v>204727</v>
          </cell>
          <cell r="B1989" t="str">
            <v>THRSLD,MACH 41" ALUM MRI4  BOLTED</v>
          </cell>
          <cell r="C1989" t="str">
            <v>EA</v>
          </cell>
          <cell r="D1989" t="str">
            <v>RM100</v>
          </cell>
          <cell r="E1989">
            <v>61.5</v>
          </cell>
          <cell r="G1989">
            <v>204727</v>
          </cell>
        </row>
        <row r="1990">
          <cell r="A1990">
            <v>204728</v>
          </cell>
          <cell r="B1990" t="str">
            <v>THRSLD,MACH 47" ALUM MRI4  BOLTED</v>
          </cell>
          <cell r="C1990" t="str">
            <v>EA</v>
          </cell>
          <cell r="D1990" t="str">
            <v>RM100</v>
          </cell>
          <cell r="E1990">
            <v>160.26</v>
          </cell>
          <cell r="G1990">
            <v>204728</v>
          </cell>
        </row>
        <row r="1991">
          <cell r="A1991">
            <v>204850</v>
          </cell>
          <cell r="B1991" t="str">
            <v>CLAMP,DE-STA-CO #607 EDP #56070</v>
          </cell>
          <cell r="C1991" t="str">
            <v>EA</v>
          </cell>
          <cell r="D1991" t="str">
            <v>RM100</v>
          </cell>
          <cell r="E1991">
            <v>34.909999999999997</v>
          </cell>
          <cell r="G1991">
            <v>204850</v>
          </cell>
        </row>
        <row r="1992">
          <cell r="A1992">
            <v>204872</v>
          </cell>
          <cell r="B1992" t="str">
            <v>ISLTR,THRSLD,PHEN DR,61X3-7/8x1/2</v>
          </cell>
          <cell r="C1992" t="str">
            <v>EA</v>
          </cell>
          <cell r="D1992" t="str">
            <v>RM100</v>
          </cell>
          <cell r="E1992">
            <v>141</v>
          </cell>
          <cell r="G1992">
            <v>204872</v>
          </cell>
        </row>
        <row r="1993">
          <cell r="A1993">
            <v>204887</v>
          </cell>
          <cell r="B1993" t="str">
            <v>GASKET, RF COMBO .25 MESH 2 SIDES 25 FT</v>
          </cell>
          <cell r="C1993" t="str">
            <v>FT</v>
          </cell>
          <cell r="D1993" t="str">
            <v>RM100</v>
          </cell>
          <cell r="E1993">
            <v>3.2</v>
          </cell>
          <cell r="G1993">
            <v>204887</v>
          </cell>
        </row>
        <row r="1994">
          <cell r="A1994" t="str">
            <v>204970B</v>
          </cell>
          <cell r="B1994" t="str">
            <v>TRIM,HNG 10GHz 8-1/4X3X1/8 CRS LBBC*</v>
          </cell>
          <cell r="C1994" t="str">
            <v>EA</v>
          </cell>
          <cell r="D1994" t="str">
            <v>RM100</v>
          </cell>
          <cell r="E1994">
            <v>59.5</v>
          </cell>
          <cell r="G1994" t="str">
            <v>204970B</v>
          </cell>
        </row>
        <row r="1995">
          <cell r="A1995" t="str">
            <v>204971B</v>
          </cell>
          <cell r="B1995" t="str">
            <v>TRIM,LTCH 10GHz 8-1/4X3X1/8 CRS LBBC*</v>
          </cell>
          <cell r="C1995" t="str">
            <v>EA</v>
          </cell>
          <cell r="D1995" t="str">
            <v>RM100</v>
          </cell>
          <cell r="E1995">
            <v>41.31</v>
          </cell>
          <cell r="G1995" t="str">
            <v>204971B</v>
          </cell>
        </row>
        <row r="1996">
          <cell r="A1996" t="str">
            <v>204972B</v>
          </cell>
          <cell r="B1996" t="str">
            <v>TRIM,TOP 10GHz 14-1/4X3X1/8 CRS LBBC*</v>
          </cell>
          <cell r="C1996" t="str">
            <v>EA</v>
          </cell>
          <cell r="D1996" t="str">
            <v>RM100</v>
          </cell>
          <cell r="E1996">
            <v>0</v>
          </cell>
          <cell r="G1996" t="str">
            <v>204972B</v>
          </cell>
        </row>
        <row r="1997">
          <cell r="A1997" t="str">
            <v>204973B</v>
          </cell>
          <cell r="B1997" t="str">
            <v>TRIM,BTM 10GHz 14-1/4X3X1/8 CRS LBBC*</v>
          </cell>
          <cell r="C1997" t="str">
            <v>EA</v>
          </cell>
          <cell r="D1997" t="str">
            <v>RM100</v>
          </cell>
          <cell r="E1997">
            <v>0</v>
          </cell>
          <cell r="G1997" t="str">
            <v>204973B</v>
          </cell>
        </row>
        <row r="1998">
          <cell r="A1998" t="str">
            <v>204975B</v>
          </cell>
          <cell r="B1998" t="str">
            <v>TRIM,D/J 10GHz 13-1/2X1-1/2X1/8 CRS*</v>
          </cell>
          <cell r="C1998" t="str">
            <v>EA</v>
          </cell>
          <cell r="D1998" t="str">
            <v>RM100</v>
          </cell>
          <cell r="E1998">
            <v>39.700000000000003</v>
          </cell>
          <cell r="G1998" t="str">
            <v>204975B</v>
          </cell>
        </row>
        <row r="1999">
          <cell r="A1999">
            <v>205005</v>
          </cell>
          <cell r="B1999" t="str">
            <v>GSKT, "D" W/ADH,.61X.36 (SD-804-T)</v>
          </cell>
          <cell r="C1999" t="str">
            <v>FT</v>
          </cell>
          <cell r="D1999" t="str">
            <v>RM100</v>
          </cell>
          <cell r="E1999">
            <v>0.86</v>
          </cell>
          <cell r="G1999">
            <v>205005</v>
          </cell>
        </row>
        <row r="2000">
          <cell r="A2000">
            <v>205006</v>
          </cell>
          <cell r="B2000" t="str">
            <v>GSKT,RNDw/FOAM&amp;ADH.250DIA X .625TAIL***</v>
          </cell>
          <cell r="C2000" t="str">
            <v>FT</v>
          </cell>
          <cell r="D2000" t="str">
            <v>RM100</v>
          </cell>
          <cell r="E2000">
            <v>2.21</v>
          </cell>
          <cell r="G2000">
            <v>205006</v>
          </cell>
        </row>
        <row r="2001">
          <cell r="A2001">
            <v>205009</v>
          </cell>
          <cell r="B2001" t="str">
            <v>GSKT,RF RND W/FOAM&amp;ADH .125 DX .625 TAIL</v>
          </cell>
          <cell r="C2001" t="str">
            <v>FT</v>
          </cell>
          <cell r="D2001" t="str">
            <v>RM100</v>
          </cell>
          <cell r="E2001">
            <v>1.93</v>
          </cell>
          <cell r="G2001">
            <v>205009</v>
          </cell>
        </row>
        <row r="2002">
          <cell r="A2002">
            <v>205015</v>
          </cell>
          <cell r="B2002" t="str">
            <v>SEAL,ROPE CAULK,3/16 DIA, 90FT</v>
          </cell>
          <cell r="C2002" t="str">
            <v>FT</v>
          </cell>
          <cell r="D2002" t="str">
            <v>RM100</v>
          </cell>
          <cell r="E2002">
            <v>5.3560000000000003E-2</v>
          </cell>
          <cell r="G2002">
            <v>205015</v>
          </cell>
        </row>
        <row r="2003">
          <cell r="A2003">
            <v>205025</v>
          </cell>
          <cell r="B2003" t="str">
            <v>EXTRU,ALUM. HDR/SILL 29"</v>
          </cell>
          <cell r="C2003" t="str">
            <v>EA</v>
          </cell>
          <cell r="D2003" t="str">
            <v>MA100</v>
          </cell>
          <cell r="E2003">
            <v>72.42</v>
          </cell>
          <cell r="G2003">
            <v>205025</v>
          </cell>
        </row>
        <row r="2004">
          <cell r="A2004">
            <v>205026</v>
          </cell>
          <cell r="B2004" t="str">
            <v>EXTRU,ALUM. HINGE SIDE 29"</v>
          </cell>
          <cell r="C2004" t="str">
            <v>EA</v>
          </cell>
          <cell r="D2004" t="str">
            <v>MA100</v>
          </cell>
          <cell r="E2004">
            <v>102.67</v>
          </cell>
          <cell r="G2004">
            <v>205026</v>
          </cell>
        </row>
        <row r="2005">
          <cell r="A2005">
            <v>205027</v>
          </cell>
          <cell r="B2005" t="str">
            <v>EXTRU,ALUM. LATCH SIDE 29"</v>
          </cell>
          <cell r="C2005" t="str">
            <v>EA</v>
          </cell>
          <cell r="D2005" t="str">
            <v>MA100</v>
          </cell>
          <cell r="E2005">
            <v>94.42</v>
          </cell>
          <cell r="G2005">
            <v>205027</v>
          </cell>
        </row>
        <row r="2006">
          <cell r="A2006">
            <v>205028</v>
          </cell>
          <cell r="B2006" t="str">
            <v>ASSM,DR/JB,MRDS, 29"X29" PASS THRU</v>
          </cell>
          <cell r="C2006" t="str">
            <v>EA</v>
          </cell>
          <cell r="D2006" t="str">
            <v>MA100</v>
          </cell>
          <cell r="E2006">
            <v>835.70893000000001</v>
          </cell>
          <cell r="G2006">
            <v>205028</v>
          </cell>
        </row>
        <row r="2007">
          <cell r="A2007">
            <v>205029</v>
          </cell>
          <cell r="B2007" t="str">
            <v>SLIDE BOLT,SS,2"x1.5"W/LATCH</v>
          </cell>
          <cell r="C2007" t="str">
            <v>EA</v>
          </cell>
          <cell r="D2007" t="str">
            <v>MA100</v>
          </cell>
          <cell r="E2007">
            <v>14.66</v>
          </cell>
          <cell r="G2007">
            <v>205029</v>
          </cell>
        </row>
        <row r="2008">
          <cell r="A2008">
            <v>205030</v>
          </cell>
          <cell r="B2008" t="str">
            <v>DOOR SLAB, 2X23-13/16X23-13/16 w/6 deg</v>
          </cell>
          <cell r="C2008" t="str">
            <v>EA</v>
          </cell>
          <cell r="D2008" t="str">
            <v>MA100</v>
          </cell>
          <cell r="E2008">
            <v>50.106250000000003</v>
          </cell>
          <cell r="G2008">
            <v>205030</v>
          </cell>
        </row>
        <row r="2009">
          <cell r="A2009">
            <v>205031</v>
          </cell>
          <cell r="B2009" t="str">
            <v>KEY,SCHLAGE CUT TO C38383 MRI4</v>
          </cell>
          <cell r="C2009" t="str">
            <v>EA</v>
          </cell>
          <cell r="D2009" t="str">
            <v>RM100</v>
          </cell>
          <cell r="E2009">
            <v>3.6</v>
          </cell>
          <cell r="G2009">
            <v>205031</v>
          </cell>
        </row>
        <row r="2010">
          <cell r="A2010">
            <v>205032</v>
          </cell>
          <cell r="B2010" t="str">
            <v>EXTRU, ALUM. HDR/SILL MACH. 30"</v>
          </cell>
          <cell r="C2010" t="str">
            <v>EA</v>
          </cell>
          <cell r="D2010" t="str">
            <v>RM100</v>
          </cell>
          <cell r="E2010">
            <v>52.813000000000002</v>
          </cell>
          <cell r="G2010">
            <v>205032</v>
          </cell>
        </row>
        <row r="2011">
          <cell r="A2011">
            <v>205033</v>
          </cell>
          <cell r="B2011" t="str">
            <v>EXTRU, ALUM. HINGE SIDE 30"</v>
          </cell>
          <cell r="C2011" t="str">
            <v>EA</v>
          </cell>
          <cell r="D2011" t="str">
            <v>RM100</v>
          </cell>
          <cell r="E2011">
            <v>72.650000000000006</v>
          </cell>
          <cell r="G2011">
            <v>205033</v>
          </cell>
        </row>
        <row r="2012">
          <cell r="A2012">
            <v>205034</v>
          </cell>
          <cell r="B2012" t="str">
            <v>EXTRU, ALUM. LATCH SIDE MACH. 30"</v>
          </cell>
          <cell r="C2012" t="str">
            <v>EA</v>
          </cell>
          <cell r="D2012" t="str">
            <v>RM100</v>
          </cell>
          <cell r="E2012">
            <v>61.73</v>
          </cell>
          <cell r="G2012">
            <v>205034</v>
          </cell>
        </row>
        <row r="2013">
          <cell r="A2013">
            <v>205035</v>
          </cell>
          <cell r="B2013" t="str">
            <v>EXTRU, ALUM. HDR/SILL MACH. 44-3/4"</v>
          </cell>
          <cell r="C2013" t="str">
            <v>EA</v>
          </cell>
          <cell r="D2013" t="str">
            <v>RM100</v>
          </cell>
          <cell r="E2013">
            <v>69.23</v>
          </cell>
          <cell r="G2013">
            <v>205035</v>
          </cell>
        </row>
        <row r="2014">
          <cell r="A2014">
            <v>205036</v>
          </cell>
          <cell r="B2014" t="str">
            <v>EXTRU, ALUM. HINGE SIDE 76"</v>
          </cell>
          <cell r="C2014" t="str">
            <v>EA</v>
          </cell>
          <cell r="D2014" t="str">
            <v>RM100</v>
          </cell>
          <cell r="E2014">
            <v>156.61000000000001</v>
          </cell>
          <cell r="G2014">
            <v>205036</v>
          </cell>
        </row>
        <row r="2015">
          <cell r="A2015">
            <v>205037</v>
          </cell>
          <cell r="B2015" t="str">
            <v>EXTRU, ALUM. LATCH SIDE MACH. 76"</v>
          </cell>
          <cell r="C2015" t="str">
            <v>EA</v>
          </cell>
          <cell r="D2015" t="str">
            <v>RM100</v>
          </cell>
          <cell r="E2015">
            <v>176.12</v>
          </cell>
          <cell r="G2015">
            <v>205037</v>
          </cell>
        </row>
        <row r="2016">
          <cell r="A2016">
            <v>205038</v>
          </cell>
          <cell r="B2016" t="str">
            <v>EXTRU, ALUM. HDR/SILL MACH. 18"</v>
          </cell>
          <cell r="C2016" t="str">
            <v>EA</v>
          </cell>
          <cell r="D2016" t="str">
            <v>MA100</v>
          </cell>
          <cell r="E2016">
            <v>51.74</v>
          </cell>
          <cell r="G2016">
            <v>205038</v>
          </cell>
        </row>
        <row r="2017">
          <cell r="A2017">
            <v>205039</v>
          </cell>
          <cell r="B2017" t="str">
            <v>EXTRU, ALUM. HINGE SIDE 18"</v>
          </cell>
          <cell r="C2017" t="str">
            <v>EA</v>
          </cell>
          <cell r="D2017" t="str">
            <v>MA100</v>
          </cell>
          <cell r="E2017">
            <v>72.650000000000006</v>
          </cell>
          <cell r="G2017">
            <v>205039</v>
          </cell>
        </row>
        <row r="2018">
          <cell r="A2018">
            <v>205040</v>
          </cell>
          <cell r="B2018" t="str">
            <v>EXTRU, ALUM. LATCH SIDE 18"</v>
          </cell>
          <cell r="C2018" t="str">
            <v>EA</v>
          </cell>
          <cell r="D2018" t="str">
            <v>MA100</v>
          </cell>
          <cell r="E2018">
            <v>61.73</v>
          </cell>
          <cell r="G2018">
            <v>205040</v>
          </cell>
        </row>
        <row r="2019">
          <cell r="A2019">
            <v>205061</v>
          </cell>
          <cell r="B2019" t="str">
            <v>VLV,QUICK EXAUST SMC # AQ240F-07-00</v>
          </cell>
          <cell r="C2019" t="str">
            <v>EA</v>
          </cell>
          <cell r="D2019" t="str">
            <v>RM100</v>
          </cell>
          <cell r="E2019">
            <v>8.7100000000000009</v>
          </cell>
          <cell r="G2019">
            <v>205061</v>
          </cell>
        </row>
        <row r="2020">
          <cell r="A2020">
            <v>205063</v>
          </cell>
          <cell r="B2020" t="str">
            <v>FITTING, UNION TEE, 3/8" OD TUBE*</v>
          </cell>
          <cell r="C2020" t="str">
            <v>EA</v>
          </cell>
          <cell r="D2020" t="str">
            <v>RM100</v>
          </cell>
          <cell r="E2020">
            <v>2.93</v>
          </cell>
          <cell r="G2020">
            <v>205063</v>
          </cell>
        </row>
        <row r="2021">
          <cell r="A2021">
            <v>205064</v>
          </cell>
          <cell r="B2021" t="str">
            <v>CONN,PNU 1/4NPT X 3/8OD TUBE SMC*</v>
          </cell>
          <cell r="C2021" t="str">
            <v>EA</v>
          </cell>
          <cell r="D2021" t="str">
            <v>RM100</v>
          </cell>
          <cell r="E2021">
            <v>2.06</v>
          </cell>
          <cell r="G2021">
            <v>205064</v>
          </cell>
        </row>
        <row r="2022">
          <cell r="A2022">
            <v>205065</v>
          </cell>
          <cell r="B2022" t="str">
            <v>MANIFOLD,PRES REG,3-STATION,1/4"NPT</v>
          </cell>
          <cell r="C2022" t="str">
            <v>EA</v>
          </cell>
          <cell r="D2022" t="str">
            <v>RM100</v>
          </cell>
          <cell r="E2022">
            <v>81.88</v>
          </cell>
          <cell r="G2022">
            <v>205065</v>
          </cell>
        </row>
        <row r="2023">
          <cell r="A2023">
            <v>205066</v>
          </cell>
          <cell r="B2023" t="str">
            <v>FITTING,FLOW CNTL,IN-LINE,3/8 TUBE</v>
          </cell>
          <cell r="C2023" t="str">
            <v>EA</v>
          </cell>
          <cell r="D2023" t="str">
            <v>RM100</v>
          </cell>
          <cell r="E2023">
            <v>18</v>
          </cell>
          <cell r="G2023">
            <v>205066</v>
          </cell>
        </row>
        <row r="2024">
          <cell r="A2024">
            <v>205067</v>
          </cell>
          <cell r="B2024" t="str">
            <v>FITTING,TEE,(1)1/4"TUBE X (2)1/8"TUBE</v>
          </cell>
          <cell r="C2024" t="str">
            <v>EA</v>
          </cell>
          <cell r="D2024" t="str">
            <v>RM100</v>
          </cell>
          <cell r="E2024">
            <v>3.49</v>
          </cell>
          <cell r="G2024">
            <v>205067</v>
          </cell>
        </row>
        <row r="2025">
          <cell r="A2025">
            <v>205107</v>
          </cell>
          <cell r="B2025" t="str">
            <v>FITTING,"Y"ADAPTER 1/8"OD TUBE *</v>
          </cell>
          <cell r="C2025" t="str">
            <v>EA</v>
          </cell>
          <cell r="D2025" t="str">
            <v>RM100</v>
          </cell>
          <cell r="E2025">
            <v>2.48</v>
          </cell>
          <cell r="G2025">
            <v>205107</v>
          </cell>
        </row>
        <row r="2026">
          <cell r="A2026">
            <v>205267</v>
          </cell>
          <cell r="B2026" t="str">
            <v>VALVE,2P,24V,SPR RTRN,MNFLD BASE,SMC#SY*</v>
          </cell>
          <cell r="C2026" t="str">
            <v>EA</v>
          </cell>
          <cell r="D2026" t="str">
            <v>MA100</v>
          </cell>
          <cell r="E2026">
            <v>45.8</v>
          </cell>
          <cell r="G2026">
            <v>205267</v>
          </cell>
        </row>
        <row r="2027">
          <cell r="A2027">
            <v>205377</v>
          </cell>
          <cell r="B2027" t="str">
            <v>ISLTR,THRD BS .5X77X3.87 INSWG PHENOLIC</v>
          </cell>
          <cell r="C2027" t="str">
            <v>EA</v>
          </cell>
          <cell r="D2027" t="str">
            <v>RM100</v>
          </cell>
          <cell r="E2027">
            <v>135</v>
          </cell>
          <cell r="G2027">
            <v>205377</v>
          </cell>
        </row>
        <row r="2028">
          <cell r="A2028">
            <v>205395</v>
          </cell>
          <cell r="B2028" t="str">
            <v>CLOSER,DOOR LCN 4041* UN-POWERED</v>
          </cell>
          <cell r="C2028" t="str">
            <v>EA</v>
          </cell>
          <cell r="D2028" t="str">
            <v>RM100</v>
          </cell>
          <cell r="E2028">
            <v>292</v>
          </cell>
          <cell r="G2028">
            <v>205395</v>
          </cell>
        </row>
        <row r="2029">
          <cell r="A2029">
            <v>205409</v>
          </cell>
          <cell r="B2029" t="str">
            <v>FNGR,SKE DR,LAIRD #1666-0010-00(25'\RL)*</v>
          </cell>
          <cell r="C2029" t="str">
            <v>EA</v>
          </cell>
          <cell r="D2029" t="str">
            <v>RM100</v>
          </cell>
          <cell r="E2029">
            <v>37.758000000000003</v>
          </cell>
          <cell r="G2029">
            <v>205409</v>
          </cell>
        </row>
        <row r="2030">
          <cell r="A2030">
            <v>205421</v>
          </cell>
          <cell r="B2030" t="str">
            <v>HNG,6" FOR MRDS DR</v>
          </cell>
          <cell r="C2030" t="str">
            <v>EA</v>
          </cell>
          <cell r="D2030" t="str">
            <v>RM100</v>
          </cell>
          <cell r="E2030">
            <v>39</v>
          </cell>
          <cell r="G2030">
            <v>205421</v>
          </cell>
        </row>
        <row r="2031">
          <cell r="A2031">
            <v>205424</v>
          </cell>
          <cell r="B2031" t="str">
            <v>VLV,AIR-3WAY,1/8" PORTS,12VDC,MAC#*</v>
          </cell>
          <cell r="C2031" t="str">
            <v>EA</v>
          </cell>
          <cell r="D2031" t="str">
            <v>RM100</v>
          </cell>
          <cell r="E2031">
            <v>33.94</v>
          </cell>
          <cell r="G2031">
            <v>205424</v>
          </cell>
        </row>
        <row r="2032">
          <cell r="A2032">
            <v>205458</v>
          </cell>
          <cell r="B2032" t="str">
            <v>FITTING,90 DEG,1/4 TUBE x 1/8 NPT</v>
          </cell>
          <cell r="C2032" t="str">
            <v>EA</v>
          </cell>
          <cell r="D2032" t="str">
            <v>RM100</v>
          </cell>
          <cell r="E2032">
            <v>1.28</v>
          </cell>
          <cell r="G2032">
            <v>205458</v>
          </cell>
        </row>
        <row r="2033">
          <cell r="A2033">
            <v>205510</v>
          </cell>
          <cell r="B2033" t="str">
            <v>ISLTR,THRSLD BS,101-3/16X3-7/8X1/2</v>
          </cell>
          <cell r="C2033" t="str">
            <v>EA</v>
          </cell>
          <cell r="D2033" t="str">
            <v>RM100</v>
          </cell>
          <cell r="E2033">
            <v>180</v>
          </cell>
          <cell r="G2033">
            <v>205510</v>
          </cell>
        </row>
        <row r="2034">
          <cell r="A2034">
            <v>205522</v>
          </cell>
          <cell r="B2034" t="str">
            <v>BRKT, DR,SWI,LIMIT</v>
          </cell>
          <cell r="C2034" t="str">
            <v>EA</v>
          </cell>
          <cell r="D2034" t="str">
            <v>RM100</v>
          </cell>
          <cell r="E2034">
            <v>5.85</v>
          </cell>
          <cell r="G2034">
            <v>205522</v>
          </cell>
        </row>
        <row r="2035">
          <cell r="A2035">
            <v>205524</v>
          </cell>
          <cell r="B2035" t="str">
            <v>CVR,A/S DR SWI,3/32"ALUM,LH&amp;RR,MILL FIN*</v>
          </cell>
          <cell r="C2035" t="str">
            <v>EA</v>
          </cell>
          <cell r="D2035" t="str">
            <v>RM100</v>
          </cell>
          <cell r="E2035">
            <v>6.9</v>
          </cell>
          <cell r="G2035">
            <v>205524</v>
          </cell>
        </row>
        <row r="2036">
          <cell r="A2036">
            <v>205525</v>
          </cell>
          <cell r="B2036" t="str">
            <v>KIT, ASI, PNEUMATIC REPAIR</v>
          </cell>
          <cell r="C2036" t="str">
            <v>EA</v>
          </cell>
          <cell r="D2036" t="str">
            <v>MA100</v>
          </cell>
          <cell r="E2036">
            <v>77.695499999999996</v>
          </cell>
          <cell r="G2036">
            <v>205525</v>
          </cell>
        </row>
        <row r="2037">
          <cell r="A2037">
            <v>205532</v>
          </cell>
          <cell r="B2037" t="str">
            <v>FITTING,BLKHD,1/4" TUBE TO 1/4"NPTF *</v>
          </cell>
          <cell r="C2037" t="str">
            <v>EA</v>
          </cell>
          <cell r="D2037" t="str">
            <v>RM100</v>
          </cell>
          <cell r="E2037">
            <v>3.23</v>
          </cell>
          <cell r="G2037">
            <v>205532</v>
          </cell>
        </row>
        <row r="2038">
          <cell r="A2038">
            <v>205533</v>
          </cell>
          <cell r="B2038" t="str">
            <v>SEAL,A/S,RF 98IN LG BENT/TIN PLTD,3/DR</v>
          </cell>
          <cell r="C2038" t="str">
            <v>EA</v>
          </cell>
          <cell r="D2038" t="str">
            <v>MA100</v>
          </cell>
          <cell r="E2038">
            <v>33.14</v>
          </cell>
          <cell r="G2038">
            <v>205533</v>
          </cell>
        </row>
        <row r="2039">
          <cell r="A2039">
            <v>205540</v>
          </cell>
          <cell r="B2039" t="str">
            <v>TUBING,1/4 OD GREEN POLYUR (100' RL) *</v>
          </cell>
          <cell r="C2039" t="str">
            <v>FT</v>
          </cell>
          <cell r="D2039" t="str">
            <v>RM100</v>
          </cell>
          <cell r="E2039">
            <v>0.20830000000000001</v>
          </cell>
          <cell r="G2039">
            <v>205540</v>
          </cell>
        </row>
        <row r="2040">
          <cell r="A2040">
            <v>205541</v>
          </cell>
          <cell r="B2040" t="str">
            <v>TUBING,1/4 OD RED POLYUR (100' RL) *</v>
          </cell>
          <cell r="C2040" t="str">
            <v>FT</v>
          </cell>
          <cell r="D2040" t="str">
            <v>RM100</v>
          </cell>
          <cell r="E2040">
            <v>0.20830000000000001</v>
          </cell>
          <cell r="G2040">
            <v>205541</v>
          </cell>
        </row>
        <row r="2041">
          <cell r="A2041">
            <v>205542</v>
          </cell>
          <cell r="B2041" t="str">
            <v>TUBE,PNU,5/32 OD GREEN POLYUR (100 FT)</v>
          </cell>
          <cell r="C2041" t="str">
            <v>FT</v>
          </cell>
          <cell r="D2041" t="str">
            <v>RM100</v>
          </cell>
          <cell r="E2041">
            <v>0.124</v>
          </cell>
          <cell r="G2041">
            <v>205542</v>
          </cell>
        </row>
        <row r="2042">
          <cell r="A2042">
            <v>205545</v>
          </cell>
          <cell r="B2042" t="str">
            <v>FITTING,ELBOW 1/4" UNI-FIT,1/4 TUBE</v>
          </cell>
          <cell r="C2042" t="str">
            <v>EA</v>
          </cell>
          <cell r="D2042" t="str">
            <v>RM100</v>
          </cell>
          <cell r="E2042">
            <v>1.64</v>
          </cell>
          <cell r="G2042">
            <v>205545</v>
          </cell>
        </row>
        <row r="2043">
          <cell r="A2043">
            <v>205548</v>
          </cell>
          <cell r="B2043" t="str">
            <v>FITTING,ELBOW 1/4" NPT,1/4 TUBE *</v>
          </cell>
          <cell r="C2043" t="str">
            <v>EA</v>
          </cell>
          <cell r="D2043" t="str">
            <v>RM100</v>
          </cell>
          <cell r="E2043">
            <v>1.42</v>
          </cell>
          <cell r="G2043">
            <v>205548</v>
          </cell>
        </row>
        <row r="2044">
          <cell r="A2044">
            <v>205549</v>
          </cell>
          <cell r="B2044" t="str">
            <v>FITTING,BLKHD,1/4-1/4 TUBE*</v>
          </cell>
          <cell r="C2044" t="str">
            <v>EA</v>
          </cell>
          <cell r="D2044" t="str">
            <v>RM100</v>
          </cell>
          <cell r="E2044">
            <v>2.33</v>
          </cell>
          <cell r="G2044">
            <v>205549</v>
          </cell>
        </row>
        <row r="2045">
          <cell r="A2045">
            <v>205550</v>
          </cell>
          <cell r="B2045" t="str">
            <v>FITTING,3/8 NPT-1/4 TUBE STRGHT MALE *</v>
          </cell>
          <cell r="C2045" t="str">
            <v>EA</v>
          </cell>
          <cell r="D2045" t="str">
            <v>RM100</v>
          </cell>
          <cell r="E2045">
            <v>1.53</v>
          </cell>
          <cell r="G2045">
            <v>205550</v>
          </cell>
        </row>
        <row r="2046">
          <cell r="A2046">
            <v>205556</v>
          </cell>
          <cell r="B2046" t="str">
            <v>PLT,CVR INDCTR LAMP,ALUM 2.75X4.5 *</v>
          </cell>
          <cell r="C2046" t="str">
            <v>EA</v>
          </cell>
          <cell r="D2046" t="str">
            <v>RM100</v>
          </cell>
          <cell r="E2046">
            <v>3.7</v>
          </cell>
          <cell r="G2046">
            <v>205556</v>
          </cell>
        </row>
        <row r="2047">
          <cell r="A2047">
            <v>205559</v>
          </cell>
          <cell r="B2047" t="str">
            <v>CLIP,CORD,ADH BCKING,1/4" *</v>
          </cell>
          <cell r="C2047" t="str">
            <v>EA</v>
          </cell>
          <cell r="D2047" t="str">
            <v>RM100</v>
          </cell>
          <cell r="E2047">
            <v>0.26369999999999999</v>
          </cell>
          <cell r="G2047">
            <v>205559</v>
          </cell>
        </row>
        <row r="2048">
          <cell r="A2048">
            <v>205562</v>
          </cell>
          <cell r="B2048" t="str">
            <v>TREE CLIP,BLK NYL,7/16 DIA,MCM#90221A412</v>
          </cell>
          <cell r="C2048" t="str">
            <v>EA</v>
          </cell>
          <cell r="D2048" t="str">
            <v>RM100</v>
          </cell>
          <cell r="E2048">
            <v>0.1148</v>
          </cell>
          <cell r="G2048">
            <v>205562</v>
          </cell>
        </row>
        <row r="2049">
          <cell r="A2049">
            <v>205570</v>
          </cell>
          <cell r="B2049" t="str">
            <v>TUBE,PNU 1/4 OD BLK POLYUR (100' RL) *</v>
          </cell>
          <cell r="C2049" t="str">
            <v>FT</v>
          </cell>
          <cell r="D2049" t="str">
            <v>RM100</v>
          </cell>
          <cell r="E2049">
            <v>0.20830000000000001</v>
          </cell>
          <cell r="G2049">
            <v>205570</v>
          </cell>
        </row>
        <row r="2050">
          <cell r="A2050">
            <v>205571</v>
          </cell>
          <cell r="B2050" t="str">
            <v>EXTRU,HNG SIDE MACH (RH)98-3/8"*</v>
          </cell>
          <cell r="C2050" t="str">
            <v>EA</v>
          </cell>
          <cell r="D2050" t="str">
            <v>MA100</v>
          </cell>
          <cell r="E2050">
            <v>191.72</v>
          </cell>
          <cell r="G2050">
            <v>205571</v>
          </cell>
        </row>
        <row r="2051">
          <cell r="A2051">
            <v>205588</v>
          </cell>
          <cell r="B2051" t="str">
            <v>FITTING,10-32X1/4 TUBE PORT STRGHT MALE</v>
          </cell>
          <cell r="C2051" t="str">
            <v>EA</v>
          </cell>
          <cell r="D2051" t="str">
            <v>RM100</v>
          </cell>
          <cell r="E2051">
            <v>1.62</v>
          </cell>
          <cell r="G2051">
            <v>205588</v>
          </cell>
        </row>
        <row r="2052">
          <cell r="A2052">
            <v>205590</v>
          </cell>
          <cell r="B2052" t="str">
            <v>FITTING,"Y"ADAPTER,1/4 OD TUBE</v>
          </cell>
          <cell r="C2052" t="str">
            <v>EA</v>
          </cell>
          <cell r="D2052" t="str">
            <v>RM100</v>
          </cell>
          <cell r="E2052">
            <v>2.34</v>
          </cell>
          <cell r="G2052">
            <v>205590</v>
          </cell>
        </row>
        <row r="2053">
          <cell r="A2053">
            <v>205592</v>
          </cell>
          <cell r="B2053" t="str">
            <v>MUFFLER,1/8 NPT PORT,BRZ</v>
          </cell>
          <cell r="C2053" t="str">
            <v>EA</v>
          </cell>
          <cell r="D2053" t="str">
            <v>RM100</v>
          </cell>
          <cell r="E2053">
            <v>1.34</v>
          </cell>
          <cell r="G2053">
            <v>205592</v>
          </cell>
        </row>
        <row r="2054">
          <cell r="A2054">
            <v>205612</v>
          </cell>
          <cell r="B2054" t="str">
            <v>REG,GAGE ASSY,BRKT,1/8NPT,SMC#*</v>
          </cell>
          <cell r="C2054" t="str">
            <v>EA</v>
          </cell>
          <cell r="D2054" t="str">
            <v>RM100</v>
          </cell>
          <cell r="E2054">
            <v>17.8</v>
          </cell>
          <cell r="G2054">
            <v>205612</v>
          </cell>
        </row>
        <row r="2055">
          <cell r="A2055">
            <v>205613</v>
          </cell>
          <cell r="B2055" t="str">
            <v>DRAW LATCH</v>
          </cell>
          <cell r="C2055" t="str">
            <v>EA</v>
          </cell>
          <cell r="D2055" t="str">
            <v>RM100</v>
          </cell>
          <cell r="E2055">
            <v>59.98</v>
          </cell>
          <cell r="G2055">
            <v>205613</v>
          </cell>
        </row>
        <row r="2056">
          <cell r="A2056">
            <v>205615</v>
          </cell>
          <cell r="B2056" t="str">
            <v>FITTING,1/4 TUBE,90 DEG PLUG-IN *</v>
          </cell>
          <cell r="C2056" t="str">
            <v>EA</v>
          </cell>
          <cell r="D2056" t="str">
            <v>RM100</v>
          </cell>
          <cell r="E2056">
            <v>1.28</v>
          </cell>
          <cell r="G2056">
            <v>205615</v>
          </cell>
        </row>
        <row r="2057">
          <cell r="A2057">
            <v>205619</v>
          </cell>
          <cell r="B2057" t="str">
            <v>FITTING,3/8 TUBE,90 DEG PLUG-IN *</v>
          </cell>
          <cell r="C2057" t="str">
            <v>EA</v>
          </cell>
          <cell r="D2057" t="str">
            <v>RM100</v>
          </cell>
          <cell r="E2057">
            <v>1.88</v>
          </cell>
          <cell r="G2057">
            <v>205619</v>
          </cell>
        </row>
        <row r="2058">
          <cell r="A2058">
            <v>205631</v>
          </cell>
          <cell r="B2058" t="str">
            <v>TRIM,T/M HNG,3X14-1/4X1/8,10GHZ,BCHR</v>
          </cell>
          <cell r="C2058" t="str">
            <v>EA</v>
          </cell>
          <cell r="D2058" t="str">
            <v>MA100</v>
          </cell>
          <cell r="E2058">
            <v>35.33</v>
          </cell>
          <cell r="G2058">
            <v>205631</v>
          </cell>
        </row>
        <row r="2059">
          <cell r="A2059" t="str">
            <v>205631B</v>
          </cell>
          <cell r="B2059" t="str">
            <v>DO NOT USE SEE 205631</v>
          </cell>
          <cell r="C2059" t="str">
            <v>EA</v>
          </cell>
          <cell r="D2059" t="str">
            <v>RM100</v>
          </cell>
          <cell r="E2059">
            <v>25</v>
          </cell>
          <cell r="G2059" t="str">
            <v>205631B</v>
          </cell>
        </row>
        <row r="2060">
          <cell r="A2060">
            <v>205632</v>
          </cell>
          <cell r="B2060" t="str">
            <v>TRIM,T/M LTH,3X14-1/4X1/8,10GHZ,BCHR</v>
          </cell>
          <cell r="C2060" t="str">
            <v>EA</v>
          </cell>
          <cell r="D2060" t="str">
            <v>MA100</v>
          </cell>
          <cell r="E2060">
            <v>28.6</v>
          </cell>
          <cell r="G2060">
            <v>205632</v>
          </cell>
        </row>
        <row r="2061">
          <cell r="A2061" t="str">
            <v>205632B</v>
          </cell>
          <cell r="B2061" t="str">
            <v>DO NOT USE SEE 205632</v>
          </cell>
          <cell r="C2061" t="str">
            <v>EA</v>
          </cell>
          <cell r="D2061" t="str">
            <v>RM100</v>
          </cell>
          <cell r="E2061">
            <v>25.01</v>
          </cell>
          <cell r="G2061" t="str">
            <v>205632B</v>
          </cell>
        </row>
        <row r="2062">
          <cell r="A2062">
            <v>205633</v>
          </cell>
          <cell r="B2062" t="str">
            <v>TRIM,T/M T/B,3X20-1/4X1/8,10GHZ,BCHR</v>
          </cell>
          <cell r="C2062" t="str">
            <v>EA</v>
          </cell>
          <cell r="D2062" t="str">
            <v>MA100</v>
          </cell>
          <cell r="E2062">
            <v>29.5</v>
          </cell>
          <cell r="G2062">
            <v>205633</v>
          </cell>
        </row>
        <row r="2063">
          <cell r="A2063" t="str">
            <v>205633B</v>
          </cell>
          <cell r="B2063" t="str">
            <v>DO NOT USE SEE 205633</v>
          </cell>
          <cell r="C2063" t="str">
            <v>EA</v>
          </cell>
          <cell r="D2063" t="str">
            <v>RM100</v>
          </cell>
          <cell r="E2063">
            <v>25</v>
          </cell>
          <cell r="G2063" t="str">
            <v>205633B</v>
          </cell>
        </row>
        <row r="2064">
          <cell r="A2064" t="str">
            <v>205635B</v>
          </cell>
          <cell r="B2064" t="str">
            <v>TRIM,D/J,1-1/2X16-1/4,10 GHZ,BCHR CRS</v>
          </cell>
          <cell r="C2064" t="str">
            <v>EA</v>
          </cell>
          <cell r="D2064" t="str">
            <v>RM100</v>
          </cell>
          <cell r="E2064">
            <v>20</v>
          </cell>
          <cell r="G2064" t="str">
            <v>205635B</v>
          </cell>
        </row>
        <row r="2065">
          <cell r="A2065" t="str">
            <v>205636B</v>
          </cell>
          <cell r="B2065" t="str">
            <v>SPCR,D/J,19-1/4X3/4X3/8,10 GHZ,BCHR CRS</v>
          </cell>
          <cell r="C2065" t="str">
            <v>EA</v>
          </cell>
          <cell r="D2065" t="str">
            <v>RM100</v>
          </cell>
          <cell r="E2065">
            <v>67.83</v>
          </cell>
          <cell r="G2065" t="str">
            <v>205636B</v>
          </cell>
        </row>
        <row r="2066">
          <cell r="A2066" t="str">
            <v>205637B</v>
          </cell>
          <cell r="B2066" t="str">
            <v>TRIM,D/J,1-1/2X19-1/4,10 GHZ,BCHR CRS</v>
          </cell>
          <cell r="C2066" t="str">
            <v>EA</v>
          </cell>
          <cell r="D2066" t="str">
            <v>RM100</v>
          </cell>
          <cell r="E2066">
            <v>19.09</v>
          </cell>
          <cell r="G2066" t="str">
            <v>205637B</v>
          </cell>
        </row>
        <row r="2067">
          <cell r="A2067" t="str">
            <v>205638B</v>
          </cell>
          <cell r="B2067" t="str">
            <v>TRIM,T/M HNG,3X20-1/4X1/8,10GHZ,BCHR*</v>
          </cell>
          <cell r="C2067" t="str">
            <v>EA</v>
          </cell>
          <cell r="D2067" t="str">
            <v>MA100</v>
          </cell>
          <cell r="E2067">
            <v>20.2</v>
          </cell>
          <cell r="G2067" t="str">
            <v>205638B</v>
          </cell>
        </row>
        <row r="2068">
          <cell r="A2068" t="str">
            <v>205639B</v>
          </cell>
          <cell r="B2068" t="str">
            <v>TRIM,T/M LTH,3X20-1/4X1/8,10GHZ,BCHR*</v>
          </cell>
          <cell r="C2068" t="str">
            <v>EA</v>
          </cell>
          <cell r="D2068" t="str">
            <v>MA100</v>
          </cell>
          <cell r="E2068">
            <v>28.5</v>
          </cell>
          <cell r="G2068" t="str">
            <v>205639B</v>
          </cell>
        </row>
        <row r="2069">
          <cell r="A2069" t="str">
            <v>205640B</v>
          </cell>
          <cell r="B2069" t="str">
            <v>TRIM,T/M T/B,3x26-1/4x1/8,10GHZ,BCHR</v>
          </cell>
          <cell r="C2069" t="str">
            <v>EA</v>
          </cell>
          <cell r="D2069" t="str">
            <v>MA100</v>
          </cell>
          <cell r="E2069">
            <v>31.17</v>
          </cell>
          <cell r="G2069" t="str">
            <v>205640B</v>
          </cell>
        </row>
        <row r="2070">
          <cell r="A2070" t="str">
            <v>205641B</v>
          </cell>
          <cell r="B2070" t="str">
            <v>SPCR,D/J,23-3/4X3/8,10GHZ,BCHR CRS</v>
          </cell>
          <cell r="C2070" t="str">
            <v>EA</v>
          </cell>
          <cell r="D2070" t="str">
            <v>RM100</v>
          </cell>
          <cell r="E2070">
            <v>28.33</v>
          </cell>
          <cell r="G2070" t="str">
            <v>205641B</v>
          </cell>
        </row>
        <row r="2071">
          <cell r="A2071" t="str">
            <v>205642B</v>
          </cell>
          <cell r="B2071" t="str">
            <v>TRIM,D/J,1-1/2X22-1/4,10 GHZ,BCHR CRS*</v>
          </cell>
          <cell r="C2071" t="str">
            <v>EA</v>
          </cell>
          <cell r="D2071" t="str">
            <v>RM100</v>
          </cell>
          <cell r="E2071">
            <v>21.15</v>
          </cell>
          <cell r="G2071" t="str">
            <v>205642B</v>
          </cell>
        </row>
        <row r="2072">
          <cell r="A2072" t="str">
            <v>205655B</v>
          </cell>
          <cell r="B2072" t="str">
            <v>SPCR,D/J,28-1/4X3/4X3/8,10 GHZ,LBBC*</v>
          </cell>
          <cell r="C2072" t="str">
            <v>EA</v>
          </cell>
          <cell r="D2072" t="str">
            <v>RM100</v>
          </cell>
          <cell r="E2072">
            <v>112.85</v>
          </cell>
          <cell r="G2072" t="str">
            <v>205655B</v>
          </cell>
        </row>
        <row r="2073">
          <cell r="A2073">
            <v>205674</v>
          </cell>
          <cell r="B2073" t="str">
            <v>TRIM,D/J,1-1/2x48,10GHz,1/8"SHT MTL</v>
          </cell>
          <cell r="C2073" t="str">
            <v>EA</v>
          </cell>
          <cell r="D2073" t="str">
            <v>RM100</v>
          </cell>
          <cell r="E2073">
            <v>74.213333340000005</v>
          </cell>
          <cell r="G2073">
            <v>205674</v>
          </cell>
        </row>
        <row r="2074">
          <cell r="A2074">
            <v>205679</v>
          </cell>
          <cell r="B2074" t="str">
            <v>EXTRU,LTH SIDE MACH (LH) 98-3/8",ALUM*</v>
          </cell>
          <cell r="C2074" t="str">
            <v>EA</v>
          </cell>
          <cell r="D2074" t="str">
            <v>MA100</v>
          </cell>
          <cell r="E2074">
            <v>181.09899999999999</v>
          </cell>
          <cell r="G2074">
            <v>205679</v>
          </cell>
        </row>
        <row r="2075">
          <cell r="A2075" t="str">
            <v>205679-OP</v>
          </cell>
          <cell r="B2075" t="str">
            <v>PROCESS,FAB(MACHINING)(EXTRU,LTH SIDE)*</v>
          </cell>
          <cell r="C2075" t="str">
            <v>EA</v>
          </cell>
          <cell r="D2075" t="str">
            <v>MA100</v>
          </cell>
          <cell r="E2075">
            <v>104.96</v>
          </cell>
          <cell r="G2075" t="str">
            <v>205679-OP</v>
          </cell>
        </row>
        <row r="2076">
          <cell r="A2076">
            <v>205680</v>
          </cell>
          <cell r="B2076" t="str">
            <v>EXTRU,LTH SIDE MACH (RH) 98-3/8",ALUM*</v>
          </cell>
          <cell r="C2076" t="str">
            <v>EA</v>
          </cell>
          <cell r="D2076" t="str">
            <v>MA100</v>
          </cell>
          <cell r="E2076">
            <v>181.09899999999999</v>
          </cell>
          <cell r="G2076">
            <v>205680</v>
          </cell>
        </row>
        <row r="2077">
          <cell r="A2077" t="str">
            <v>205680-OP</v>
          </cell>
          <cell r="B2077" t="str">
            <v>PROCESS,FAB(MACHINING)(EXTRU,LTH SIDE)*</v>
          </cell>
          <cell r="C2077" t="str">
            <v>EA</v>
          </cell>
          <cell r="D2077" t="str">
            <v>MA100</v>
          </cell>
          <cell r="E2077">
            <v>104.96</v>
          </cell>
          <cell r="G2077" t="str">
            <v>205680-OP</v>
          </cell>
        </row>
        <row r="2078">
          <cell r="A2078">
            <v>205681</v>
          </cell>
          <cell r="B2078" t="str">
            <v>FITTING,TEE UNION,1/4" OD TUBE*</v>
          </cell>
          <cell r="C2078" t="str">
            <v>EA</v>
          </cell>
          <cell r="D2078" t="str">
            <v>RM100</v>
          </cell>
          <cell r="E2078">
            <v>1.98</v>
          </cell>
          <cell r="G2078">
            <v>205681</v>
          </cell>
        </row>
        <row r="2079">
          <cell r="A2079">
            <v>205690</v>
          </cell>
          <cell r="B2079" t="str">
            <v>EXTRU,ALUM D/J,3X3X144,ARC-SPRAYED</v>
          </cell>
          <cell r="C2079" t="str">
            <v>EA</v>
          </cell>
          <cell r="D2079" t="str">
            <v>RM100</v>
          </cell>
          <cell r="E2079">
            <v>105.64139</v>
          </cell>
          <cell r="G2079">
            <v>205690</v>
          </cell>
        </row>
        <row r="2080">
          <cell r="A2080">
            <v>205692</v>
          </cell>
          <cell r="B2080" t="str">
            <v>EXTRU,LTH SIDE MACH (LH) 86-3/8",ALUM*</v>
          </cell>
          <cell r="C2080" t="str">
            <v>EA</v>
          </cell>
          <cell r="D2080" t="str">
            <v>RM100</v>
          </cell>
          <cell r="E2080">
            <v>103.36</v>
          </cell>
          <cell r="G2080">
            <v>205692</v>
          </cell>
        </row>
        <row r="2081">
          <cell r="A2081">
            <v>205694</v>
          </cell>
          <cell r="B2081" t="str">
            <v>EXTRU,LTH SIDE MACH (RH) 86-3/8",ALUM*</v>
          </cell>
          <cell r="C2081" t="str">
            <v>EA</v>
          </cell>
          <cell r="D2081" t="str">
            <v>RM100</v>
          </cell>
          <cell r="E2081">
            <v>213.44</v>
          </cell>
          <cell r="G2081">
            <v>205694</v>
          </cell>
        </row>
        <row r="2082">
          <cell r="A2082">
            <v>205701</v>
          </cell>
          <cell r="B2082" t="str">
            <v>EXTRU,ALUM,MR3&amp;4 HDR 34" BLTD*</v>
          </cell>
          <cell r="C2082" t="str">
            <v>EA</v>
          </cell>
          <cell r="D2082" t="str">
            <v>MA100</v>
          </cell>
          <cell r="E2082">
            <v>113.95</v>
          </cell>
          <cell r="G2082">
            <v>205701</v>
          </cell>
        </row>
        <row r="2083">
          <cell r="A2083">
            <v>205702</v>
          </cell>
          <cell r="B2083" t="str">
            <v>EXTRU,ALUM,MR3&amp;4 HDR 41" BLTD*</v>
          </cell>
          <cell r="C2083" t="str">
            <v>EA</v>
          </cell>
          <cell r="D2083" t="str">
            <v>RM100</v>
          </cell>
          <cell r="E2083">
            <v>158.88999999999999</v>
          </cell>
          <cell r="G2083">
            <v>205702</v>
          </cell>
        </row>
        <row r="2084">
          <cell r="A2084">
            <v>205703</v>
          </cell>
          <cell r="B2084" t="str">
            <v>EXTRU,ALUM,MR3&amp;4 HDR 47" BLTD*</v>
          </cell>
          <cell r="C2084" t="str">
            <v>EA</v>
          </cell>
          <cell r="D2084" t="str">
            <v>RM100</v>
          </cell>
          <cell r="E2084">
            <v>119.27</v>
          </cell>
          <cell r="G2084">
            <v>205703</v>
          </cell>
        </row>
        <row r="2085">
          <cell r="A2085">
            <v>205704</v>
          </cell>
          <cell r="B2085" t="str">
            <v>EXTRU,ALUM,MR4 HDR 53" MACH *</v>
          </cell>
          <cell r="C2085" t="str">
            <v>EA</v>
          </cell>
          <cell r="D2085" t="str">
            <v>RM100</v>
          </cell>
          <cell r="E2085">
            <v>77.599999999999994</v>
          </cell>
          <cell r="G2085">
            <v>205704</v>
          </cell>
        </row>
        <row r="2086">
          <cell r="A2086">
            <v>205707</v>
          </cell>
          <cell r="B2086" t="str">
            <v>EXTRU,ALUM D/J,3X3X107ARC SP6063-T6 31*</v>
          </cell>
          <cell r="C2086" t="str">
            <v>EA</v>
          </cell>
          <cell r="D2086" t="str">
            <v>MA100</v>
          </cell>
          <cell r="E2086">
            <v>76.138999999999996</v>
          </cell>
          <cell r="G2086">
            <v>205707</v>
          </cell>
        </row>
        <row r="2087">
          <cell r="A2087" t="str">
            <v>205731B</v>
          </cell>
          <cell r="B2087" t="str">
            <v>SPCR,LTH SIDE SOUTHCO TYPE CRS LBBC 5*</v>
          </cell>
          <cell r="C2087" t="str">
            <v>EA</v>
          </cell>
          <cell r="D2087" t="str">
            <v>RM100</v>
          </cell>
          <cell r="E2087">
            <v>10.4</v>
          </cell>
          <cell r="G2087" t="str">
            <v>205731B</v>
          </cell>
        </row>
        <row r="2088">
          <cell r="A2088" t="str">
            <v>205732B</v>
          </cell>
          <cell r="B2088" t="str">
            <v>SPCR,LTH SIDE SOUTHCO TYPE CRS LBBC 2*</v>
          </cell>
          <cell r="C2088" t="str">
            <v>EA</v>
          </cell>
          <cell r="D2088" t="str">
            <v>RM100</v>
          </cell>
          <cell r="E2088">
            <v>6.5</v>
          </cell>
          <cell r="G2088" t="str">
            <v>205732B</v>
          </cell>
        </row>
        <row r="2089">
          <cell r="A2089">
            <v>205733</v>
          </cell>
          <cell r="B2089" t="str">
            <v>SPCR,LTH KEEP SODE SOUTHCO</v>
          </cell>
          <cell r="C2089" t="str">
            <v>EA</v>
          </cell>
          <cell r="D2089" t="str">
            <v>RM100</v>
          </cell>
          <cell r="E2089">
            <v>14.5</v>
          </cell>
          <cell r="G2089">
            <v>205733</v>
          </cell>
        </row>
        <row r="2090">
          <cell r="A2090" t="str">
            <v>205733B</v>
          </cell>
          <cell r="B2090" t="str">
            <v>SPCR,LTH KEEP SIDE SOUTHCO TYPE CRS L*</v>
          </cell>
          <cell r="C2090" t="str">
            <v>EA</v>
          </cell>
          <cell r="D2090" t="str">
            <v>RM100</v>
          </cell>
          <cell r="E2090">
            <v>11.25</v>
          </cell>
          <cell r="G2090" t="str">
            <v>205733B</v>
          </cell>
        </row>
        <row r="2091">
          <cell r="A2091">
            <v>205736</v>
          </cell>
          <cell r="B2091" t="str">
            <v>EXTRU,HNG SIDE MACH (LH)86-3/8"*</v>
          </cell>
          <cell r="C2091" t="str">
            <v>EA</v>
          </cell>
          <cell r="D2091" t="str">
            <v>RM100</v>
          </cell>
          <cell r="E2091">
            <v>124.51</v>
          </cell>
          <cell r="G2091">
            <v>205736</v>
          </cell>
        </row>
        <row r="2092">
          <cell r="A2092">
            <v>205737</v>
          </cell>
          <cell r="B2092" t="str">
            <v>EXTRU,HNG SIDE MACH (RH) 86-3/8"*</v>
          </cell>
          <cell r="C2092" t="str">
            <v>EA</v>
          </cell>
          <cell r="D2092" t="str">
            <v>RM100</v>
          </cell>
          <cell r="E2092">
            <v>124.51</v>
          </cell>
          <cell r="G2092">
            <v>205737</v>
          </cell>
        </row>
        <row r="2093">
          <cell r="A2093">
            <v>205750</v>
          </cell>
          <cell r="B2093" t="str">
            <v>EXTRU,HNG SIDE MACH (LH)98-3/8"*</v>
          </cell>
          <cell r="C2093" t="str">
            <v>EA</v>
          </cell>
          <cell r="D2093" t="str">
            <v>RM100</v>
          </cell>
          <cell r="E2093">
            <v>207.2</v>
          </cell>
          <cell r="G2093">
            <v>205750</v>
          </cell>
        </row>
        <row r="2094">
          <cell r="A2094">
            <v>205751</v>
          </cell>
          <cell r="B2094" t="str">
            <v>EXTRU,HINGE SIDE MACH (RH)98-3/8"*</v>
          </cell>
          <cell r="C2094" t="str">
            <v>EA</v>
          </cell>
          <cell r="D2094" t="str">
            <v>RM100</v>
          </cell>
          <cell r="E2094">
            <v>238.62</v>
          </cell>
          <cell r="G2094">
            <v>205751</v>
          </cell>
        </row>
        <row r="2095">
          <cell r="A2095">
            <v>205752</v>
          </cell>
          <cell r="B2095" t="str">
            <v>BLADDER,SEAL,EPDM,17' LG.</v>
          </cell>
          <cell r="C2095" t="str">
            <v>EA</v>
          </cell>
          <cell r="D2095" t="str">
            <v>RM100</v>
          </cell>
          <cell r="E2095">
            <v>594.88</v>
          </cell>
          <cell r="G2095">
            <v>205752</v>
          </cell>
        </row>
        <row r="2096">
          <cell r="A2096" t="str">
            <v>205790B</v>
          </cell>
          <cell r="B2096" t="str">
            <v>TRIM,D/J,T/B 1 1/2X28 1/2X1/8 10 GHZ,L-B</v>
          </cell>
          <cell r="C2096" t="str">
            <v>EA</v>
          </cell>
          <cell r="D2096" t="str">
            <v>RM100</v>
          </cell>
          <cell r="E2096">
            <v>58.4</v>
          </cell>
          <cell r="G2096" t="str">
            <v>205790B</v>
          </cell>
        </row>
        <row r="2097">
          <cell r="A2097">
            <v>205833</v>
          </cell>
          <cell r="B2097" t="str">
            <v>THRSHLD,MACH 89" ALUM MRI4*</v>
          </cell>
          <cell r="C2097" t="str">
            <v>EA</v>
          </cell>
          <cell r="D2097" t="str">
            <v>RM100</v>
          </cell>
          <cell r="E2097">
            <v>350</v>
          </cell>
          <cell r="G2097">
            <v>205833</v>
          </cell>
        </row>
        <row r="2098">
          <cell r="A2098">
            <v>205837</v>
          </cell>
          <cell r="B2098" t="str">
            <v>GSKT,ALUM &amp; VINYL DR BOTTOM WEATHE*</v>
          </cell>
          <cell r="C2098" t="str">
            <v>EA</v>
          </cell>
          <cell r="D2098" t="str">
            <v>RM100</v>
          </cell>
          <cell r="E2098">
            <v>5.4</v>
          </cell>
          <cell r="G2098">
            <v>205837</v>
          </cell>
        </row>
        <row r="2099">
          <cell r="A2099">
            <v>205840</v>
          </cell>
          <cell r="B2099" t="str">
            <v>GSKT,MESH,NEO(.125 DIA) ROUND</v>
          </cell>
          <cell r="C2099" t="str">
            <v>FT</v>
          </cell>
          <cell r="D2099" t="str">
            <v>RM100</v>
          </cell>
          <cell r="E2099">
            <v>0.71</v>
          </cell>
          <cell r="G2099">
            <v>205840</v>
          </cell>
        </row>
        <row r="2100">
          <cell r="A2100">
            <v>205843</v>
          </cell>
          <cell r="B2100" t="str">
            <v>GSKT,MESH DONUT FOR HANDLE,S-201DOOR*</v>
          </cell>
          <cell r="C2100" t="str">
            <v>EA</v>
          </cell>
          <cell r="D2100" t="str">
            <v>MA100</v>
          </cell>
          <cell r="E2100">
            <v>0</v>
          </cell>
          <cell r="G2100">
            <v>205843</v>
          </cell>
        </row>
        <row r="2101">
          <cell r="A2101">
            <v>205846</v>
          </cell>
          <cell r="B2101" t="str">
            <v>ALUM,EXT,HDR,MAG-LCK,DBL,3'/3'</v>
          </cell>
          <cell r="C2101" t="str">
            <v>EA</v>
          </cell>
          <cell r="D2101" t="str">
            <v>MA100</v>
          </cell>
          <cell r="E2101">
            <v>158.76</v>
          </cell>
          <cell r="G2101">
            <v>205846</v>
          </cell>
        </row>
        <row r="2102">
          <cell r="A2102">
            <v>205847</v>
          </cell>
          <cell r="B2102" t="str">
            <v>ALUM,EXT,HDR,41",MAG-LCK,LH</v>
          </cell>
          <cell r="C2102" t="str">
            <v>EA</v>
          </cell>
          <cell r="D2102" t="str">
            <v>MA100</v>
          </cell>
          <cell r="E2102">
            <v>114.77</v>
          </cell>
          <cell r="G2102">
            <v>205847</v>
          </cell>
        </row>
        <row r="2103">
          <cell r="A2103">
            <v>205848</v>
          </cell>
          <cell r="B2103" t="str">
            <v>EXTRU,ALUM D/J HDR 53" (MAG LOCK) LH</v>
          </cell>
          <cell r="C2103" t="str">
            <v>EA</v>
          </cell>
          <cell r="D2103" t="str">
            <v>RM100</v>
          </cell>
          <cell r="E2103">
            <v>146.07</v>
          </cell>
          <cell r="G2103">
            <v>205848</v>
          </cell>
        </row>
        <row r="2104">
          <cell r="A2104">
            <v>205849</v>
          </cell>
          <cell r="B2104" t="str">
            <v>EXTRU. HDR MACH. 53" ALUM. (MAG LOCK) RH</v>
          </cell>
          <cell r="C2104" t="str">
            <v>EA</v>
          </cell>
          <cell r="D2104" t="str">
            <v>RM100</v>
          </cell>
          <cell r="E2104">
            <v>155.30000000000001</v>
          </cell>
          <cell r="G2104">
            <v>205849</v>
          </cell>
        </row>
        <row r="2105">
          <cell r="A2105">
            <v>205850</v>
          </cell>
          <cell r="B2105" t="str">
            <v>KEYPAD,PROG, RCI#9212i *</v>
          </cell>
          <cell r="C2105" t="str">
            <v>EA</v>
          </cell>
          <cell r="D2105" t="str">
            <v>RM100</v>
          </cell>
          <cell r="E2105">
            <v>106.44</v>
          </cell>
          <cell r="G2105">
            <v>205850</v>
          </cell>
        </row>
        <row r="2106">
          <cell r="A2106">
            <v>205873</v>
          </cell>
          <cell r="B2106" t="str">
            <v>EXTRU,ALUM D/J LTH SIDE LH 83" MRI4 BLTD</v>
          </cell>
          <cell r="C2106" t="str">
            <v>EA</v>
          </cell>
          <cell r="D2106" t="str">
            <v>RM100</v>
          </cell>
          <cell r="E2106">
            <v>151.19999999999999</v>
          </cell>
          <cell r="G2106">
            <v>205873</v>
          </cell>
        </row>
        <row r="2107">
          <cell r="A2107">
            <v>205874</v>
          </cell>
          <cell r="B2107" t="str">
            <v>EXTRU,ALUM D/J LTH SIDE RH 83" MRI4 BLTD</v>
          </cell>
          <cell r="C2107" t="str">
            <v>EA</v>
          </cell>
          <cell r="D2107" t="str">
            <v>MA100</v>
          </cell>
          <cell r="E2107">
            <v>178.96</v>
          </cell>
          <cell r="G2107">
            <v>205874</v>
          </cell>
        </row>
        <row r="2108">
          <cell r="A2108">
            <v>205876</v>
          </cell>
          <cell r="B2108" t="str">
            <v>EXTRU,HNG SIDE MACH LH 83" BOLTED</v>
          </cell>
          <cell r="C2108" t="str">
            <v>EA</v>
          </cell>
          <cell r="D2108" t="str">
            <v>RM100</v>
          </cell>
          <cell r="E2108">
            <v>151.19999999999999</v>
          </cell>
          <cell r="G2108">
            <v>205876</v>
          </cell>
        </row>
        <row r="2109">
          <cell r="A2109">
            <v>205877</v>
          </cell>
          <cell r="B2109" t="str">
            <v>EXTRU,HNG SIDE MACH RH 83" BOLTED</v>
          </cell>
          <cell r="C2109" t="str">
            <v>EA</v>
          </cell>
          <cell r="D2109" t="str">
            <v>MA100</v>
          </cell>
          <cell r="E2109">
            <v>178.96</v>
          </cell>
          <cell r="G2109">
            <v>205877</v>
          </cell>
        </row>
        <row r="2110">
          <cell r="A2110">
            <v>205928</v>
          </cell>
          <cell r="B2110" t="str">
            <v>FITTING,BLKHD,3/8 TUBE-3/8 TUBE</v>
          </cell>
          <cell r="C2110" t="str">
            <v>EA</v>
          </cell>
          <cell r="D2110" t="str">
            <v>RM100</v>
          </cell>
          <cell r="E2110">
            <v>4.4800000000000004</v>
          </cell>
          <cell r="G2110">
            <v>205928</v>
          </cell>
        </row>
        <row r="2111">
          <cell r="A2111">
            <v>205935</v>
          </cell>
          <cell r="B2111" t="str">
            <v>PLT,INDICATOR LAMP A/S DR (DUPL#205491)*</v>
          </cell>
          <cell r="C2111" t="str">
            <v>EA</v>
          </cell>
          <cell r="D2111" t="str">
            <v>RM100</v>
          </cell>
          <cell r="E2111">
            <v>5.29</v>
          </cell>
          <cell r="G2111">
            <v>205935</v>
          </cell>
        </row>
        <row r="2112">
          <cell r="A2112">
            <v>205943</v>
          </cell>
          <cell r="B2112" t="str">
            <v>VLV,QUICK EXHAUST 1/8 NPTCOMOZZI #V*</v>
          </cell>
          <cell r="C2112" t="str">
            <v>EA</v>
          </cell>
          <cell r="D2112" t="str">
            <v>RM100</v>
          </cell>
          <cell r="E2112">
            <v>18.32</v>
          </cell>
          <cell r="G2112">
            <v>205943</v>
          </cell>
        </row>
        <row r="2113">
          <cell r="A2113">
            <v>205954</v>
          </cell>
          <cell r="B2113" t="str">
            <v>FITTING,ADPT,BLADDER, 1/4"TUBEx.66"DIA</v>
          </cell>
          <cell r="C2113" t="str">
            <v>EA</v>
          </cell>
          <cell r="D2113" t="str">
            <v>RM100</v>
          </cell>
          <cell r="E2113">
            <v>12.31</v>
          </cell>
          <cell r="G2113">
            <v>205954</v>
          </cell>
        </row>
        <row r="2114">
          <cell r="A2114">
            <v>205955</v>
          </cell>
          <cell r="B2114" t="str">
            <v>CLAMP,HOSE-5/16"-7/8" ST.STL (200/PKG)</v>
          </cell>
          <cell r="C2114" t="str">
            <v>EA</v>
          </cell>
          <cell r="D2114" t="str">
            <v>RM100</v>
          </cell>
          <cell r="E2114">
            <v>0.69120000000000004</v>
          </cell>
          <cell r="G2114">
            <v>205955</v>
          </cell>
        </row>
        <row r="2115">
          <cell r="A2115">
            <v>205957</v>
          </cell>
          <cell r="B2115" t="str">
            <v>PLASTIC,PLUG,BLDR,5/8"OD.</v>
          </cell>
          <cell r="C2115" t="str">
            <v>EA</v>
          </cell>
          <cell r="D2115" t="str">
            <v>RM100</v>
          </cell>
          <cell r="E2115">
            <v>1.31</v>
          </cell>
          <cell r="G2115">
            <v>205957</v>
          </cell>
        </row>
        <row r="2116">
          <cell r="A2116">
            <v>205975</v>
          </cell>
          <cell r="B2116" t="str">
            <v>FITTING,1/4ODTUBEX1/4NPT</v>
          </cell>
          <cell r="C2116" t="str">
            <v>EA</v>
          </cell>
          <cell r="D2116" t="str">
            <v>RM100</v>
          </cell>
          <cell r="E2116">
            <v>1.1100000000000001</v>
          </cell>
          <cell r="G2116">
            <v>205975</v>
          </cell>
        </row>
        <row r="2117">
          <cell r="A2117">
            <v>205985</v>
          </cell>
          <cell r="B2117" t="str">
            <v>FITTING,1/8 TUBE X 1/8 NPT 90 DEG ELBOW</v>
          </cell>
          <cell r="C2117" t="str">
            <v>EA</v>
          </cell>
          <cell r="D2117" t="str">
            <v>RM100</v>
          </cell>
          <cell r="E2117">
            <v>1.24</v>
          </cell>
          <cell r="G2117">
            <v>205985</v>
          </cell>
        </row>
        <row r="2118">
          <cell r="A2118">
            <v>206001</v>
          </cell>
          <cell r="B2118" t="str">
            <v>PRESSURE SWITCH, NORM OPEN, 1/4" NPT</v>
          </cell>
          <cell r="C2118" t="str">
            <v>EA</v>
          </cell>
          <cell r="D2118" t="str">
            <v>RM100</v>
          </cell>
          <cell r="E2118">
            <v>18.16</v>
          </cell>
          <cell r="G2118">
            <v>206001</v>
          </cell>
        </row>
        <row r="2119">
          <cell r="A2119">
            <v>206002</v>
          </cell>
          <cell r="B2119" t="str">
            <v>PRESSURE SWITCH, NORM CLOSED, 1/4" NPT</v>
          </cell>
          <cell r="C2119" t="str">
            <v>EA</v>
          </cell>
          <cell r="D2119" t="str">
            <v>RM100</v>
          </cell>
          <cell r="E2119">
            <v>27.68</v>
          </cell>
          <cell r="G2119">
            <v>206002</v>
          </cell>
        </row>
        <row r="2120">
          <cell r="A2120">
            <v>206008</v>
          </cell>
          <cell r="B2120" t="str">
            <v>HNG,6",HAGER#BB1138,WELDED BARREL</v>
          </cell>
          <cell r="C2120" t="str">
            <v>EA</v>
          </cell>
          <cell r="D2120" t="str">
            <v>RM100</v>
          </cell>
          <cell r="E2120">
            <v>42.9</v>
          </cell>
          <cell r="G2120">
            <v>206008</v>
          </cell>
        </row>
        <row r="2121">
          <cell r="A2121">
            <v>206011</v>
          </cell>
          <cell r="B2121" t="str">
            <v>FITTING,BLKHD,1/8-1/8 TUBE,SMC#KQ2E01-00</v>
          </cell>
          <cell r="C2121" t="str">
            <v>EA</v>
          </cell>
          <cell r="D2121" t="str">
            <v>RM100</v>
          </cell>
          <cell r="E2121">
            <v>2.7</v>
          </cell>
          <cell r="G2121">
            <v>206011</v>
          </cell>
        </row>
        <row r="2122">
          <cell r="A2122">
            <v>206012</v>
          </cell>
          <cell r="B2122" t="str">
            <v>FITTING,UNION TEE 1/8OD TUBE SMC#KQ2T01*</v>
          </cell>
          <cell r="C2122" t="str">
            <v>EA</v>
          </cell>
          <cell r="D2122" t="str">
            <v>RM100</v>
          </cell>
          <cell r="E2122">
            <v>1.79</v>
          </cell>
          <cell r="G2122">
            <v>206012</v>
          </cell>
        </row>
        <row r="2123">
          <cell r="A2123">
            <v>206017</v>
          </cell>
          <cell r="B2123" t="str">
            <v>TRIM,PRESS-ON, MINITRIM* 500'/CTN</v>
          </cell>
          <cell r="C2123" t="str">
            <v>FT</v>
          </cell>
          <cell r="D2123" t="str">
            <v>RM100</v>
          </cell>
          <cell r="E2123">
            <v>0.45</v>
          </cell>
          <cell r="G2123">
            <v>206017</v>
          </cell>
        </row>
        <row r="2124">
          <cell r="A2124">
            <v>206028</v>
          </cell>
          <cell r="B2124" t="str">
            <v>BRKT,AS2,MAG-LOCK,LH,ALUM,3.06x4x19.25LG</v>
          </cell>
          <cell r="C2124" t="str">
            <v>EA</v>
          </cell>
          <cell r="D2124" t="str">
            <v>MA100</v>
          </cell>
          <cell r="E2124">
            <v>362</v>
          </cell>
          <cell r="G2124">
            <v>206028</v>
          </cell>
        </row>
        <row r="2125">
          <cell r="A2125">
            <v>206029</v>
          </cell>
          <cell r="B2125" t="str">
            <v>FITTING,1/4 OD TUBE X 1/8NPT</v>
          </cell>
          <cell r="C2125" t="str">
            <v>EA</v>
          </cell>
          <cell r="D2125" t="str">
            <v>RM100</v>
          </cell>
          <cell r="E2125">
            <v>1.1000000000000001</v>
          </cell>
          <cell r="G2125">
            <v>206029</v>
          </cell>
        </row>
        <row r="2126">
          <cell r="A2126">
            <v>206032</v>
          </cell>
          <cell r="B2126" t="str">
            <v>SCR,#10-32X5/8,SH,5/16,SS,316</v>
          </cell>
          <cell r="C2126" t="str">
            <v>EA</v>
          </cell>
          <cell r="D2126" t="str">
            <v>RM100</v>
          </cell>
          <cell r="E2126">
            <v>4.4999999999999998E-2</v>
          </cell>
          <cell r="G2126">
            <v>206032</v>
          </cell>
        </row>
        <row r="2127">
          <cell r="A2127">
            <v>206035</v>
          </cell>
          <cell r="B2127" t="str">
            <v>FITTING,MALE ELBOW 3/8TUBE 3/8RC UNI</v>
          </cell>
          <cell r="C2127" t="str">
            <v>EA</v>
          </cell>
          <cell r="D2127" t="str">
            <v>RM100</v>
          </cell>
          <cell r="E2127">
            <v>2.71</v>
          </cell>
          <cell r="G2127">
            <v>206035</v>
          </cell>
        </row>
        <row r="2128">
          <cell r="A2128">
            <v>206041</v>
          </cell>
          <cell r="B2128" t="str">
            <v>TANK,AIR 4"BORE 6"STROKE UP TO 200PSI*</v>
          </cell>
          <cell r="C2128" t="str">
            <v>EA</v>
          </cell>
          <cell r="D2128" t="str">
            <v>MA100</v>
          </cell>
          <cell r="E2128">
            <v>132.94999999999999</v>
          </cell>
          <cell r="G2128">
            <v>206041</v>
          </cell>
        </row>
        <row r="2129">
          <cell r="A2129">
            <v>206042</v>
          </cell>
          <cell r="B2129" t="str">
            <v>FLTR,FRL AIR W/ REG &amp;LUB W/CHK VL.S*</v>
          </cell>
          <cell r="C2129" t="str">
            <v>EA</v>
          </cell>
          <cell r="D2129" t="str">
            <v>MA100</v>
          </cell>
          <cell r="E2129">
            <v>79.59</v>
          </cell>
          <cell r="G2129">
            <v>206042</v>
          </cell>
        </row>
        <row r="2130">
          <cell r="A2130">
            <v>206048</v>
          </cell>
          <cell r="B2130" t="str">
            <v>GA,PNL MNT SUP FORNOSHOK GA #15.1PMC</v>
          </cell>
          <cell r="C2130" t="str">
            <v>EA</v>
          </cell>
          <cell r="D2130" t="str">
            <v>MA100</v>
          </cell>
          <cell r="E2130">
            <v>21.47</v>
          </cell>
          <cell r="G2130">
            <v>206048</v>
          </cell>
        </row>
        <row r="2131">
          <cell r="A2131">
            <v>206052</v>
          </cell>
          <cell r="B2131" t="str">
            <v>CYL,AIR,4"STRKx2.5"DIA BIMBA #DW-504-1*</v>
          </cell>
          <cell r="C2131" t="str">
            <v>EA</v>
          </cell>
          <cell r="D2131" t="str">
            <v>MA100</v>
          </cell>
          <cell r="E2131">
            <v>145.66</v>
          </cell>
          <cell r="G2131">
            <v>206052</v>
          </cell>
        </row>
        <row r="2132">
          <cell r="A2132">
            <v>206053</v>
          </cell>
          <cell r="B2132" t="str">
            <v>CYL,END LUG MNT FOR DW 2.5 BORE CY*</v>
          </cell>
          <cell r="C2132" t="str">
            <v>EA</v>
          </cell>
          <cell r="D2132" t="str">
            <v>MA100</v>
          </cell>
          <cell r="E2132">
            <v>20.95</v>
          </cell>
          <cell r="G2132">
            <v>206053</v>
          </cell>
        </row>
        <row r="2133">
          <cell r="A2133">
            <v>206054</v>
          </cell>
          <cell r="B2133" t="str">
            <v>FITTING,BIMBA QUICK FLOW CNT FOR 3/8PO &amp;</v>
          </cell>
          <cell r="C2133" t="str">
            <v>EA</v>
          </cell>
          <cell r="D2133" t="str">
            <v>MA100</v>
          </cell>
          <cell r="E2133">
            <v>27.14</v>
          </cell>
          <cell r="G2133">
            <v>206054</v>
          </cell>
        </row>
        <row r="2134">
          <cell r="A2134">
            <v>206055</v>
          </cell>
          <cell r="B2134" t="str">
            <v>CPLG,CYL ROD CPL RD BAR 1"ODx1.5LG HRS</v>
          </cell>
          <cell r="C2134" t="str">
            <v>EA</v>
          </cell>
          <cell r="D2134" t="str">
            <v>MA100</v>
          </cell>
          <cell r="E2134">
            <v>20</v>
          </cell>
          <cell r="G2134">
            <v>206055</v>
          </cell>
        </row>
        <row r="2135">
          <cell r="A2135">
            <v>206057</v>
          </cell>
          <cell r="B2135" t="str">
            <v>BRKT, 90 DEG,LEVELER,FOR PROJECTOR</v>
          </cell>
          <cell r="C2135" t="str">
            <v>EA</v>
          </cell>
          <cell r="D2135" t="str">
            <v>MA100</v>
          </cell>
          <cell r="E2135">
            <v>3.0129100000000002</v>
          </cell>
          <cell r="G2135">
            <v>206057</v>
          </cell>
        </row>
        <row r="2136">
          <cell r="A2136">
            <v>206061</v>
          </cell>
          <cell r="B2136" t="str">
            <v>FITTING,1/2"NPTM X 1/4"NPTF,BRASS</v>
          </cell>
          <cell r="C2136" t="str">
            <v>EA</v>
          </cell>
          <cell r="D2136" t="str">
            <v>MA100</v>
          </cell>
          <cell r="E2136">
            <v>3.02</v>
          </cell>
          <cell r="G2136">
            <v>206061</v>
          </cell>
        </row>
        <row r="2137">
          <cell r="A2137">
            <v>206062</v>
          </cell>
          <cell r="B2137" t="str">
            <v>COVER,DOOR MECHANISM LHS INSIDE PART</v>
          </cell>
          <cell r="C2137" t="str">
            <v>EA</v>
          </cell>
          <cell r="D2137" t="str">
            <v>MA100</v>
          </cell>
          <cell r="E2137">
            <v>77.874799999999993</v>
          </cell>
          <cell r="G2137">
            <v>206062</v>
          </cell>
        </row>
        <row r="2138">
          <cell r="A2138">
            <v>206063</v>
          </cell>
          <cell r="B2138" t="str">
            <v>CVR,MECH CVR PART 2 (OUTSITE PIECE)</v>
          </cell>
          <cell r="C2138" t="str">
            <v>EA</v>
          </cell>
          <cell r="D2138" t="str">
            <v>MA100</v>
          </cell>
          <cell r="E2138">
            <v>27.407399999999999</v>
          </cell>
          <cell r="G2138">
            <v>206063</v>
          </cell>
        </row>
        <row r="2139">
          <cell r="A2139">
            <v>206067</v>
          </cell>
          <cell r="B2139" t="str">
            <v>WMLD,J-BOX SURE SNAP DEV 400-800-2300*</v>
          </cell>
          <cell r="C2139" t="str">
            <v>EA</v>
          </cell>
          <cell r="D2139" t="str">
            <v>MA100</v>
          </cell>
          <cell r="E2139">
            <v>10.07</v>
          </cell>
          <cell r="G2139">
            <v>206067</v>
          </cell>
        </row>
        <row r="2140">
          <cell r="A2140">
            <v>206068</v>
          </cell>
          <cell r="B2140" t="str">
            <v>J-BOX,FACEPLT SNG GANG BOX MULBERRY#*</v>
          </cell>
          <cell r="C2140" t="str">
            <v>EA</v>
          </cell>
          <cell r="D2140" t="str">
            <v>MA100</v>
          </cell>
          <cell r="E2140">
            <v>1.0349999999999999</v>
          </cell>
          <cell r="G2140">
            <v>206068</v>
          </cell>
        </row>
        <row r="2141">
          <cell r="A2141">
            <v>206072</v>
          </cell>
          <cell r="B2141" t="str">
            <v>CNTR,PNU,6 DIG NO RESET SCR PNL MNT*</v>
          </cell>
          <cell r="C2141" t="str">
            <v>EA</v>
          </cell>
          <cell r="D2141" t="str">
            <v>MA100</v>
          </cell>
          <cell r="E2141">
            <v>211.81</v>
          </cell>
          <cell r="G2141">
            <v>206072</v>
          </cell>
        </row>
        <row r="2142">
          <cell r="A2142">
            <v>206081</v>
          </cell>
          <cell r="B2142" t="str">
            <v>COVER SUPPORT,DEI,AUTOLATCH</v>
          </cell>
          <cell r="C2142" t="str">
            <v>EA</v>
          </cell>
          <cell r="D2142" t="str">
            <v>MA100</v>
          </cell>
          <cell r="E2142">
            <v>0.5</v>
          </cell>
          <cell r="G2142">
            <v>206081</v>
          </cell>
        </row>
        <row r="2143">
          <cell r="A2143">
            <v>206095</v>
          </cell>
          <cell r="B2143" t="str">
            <v>EXTRU,ALUM,  HDR 61"(56 DR) MACH</v>
          </cell>
          <cell r="C2143" t="str">
            <v>EA</v>
          </cell>
          <cell r="D2143" t="str">
            <v>RM100</v>
          </cell>
          <cell r="E2143">
            <v>140.05000000000001</v>
          </cell>
          <cell r="G2143">
            <v>206095</v>
          </cell>
        </row>
        <row r="2144">
          <cell r="A2144">
            <v>206096</v>
          </cell>
          <cell r="B2144" t="str">
            <v>THRSLD,MACH 61 ALUM FOR 56 DR</v>
          </cell>
          <cell r="C2144" t="str">
            <v>EA</v>
          </cell>
          <cell r="D2144" t="str">
            <v>RM100</v>
          </cell>
          <cell r="E2144">
            <v>155</v>
          </cell>
          <cell r="G2144">
            <v>206096</v>
          </cell>
        </row>
        <row r="2145">
          <cell r="A2145">
            <v>206114</v>
          </cell>
          <cell r="B2145" t="str">
            <v>WMLD,J-BOX EXTN BOX #2348S</v>
          </cell>
          <cell r="C2145" t="str">
            <v>EA</v>
          </cell>
          <cell r="D2145" t="str">
            <v>MA100</v>
          </cell>
          <cell r="E2145">
            <v>4.55</v>
          </cell>
          <cell r="G2145">
            <v>206114</v>
          </cell>
        </row>
        <row r="2146">
          <cell r="A2146">
            <v>206144</v>
          </cell>
          <cell r="B2146" t="str">
            <v>N-PLATE,"OPEN" BLACK OPEN*</v>
          </cell>
          <cell r="C2146" t="str">
            <v>EA</v>
          </cell>
          <cell r="D2146" t="str">
            <v>MA100</v>
          </cell>
          <cell r="E2146">
            <v>1.22</v>
          </cell>
          <cell r="G2146">
            <v>206144</v>
          </cell>
        </row>
        <row r="2147">
          <cell r="A2147">
            <v>206145</v>
          </cell>
          <cell r="B2147" t="str">
            <v>N-PLATE,EMERG RED*</v>
          </cell>
          <cell r="C2147" t="str">
            <v>EA</v>
          </cell>
          <cell r="D2147" t="str">
            <v>MA100</v>
          </cell>
          <cell r="E2147">
            <v>1.22</v>
          </cell>
          <cell r="G2147">
            <v>206145</v>
          </cell>
        </row>
        <row r="2148">
          <cell r="A2148">
            <v>206150</v>
          </cell>
          <cell r="B2148" t="str">
            <v>MFLR,1/8NPT 3M#AMV0125 ACOUS COM</v>
          </cell>
          <cell r="C2148" t="str">
            <v>EA</v>
          </cell>
          <cell r="D2148" t="str">
            <v>RM100</v>
          </cell>
          <cell r="E2148">
            <v>3.18</v>
          </cell>
          <cell r="G2148">
            <v>206150</v>
          </cell>
        </row>
        <row r="2149">
          <cell r="A2149">
            <v>206151</v>
          </cell>
          <cell r="B2149" t="str">
            <v>FITTING,EL-MALE,1/8,10-32</v>
          </cell>
          <cell r="C2149" t="str">
            <v>EA</v>
          </cell>
          <cell r="D2149" t="str">
            <v>RM100</v>
          </cell>
          <cell r="E2149">
            <v>0.86</v>
          </cell>
          <cell r="G2149">
            <v>206151</v>
          </cell>
        </row>
        <row r="2150">
          <cell r="A2150">
            <v>206152</v>
          </cell>
          <cell r="B2150" t="str">
            <v>FITTING,UNION,1/4"TUBE TO 1/4"TUBE</v>
          </cell>
          <cell r="C2150" t="str">
            <v>EA</v>
          </cell>
          <cell r="D2150" t="str">
            <v>RM100</v>
          </cell>
          <cell r="E2150">
            <v>1.31</v>
          </cell>
          <cell r="G2150">
            <v>206152</v>
          </cell>
        </row>
        <row r="2151">
          <cell r="A2151">
            <v>206153</v>
          </cell>
          <cell r="B2151" t="str">
            <v>FITTING,UNION,5/32"TUBE TO 5/32"TUBE</v>
          </cell>
          <cell r="C2151" t="str">
            <v>EA</v>
          </cell>
          <cell r="D2151" t="str">
            <v>RM100</v>
          </cell>
          <cell r="E2151">
            <v>1.1100000000000001</v>
          </cell>
          <cell r="G2151">
            <v>206153</v>
          </cell>
        </row>
        <row r="2152">
          <cell r="A2152">
            <v>206155</v>
          </cell>
          <cell r="B2152" t="str">
            <v>FITTING,UNION,1/8"TUBE TO 1/8"TUBE</v>
          </cell>
          <cell r="C2152" t="str">
            <v>EA</v>
          </cell>
          <cell r="D2152" t="str">
            <v>RM100</v>
          </cell>
          <cell r="E2152">
            <v>1.36</v>
          </cell>
          <cell r="G2152">
            <v>206155</v>
          </cell>
        </row>
        <row r="2153">
          <cell r="A2153">
            <v>206180</v>
          </cell>
          <cell r="B2153" t="str">
            <v>TUBING,1/4"OD BLK  POLYCON #CP-480</v>
          </cell>
          <cell r="C2153" t="str">
            <v>FT</v>
          </cell>
          <cell r="D2153" t="str">
            <v>RM100</v>
          </cell>
          <cell r="E2153">
            <v>7.4999999999999997E-2</v>
          </cell>
          <cell r="G2153">
            <v>206180</v>
          </cell>
        </row>
        <row r="2154">
          <cell r="A2154">
            <v>206186</v>
          </cell>
          <cell r="B2154" t="str">
            <v>FITTING,BULKHEAD,1/4"NPT, FEMALE-1/8TUBE</v>
          </cell>
          <cell r="C2154" t="str">
            <v>EA</v>
          </cell>
          <cell r="D2154" t="str">
            <v>RM100</v>
          </cell>
          <cell r="E2154">
            <v>3.66</v>
          </cell>
          <cell r="G2154">
            <v>206186</v>
          </cell>
        </row>
        <row r="2155">
          <cell r="A2155">
            <v>206187</v>
          </cell>
          <cell r="B2155" t="str">
            <v>EXTRU,ALUM,MR4 ACOUS JB,HNG,RH-LHR*</v>
          </cell>
          <cell r="C2155" t="str">
            <v>EA</v>
          </cell>
          <cell r="D2155" t="str">
            <v>RM100</v>
          </cell>
          <cell r="E2155">
            <v>272.99</v>
          </cell>
          <cell r="G2155">
            <v>206187</v>
          </cell>
        </row>
        <row r="2156">
          <cell r="A2156">
            <v>206188</v>
          </cell>
          <cell r="B2156" t="str">
            <v>SPCR,HNG,ALUM 1-5/8X6-1/32X3/8</v>
          </cell>
          <cell r="C2156" t="str">
            <v>EA</v>
          </cell>
          <cell r="D2156" t="str">
            <v>RM100</v>
          </cell>
          <cell r="E2156">
            <v>15.5</v>
          </cell>
          <cell r="G2156">
            <v>206188</v>
          </cell>
        </row>
        <row r="2157">
          <cell r="A2157">
            <v>206189</v>
          </cell>
          <cell r="B2157" t="str">
            <v>EXTRU,ALUM,MR4 ACOUS JB,HNG,LH-RHR*</v>
          </cell>
          <cell r="C2157" t="str">
            <v>EA</v>
          </cell>
          <cell r="D2157" t="str">
            <v>RM100</v>
          </cell>
          <cell r="E2157">
            <v>159.44999999999999</v>
          </cell>
          <cell r="G2157">
            <v>206189</v>
          </cell>
        </row>
        <row r="2158">
          <cell r="A2158">
            <v>206191</v>
          </cell>
          <cell r="B2158" t="str">
            <v>FITTING,ELBOW,UNION,5/32TUBE X 5/32"TUBE</v>
          </cell>
          <cell r="C2158" t="str">
            <v>EA</v>
          </cell>
          <cell r="D2158" t="str">
            <v>RM100</v>
          </cell>
          <cell r="E2158">
            <v>1.28</v>
          </cell>
          <cell r="G2158">
            <v>206191</v>
          </cell>
        </row>
        <row r="2159">
          <cell r="A2159">
            <v>206192</v>
          </cell>
          <cell r="B2159" t="str">
            <v>FITTING,ELBOW,UNION,1/8"TUBE X 1/8" TUBE</v>
          </cell>
          <cell r="C2159" t="str">
            <v>EA</v>
          </cell>
          <cell r="D2159" t="str">
            <v>RM100</v>
          </cell>
          <cell r="E2159">
            <v>1.54</v>
          </cell>
          <cell r="G2159">
            <v>206192</v>
          </cell>
        </row>
        <row r="2160">
          <cell r="A2160">
            <v>206219</v>
          </cell>
          <cell r="B2160" t="str">
            <v>FITTING,FLASH SEAL PLUG 1/8NPT DYNAMCO#*</v>
          </cell>
          <cell r="C2160" t="str">
            <v>EA</v>
          </cell>
          <cell r="D2160" t="str">
            <v>RM100</v>
          </cell>
          <cell r="E2160">
            <v>1.04</v>
          </cell>
          <cell r="G2160">
            <v>206219</v>
          </cell>
        </row>
        <row r="2161">
          <cell r="A2161">
            <v>206225</v>
          </cell>
          <cell r="B2161" t="str">
            <v>CARRIER,HOSE,.95"X.76"X12"LG,</v>
          </cell>
          <cell r="C2161" t="str">
            <v>EA</v>
          </cell>
          <cell r="D2161" t="str">
            <v>RM100</v>
          </cell>
          <cell r="E2161">
            <v>14.07</v>
          </cell>
          <cell r="G2161">
            <v>206225</v>
          </cell>
        </row>
        <row r="2162">
          <cell r="A2162">
            <v>206242</v>
          </cell>
          <cell r="B2162" t="str">
            <v>REGULATOR, MOD MNFLD 2-STATION</v>
          </cell>
          <cell r="C2162" t="str">
            <v>EA</v>
          </cell>
          <cell r="D2162" t="str">
            <v>RM100</v>
          </cell>
          <cell r="E2162">
            <v>65.95</v>
          </cell>
          <cell r="G2162">
            <v>206242</v>
          </cell>
        </row>
        <row r="2163">
          <cell r="A2163">
            <v>206243</v>
          </cell>
          <cell r="B2163" t="str">
            <v>GAUGE, BTM MNT, in PSI, NPT STD THRD</v>
          </cell>
          <cell r="C2163" t="str">
            <v>EA</v>
          </cell>
          <cell r="D2163" t="str">
            <v>RM100</v>
          </cell>
          <cell r="E2163">
            <v>10.14</v>
          </cell>
          <cell r="G2163">
            <v>206243</v>
          </cell>
        </row>
        <row r="2164">
          <cell r="A2164">
            <v>206244</v>
          </cell>
          <cell r="B2164" t="str">
            <v>VLV, 3-PORT w/SPRG RTN, BASE MNT</v>
          </cell>
          <cell r="C2164" t="str">
            <v>EA</v>
          </cell>
          <cell r="D2164" t="str">
            <v>RM100</v>
          </cell>
          <cell r="E2164">
            <v>20.48</v>
          </cell>
          <cell r="G2164">
            <v>206244</v>
          </cell>
        </row>
        <row r="2165">
          <cell r="A2165">
            <v>206245</v>
          </cell>
          <cell r="B2165" t="str">
            <v>MANIFOLD, VLV, 4-STATION, w/1/8" 1-TOUCH</v>
          </cell>
          <cell r="C2165" t="str">
            <v>EA</v>
          </cell>
          <cell r="D2165" t="str">
            <v>RM100</v>
          </cell>
          <cell r="E2165">
            <v>45.95</v>
          </cell>
          <cell r="G2165">
            <v>206245</v>
          </cell>
        </row>
        <row r="2166">
          <cell r="A2166">
            <v>206246</v>
          </cell>
          <cell r="B2166" t="str">
            <v>PLT, BLANKING, for MANIFOLD 206245</v>
          </cell>
          <cell r="C2166" t="str">
            <v>EA</v>
          </cell>
          <cell r="D2166" t="str">
            <v>RM100</v>
          </cell>
          <cell r="E2166">
            <v>2.91</v>
          </cell>
          <cell r="G2166">
            <v>206246</v>
          </cell>
        </row>
        <row r="2167">
          <cell r="A2167">
            <v>206253</v>
          </cell>
          <cell r="B2167" t="str">
            <v>CTRLR,WO/HMI,CROUZET#88970041</v>
          </cell>
          <cell r="C2167" t="str">
            <v>EA</v>
          </cell>
          <cell r="D2167" t="str">
            <v>RM100</v>
          </cell>
          <cell r="E2167">
            <v>154.5</v>
          </cell>
          <cell r="G2167">
            <v>206253</v>
          </cell>
        </row>
        <row r="2168">
          <cell r="A2168">
            <v>206256</v>
          </cell>
          <cell r="B2168" t="str">
            <v>ENCL,11.4x7.5x5.5 PLASTIC BUD#NBB-10263</v>
          </cell>
          <cell r="C2168" t="str">
            <v>EA</v>
          </cell>
          <cell r="D2168" t="str">
            <v>RM100</v>
          </cell>
          <cell r="E2168">
            <v>44.65</v>
          </cell>
          <cell r="G2168">
            <v>206256</v>
          </cell>
        </row>
        <row r="2169">
          <cell r="A2169">
            <v>206257</v>
          </cell>
          <cell r="B2169" t="str">
            <v>PNL,ELEC,CNTR 6.3x9.9 BUD TYPE NBX-10985</v>
          </cell>
          <cell r="C2169" t="str">
            <v>EA</v>
          </cell>
          <cell r="D2169" t="str">
            <v>RM100</v>
          </cell>
          <cell r="E2169">
            <v>7.77</v>
          </cell>
          <cell r="G2169">
            <v>206257</v>
          </cell>
        </row>
        <row r="2170">
          <cell r="A2170">
            <v>206258</v>
          </cell>
          <cell r="B2170" t="str">
            <v>BLOCK,TERM,RAIL,PERF.PHOENIX#1401682,BR</v>
          </cell>
          <cell r="C2170" t="str">
            <v>FT</v>
          </cell>
          <cell r="D2170" t="str">
            <v>RM100</v>
          </cell>
          <cell r="E2170">
            <v>1.78667</v>
          </cell>
          <cell r="G2170">
            <v>206258</v>
          </cell>
        </row>
        <row r="2171">
          <cell r="A2171">
            <v>206259</v>
          </cell>
          <cell r="B2171" t="str">
            <v>BLOCK,TERM,END COVER PHOENIX#3025529</v>
          </cell>
          <cell r="C2171" t="str">
            <v>EA</v>
          </cell>
          <cell r="D2171" t="str">
            <v>RM100</v>
          </cell>
          <cell r="E2171">
            <v>0.63</v>
          </cell>
          <cell r="G2171">
            <v>206259</v>
          </cell>
        </row>
        <row r="2172">
          <cell r="A2172">
            <v>206260</v>
          </cell>
          <cell r="B2172" t="str">
            <v>BLOCK,TERM, BLUE PHOENIX#3003363</v>
          </cell>
          <cell r="C2172" t="str">
            <v>EA</v>
          </cell>
          <cell r="D2172" t="str">
            <v>RM100</v>
          </cell>
          <cell r="E2172">
            <v>1.1000000000000001</v>
          </cell>
          <cell r="G2172">
            <v>206260</v>
          </cell>
        </row>
        <row r="2173">
          <cell r="A2173">
            <v>206261</v>
          </cell>
          <cell r="B2173" t="str">
            <v>BLOCK,TERM,FIXED BRIDGE PHOENIX#3001624</v>
          </cell>
          <cell r="C2173" t="str">
            <v>EA</v>
          </cell>
          <cell r="D2173" t="str">
            <v>RM100</v>
          </cell>
          <cell r="E2173">
            <v>3.18</v>
          </cell>
          <cell r="G2173">
            <v>206261</v>
          </cell>
        </row>
        <row r="2174">
          <cell r="A2174">
            <v>206262</v>
          </cell>
          <cell r="B2174" t="str">
            <v>LABEL, FOR TERMINAL BLK,</v>
          </cell>
          <cell r="C2174" t="str">
            <v>EA</v>
          </cell>
          <cell r="D2174" t="str">
            <v>RM100</v>
          </cell>
          <cell r="E2174">
            <v>23.63</v>
          </cell>
          <cell r="G2174">
            <v>206262</v>
          </cell>
        </row>
        <row r="2175">
          <cell r="A2175">
            <v>206267</v>
          </cell>
          <cell r="B2175" t="str">
            <v>ASSY,CONTROL ENCLOSURE,SLIDING DOOR</v>
          </cell>
          <cell r="C2175" t="str">
            <v>EA</v>
          </cell>
          <cell r="D2175" t="str">
            <v>MA100</v>
          </cell>
          <cell r="E2175">
            <v>579.91</v>
          </cell>
          <cell r="G2175">
            <v>206267</v>
          </cell>
        </row>
        <row r="2176">
          <cell r="A2176">
            <v>206270</v>
          </cell>
          <cell r="B2176" t="str">
            <v>FITTING,1/4" PLUG</v>
          </cell>
          <cell r="C2176" t="str">
            <v>EA</v>
          </cell>
          <cell r="D2176" t="str">
            <v>RM100</v>
          </cell>
          <cell r="E2176">
            <v>0.55200000000000005</v>
          </cell>
          <cell r="G2176">
            <v>206270</v>
          </cell>
        </row>
        <row r="2177">
          <cell r="A2177">
            <v>206300</v>
          </cell>
          <cell r="B2177" t="str">
            <v>SUP,LATCH BRKT FOR AS2 ELC. CONTACT</v>
          </cell>
          <cell r="C2177" t="str">
            <v>EA</v>
          </cell>
          <cell r="D2177" t="str">
            <v>MA100</v>
          </cell>
          <cell r="E2177">
            <v>2.5779000000000001</v>
          </cell>
          <cell r="G2177">
            <v>206300</v>
          </cell>
        </row>
        <row r="2178">
          <cell r="A2178">
            <v>206301</v>
          </cell>
          <cell r="B2178" t="str">
            <v>SUP,HINGE SWTCH SUPPORT AS-II</v>
          </cell>
          <cell r="C2178" t="str">
            <v>EA</v>
          </cell>
          <cell r="D2178" t="str">
            <v>MA100</v>
          </cell>
          <cell r="E2178">
            <v>0.94349000000000005</v>
          </cell>
          <cell r="G2178">
            <v>206301</v>
          </cell>
        </row>
        <row r="2179">
          <cell r="A2179">
            <v>206302</v>
          </cell>
          <cell r="B2179" t="str">
            <v>FNGR,TECH-ETCH#187RD2-.70-02</v>
          </cell>
          <cell r="C2179" t="str">
            <v>EA</v>
          </cell>
          <cell r="D2179" t="str">
            <v>RM100</v>
          </cell>
          <cell r="E2179">
            <v>1.29</v>
          </cell>
          <cell r="G2179">
            <v>206302</v>
          </cell>
        </row>
        <row r="2180">
          <cell r="A2180">
            <v>206303</v>
          </cell>
          <cell r="B2180" t="str">
            <v>FNGR,TECH-ETCH#187RD2-.89-08MOD(1.045 W)</v>
          </cell>
          <cell r="C2180" t="str">
            <v>EA</v>
          </cell>
          <cell r="D2180" t="str">
            <v>MA100</v>
          </cell>
          <cell r="E2180">
            <v>2.11</v>
          </cell>
          <cell r="G2180">
            <v>206303</v>
          </cell>
        </row>
        <row r="2181">
          <cell r="A2181">
            <v>206305</v>
          </cell>
          <cell r="B2181" t="str">
            <v>SWI, AS-II HINGE SIDE C&amp;K#8731SHZBE*</v>
          </cell>
          <cell r="C2181" t="str">
            <v>EA</v>
          </cell>
          <cell r="D2181" t="str">
            <v>RM100</v>
          </cell>
          <cell r="E2181">
            <v>5.54</v>
          </cell>
          <cell r="G2181">
            <v>206305</v>
          </cell>
        </row>
        <row r="2182">
          <cell r="A2182">
            <v>206306</v>
          </cell>
          <cell r="B2182" t="str">
            <v>CONN,BULETT MALE MOLEX#190340005</v>
          </cell>
          <cell r="C2182" t="str">
            <v>EA</v>
          </cell>
          <cell r="D2182" t="str">
            <v>RM100</v>
          </cell>
          <cell r="E2182">
            <v>0.13500000000000001</v>
          </cell>
          <cell r="G2182">
            <v>206306</v>
          </cell>
        </row>
        <row r="2183">
          <cell r="A2183">
            <v>206307</v>
          </cell>
          <cell r="B2183" t="str">
            <v>CONN,BULETT,FEMALE MOLEX#190380001</v>
          </cell>
          <cell r="C2183" t="str">
            <v>EA</v>
          </cell>
          <cell r="D2183" t="str">
            <v>RM100</v>
          </cell>
          <cell r="E2183">
            <v>0.123</v>
          </cell>
          <cell r="G2183">
            <v>206307</v>
          </cell>
        </row>
        <row r="2184">
          <cell r="A2184">
            <v>206308</v>
          </cell>
          <cell r="B2184" t="str">
            <v>CONN, O-RING #10 Panduit#P18-10R-C</v>
          </cell>
          <cell r="C2184" t="str">
            <v>EA</v>
          </cell>
          <cell r="D2184" t="str">
            <v>RM100</v>
          </cell>
          <cell r="E2184">
            <v>6.0199999999999997E-2</v>
          </cell>
          <cell r="G2184">
            <v>206308</v>
          </cell>
        </row>
        <row r="2185">
          <cell r="A2185">
            <v>206309</v>
          </cell>
          <cell r="B2185" t="str">
            <v>CONN,RJ45 SHIELDED JACK BREAKOUT BOARD*</v>
          </cell>
          <cell r="C2185" t="str">
            <v>EA</v>
          </cell>
          <cell r="D2185" t="str">
            <v>RM100</v>
          </cell>
          <cell r="E2185">
            <v>16.16</v>
          </cell>
          <cell r="G2185">
            <v>206309</v>
          </cell>
        </row>
        <row r="2186">
          <cell r="A2186">
            <v>206310</v>
          </cell>
          <cell r="B2186" t="str">
            <v>BRKT,MTG,HEADER,MAG-LOCK,MRI4</v>
          </cell>
          <cell r="C2186" t="str">
            <v>EA</v>
          </cell>
          <cell r="D2186" t="str">
            <v>RM100</v>
          </cell>
          <cell r="E2186">
            <v>84.5</v>
          </cell>
          <cell r="G2186">
            <v>206310</v>
          </cell>
        </row>
        <row r="2187">
          <cell r="A2187">
            <v>206311</v>
          </cell>
          <cell r="B2187" t="str">
            <v>BRKT,MTG,STRIKE,MAG-LOCK,</v>
          </cell>
          <cell r="C2187" t="str">
            <v>EA</v>
          </cell>
          <cell r="D2187" t="str">
            <v>RM100</v>
          </cell>
          <cell r="E2187">
            <v>66.099999999999994</v>
          </cell>
          <cell r="G2187">
            <v>206311</v>
          </cell>
        </row>
        <row r="2188">
          <cell r="A2188">
            <v>206312</v>
          </cell>
          <cell r="B2188" t="str">
            <v>SHIM, FLAT MOUNTING BAR FOR MAGLOCK</v>
          </cell>
          <cell r="C2188" t="str">
            <v>EA</v>
          </cell>
          <cell r="D2188" t="str">
            <v>MA100</v>
          </cell>
          <cell r="E2188">
            <v>9.6083400000000001</v>
          </cell>
          <cell r="G2188">
            <v>206312</v>
          </cell>
        </row>
        <row r="2189">
          <cell r="A2189">
            <v>206313</v>
          </cell>
          <cell r="B2189" t="str">
            <v>PLATE,SPCR,,AS2 DR,ALUM,1.45"X2.063"X5/8</v>
          </cell>
          <cell r="C2189" t="str">
            <v>EA</v>
          </cell>
          <cell r="D2189" t="str">
            <v>RM100</v>
          </cell>
          <cell r="E2189">
            <v>34.549999999999997</v>
          </cell>
          <cell r="G2189">
            <v>206313</v>
          </cell>
        </row>
        <row r="2190">
          <cell r="A2190">
            <v>206315</v>
          </cell>
          <cell r="B2190" t="str">
            <v>COVER,304SS,MAG-LOCK, DOOR</v>
          </cell>
          <cell r="C2190" t="str">
            <v>EA</v>
          </cell>
          <cell r="D2190" t="str">
            <v>MA100</v>
          </cell>
          <cell r="E2190">
            <v>38.5</v>
          </cell>
          <cell r="G2190">
            <v>206315</v>
          </cell>
        </row>
        <row r="2191">
          <cell r="A2191">
            <v>206320</v>
          </cell>
          <cell r="B2191" t="str">
            <v>CYL,AIR,3/8"STRx1"DIA</v>
          </cell>
          <cell r="C2191" t="str">
            <v>EA</v>
          </cell>
          <cell r="D2191" t="str">
            <v>RM100</v>
          </cell>
          <cell r="E2191">
            <v>34.69</v>
          </cell>
          <cell r="G2191">
            <v>206320</v>
          </cell>
        </row>
        <row r="2192">
          <cell r="A2192">
            <v>206323</v>
          </cell>
          <cell r="B2192" t="str">
            <v>SEAL,AS2 DR, 50"LG BENT DR BOTTOM/TIN*</v>
          </cell>
          <cell r="C2192" t="str">
            <v>EA</v>
          </cell>
          <cell r="D2192" t="str">
            <v>RM100</v>
          </cell>
          <cell r="E2192">
            <v>30.83</v>
          </cell>
          <cell r="G2192">
            <v>206323</v>
          </cell>
        </row>
        <row r="2193">
          <cell r="A2193">
            <v>206327</v>
          </cell>
          <cell r="B2193" t="str">
            <v>ISLTR,PHEN,1/2X4 7/8X54-11/16 AS2</v>
          </cell>
          <cell r="C2193" t="str">
            <v>EA</v>
          </cell>
          <cell r="D2193" t="str">
            <v>RM100</v>
          </cell>
          <cell r="E2193">
            <v>82.62</v>
          </cell>
          <cell r="G2193">
            <v>206327</v>
          </cell>
        </row>
        <row r="2194">
          <cell r="A2194">
            <v>206328</v>
          </cell>
          <cell r="B2194" t="str">
            <v>FNGR,SUP,AS2 JB SIDE,1/8X3/4X85.5,304SS</v>
          </cell>
          <cell r="C2194" t="str">
            <v>EA</v>
          </cell>
          <cell r="D2194" t="str">
            <v>RM100</v>
          </cell>
          <cell r="E2194">
            <v>45.67</v>
          </cell>
          <cell r="G2194">
            <v>206328</v>
          </cell>
        </row>
        <row r="2195">
          <cell r="A2195">
            <v>206330</v>
          </cell>
          <cell r="B2195" t="str">
            <v>FNGR,SUP,AS2 JB TOP,1/8X3/4X50,304SS,48"</v>
          </cell>
          <cell r="C2195" t="str">
            <v>EA</v>
          </cell>
          <cell r="D2195" t="str">
            <v>RM100</v>
          </cell>
          <cell r="E2195">
            <v>25.75</v>
          </cell>
          <cell r="G2195">
            <v>206330</v>
          </cell>
        </row>
        <row r="2196">
          <cell r="A2196">
            <v>206331</v>
          </cell>
          <cell r="B2196" t="str">
            <v>OBSOLETE</v>
          </cell>
          <cell r="C2196" t="str">
            <v>EA</v>
          </cell>
          <cell r="D2196" t="str">
            <v>RM100</v>
          </cell>
          <cell r="E2196">
            <v>19.47</v>
          </cell>
          <cell r="G2196">
            <v>206331</v>
          </cell>
        </row>
        <row r="2197">
          <cell r="A2197">
            <v>206332</v>
          </cell>
          <cell r="B2197" t="str">
            <v>RD,7/16DIAx49LG,304SS,AS2 CYL TOP</v>
          </cell>
          <cell r="C2197" t="str">
            <v>EA</v>
          </cell>
          <cell r="D2197" t="str">
            <v>RM100</v>
          </cell>
          <cell r="E2197">
            <v>14.25</v>
          </cell>
          <cell r="G2197">
            <v>206332</v>
          </cell>
        </row>
        <row r="2198">
          <cell r="A2198">
            <v>206333</v>
          </cell>
          <cell r="B2198" t="str">
            <v>RD,7/16DIAx84.214,304SS,AS2 CYL LATCH,LH</v>
          </cell>
          <cell r="C2198" t="str">
            <v>EA</v>
          </cell>
          <cell r="D2198" t="str">
            <v>RM100</v>
          </cell>
          <cell r="E2198">
            <v>57.26</v>
          </cell>
          <cell r="G2198">
            <v>206333</v>
          </cell>
        </row>
        <row r="2199">
          <cell r="A2199">
            <v>206334</v>
          </cell>
          <cell r="B2199" t="str">
            <v>SUP,HINGE CONN FOR AS2 DOOR</v>
          </cell>
          <cell r="C2199" t="str">
            <v>EA</v>
          </cell>
          <cell r="D2199" t="str">
            <v>RM100</v>
          </cell>
          <cell r="E2199">
            <v>48.5</v>
          </cell>
          <cell r="G2199">
            <v>206334</v>
          </cell>
        </row>
        <row r="2200">
          <cell r="A2200">
            <v>206336</v>
          </cell>
          <cell r="B2200" t="str">
            <v>SEAL,AS2 DR, 50.375"LG BENT DOOR TOP/TIN</v>
          </cell>
          <cell r="C2200" t="str">
            <v>EA</v>
          </cell>
          <cell r="D2200" t="str">
            <v>RM100</v>
          </cell>
          <cell r="E2200">
            <v>33.113900000000001</v>
          </cell>
          <cell r="G2200">
            <v>206336</v>
          </cell>
        </row>
        <row r="2201">
          <cell r="A2201">
            <v>206338</v>
          </cell>
          <cell r="B2201" t="str">
            <v>SEAL,AS2 DR, 85.25"LG,HINGE,RH,LHR</v>
          </cell>
          <cell r="C2201" t="str">
            <v>EA</v>
          </cell>
          <cell r="D2201" t="str">
            <v>RM100</v>
          </cell>
          <cell r="E2201">
            <v>41.195569999999996</v>
          </cell>
          <cell r="G2201">
            <v>206338</v>
          </cell>
        </row>
        <row r="2202">
          <cell r="A2202">
            <v>206340</v>
          </cell>
          <cell r="B2202" t="str">
            <v>SEAL,AS2 , 85.25",LATCH,RH,LHR/TIN</v>
          </cell>
          <cell r="C2202" t="str">
            <v>EA</v>
          </cell>
          <cell r="D2202" t="str">
            <v>RM100</v>
          </cell>
          <cell r="E2202">
            <v>49.47</v>
          </cell>
          <cell r="G2202">
            <v>206340</v>
          </cell>
        </row>
        <row r="2203">
          <cell r="A2203">
            <v>206341</v>
          </cell>
          <cell r="B2203" t="str">
            <v>SEAL,A/F DR, 85.25"LG,LATCH/PUNCHED</v>
          </cell>
          <cell r="C2203" t="str">
            <v>EA</v>
          </cell>
          <cell r="D2203" t="str">
            <v>MA100</v>
          </cell>
          <cell r="E2203">
            <v>15.63</v>
          </cell>
          <cell r="G2203">
            <v>206341</v>
          </cell>
        </row>
        <row r="2204">
          <cell r="A2204">
            <v>206342</v>
          </cell>
          <cell r="B2204" t="str">
            <v>ASSY, SWITCH, AS2</v>
          </cell>
          <cell r="C2204" t="str">
            <v>EA</v>
          </cell>
          <cell r="D2204" t="str">
            <v>MA100</v>
          </cell>
          <cell r="E2204">
            <v>78.971940000000004</v>
          </cell>
          <cell r="G2204">
            <v>206342</v>
          </cell>
        </row>
        <row r="2205">
          <cell r="A2205">
            <v>206343</v>
          </cell>
          <cell r="B2205" t="str">
            <v>SUP,LATCH PART 1 FOR AS2*</v>
          </cell>
          <cell r="C2205" t="str">
            <v>EA</v>
          </cell>
          <cell r="D2205" t="str">
            <v>RM100</v>
          </cell>
          <cell r="E2205">
            <v>23.5</v>
          </cell>
          <cell r="G2205">
            <v>206343</v>
          </cell>
        </row>
        <row r="2206">
          <cell r="A2206">
            <v>206344</v>
          </cell>
          <cell r="B2206" t="str">
            <v>SUP,LATCH PART2 FOR AS2*</v>
          </cell>
          <cell r="C2206" t="str">
            <v>EA</v>
          </cell>
          <cell r="D2206" t="str">
            <v>RM100</v>
          </cell>
          <cell r="E2206">
            <v>21.2</v>
          </cell>
          <cell r="G2206">
            <v>206344</v>
          </cell>
        </row>
        <row r="2207">
          <cell r="A2207">
            <v>206346</v>
          </cell>
          <cell r="B2207" t="str">
            <v>BRKT,AS2,RH,MAGLOCK,ALUM,2.88x4x19.25LG.</v>
          </cell>
          <cell r="C2207" t="str">
            <v>EA</v>
          </cell>
          <cell r="D2207" t="str">
            <v>RM100</v>
          </cell>
          <cell r="E2207">
            <v>238</v>
          </cell>
          <cell r="G2207">
            <v>206346</v>
          </cell>
        </row>
        <row r="2208">
          <cell r="A2208">
            <v>206352</v>
          </cell>
          <cell r="B2208" t="str">
            <v>BRKT,AS2,LH,MAGLOCK,ALUM,2.88x4x19.25LG.</v>
          </cell>
          <cell r="C2208" t="str">
            <v>EA</v>
          </cell>
          <cell r="D2208" t="str">
            <v>RM100</v>
          </cell>
          <cell r="E2208">
            <v>362</v>
          </cell>
          <cell r="G2208">
            <v>206352</v>
          </cell>
        </row>
        <row r="2209">
          <cell r="A2209">
            <v>206353</v>
          </cell>
          <cell r="B2209" t="str">
            <v>BRKT,AS2,MAG-LOCK,ALUM,2.875x4x8.25LG.</v>
          </cell>
          <cell r="C2209" t="str">
            <v>EA</v>
          </cell>
          <cell r="D2209" t="str">
            <v>MA100</v>
          </cell>
          <cell r="E2209">
            <v>179</v>
          </cell>
          <cell r="G2209">
            <v>206353</v>
          </cell>
        </row>
        <row r="2210">
          <cell r="A2210">
            <v>206354</v>
          </cell>
          <cell r="B2210" t="str">
            <v>BRKT,OMRON SW,SS, 14 GA, 2.25x1.2.</v>
          </cell>
          <cell r="C2210" t="str">
            <v>EA</v>
          </cell>
          <cell r="D2210" t="str">
            <v>MA100</v>
          </cell>
          <cell r="E2210">
            <v>8.7779100000000003</v>
          </cell>
          <cell r="G2210">
            <v>206354</v>
          </cell>
        </row>
        <row r="2211">
          <cell r="A2211">
            <v>206355</v>
          </cell>
          <cell r="B2211" t="str">
            <v>CVR,EVO/AS2 HANDLE</v>
          </cell>
          <cell r="C2211" t="str">
            <v>EA</v>
          </cell>
          <cell r="D2211" t="str">
            <v>RM100</v>
          </cell>
          <cell r="E2211">
            <v>12.5</v>
          </cell>
          <cell r="G2211">
            <v>206355</v>
          </cell>
        </row>
        <row r="2212">
          <cell r="A2212">
            <v>206356</v>
          </cell>
          <cell r="B2212" t="str">
            <v>FITTING,TEE, 5/32 TO TWO 5/32 PORTS</v>
          </cell>
          <cell r="C2212" t="str">
            <v>EA</v>
          </cell>
          <cell r="D2212" t="str">
            <v>RM100</v>
          </cell>
          <cell r="E2212">
            <v>1.61</v>
          </cell>
          <cell r="G2212">
            <v>206356</v>
          </cell>
        </row>
        <row r="2213">
          <cell r="A2213">
            <v>206358</v>
          </cell>
          <cell r="B2213" t="str">
            <v>VLV,QUICK EXAUST SMC # AQ240F-04-00 ***</v>
          </cell>
          <cell r="C2213" t="str">
            <v>EA</v>
          </cell>
          <cell r="D2213" t="str">
            <v>RM100</v>
          </cell>
          <cell r="E2213">
            <v>8.6199999999999992</v>
          </cell>
          <cell r="G2213">
            <v>206358</v>
          </cell>
        </row>
        <row r="2214">
          <cell r="A2214">
            <v>206359</v>
          </cell>
          <cell r="B2214" t="str">
            <v>FITTING,TEE, 1/4 TO TWO 5/32 PORTS</v>
          </cell>
          <cell r="C2214" t="str">
            <v>EA</v>
          </cell>
          <cell r="D2214" t="str">
            <v>RM100</v>
          </cell>
          <cell r="E2214">
            <v>2.6</v>
          </cell>
          <cell r="G2214">
            <v>206359</v>
          </cell>
        </row>
        <row r="2215">
          <cell r="A2215">
            <v>206360</v>
          </cell>
          <cell r="B2215" t="str">
            <v>FITTING,10-32,5/32TUBE</v>
          </cell>
          <cell r="C2215" t="str">
            <v>EA</v>
          </cell>
          <cell r="D2215" t="str">
            <v>RM100</v>
          </cell>
          <cell r="E2215">
            <v>0.82</v>
          </cell>
          <cell r="G2215">
            <v>206360</v>
          </cell>
        </row>
        <row r="2216">
          <cell r="A2216">
            <v>206361</v>
          </cell>
          <cell r="B2216" t="str">
            <v>FITTING,10-32,5/32TUBE,TEE,</v>
          </cell>
          <cell r="C2216" t="str">
            <v>EA</v>
          </cell>
          <cell r="D2216" t="str">
            <v>RM100</v>
          </cell>
          <cell r="E2216">
            <v>2.5099999999999998</v>
          </cell>
          <cell r="G2216">
            <v>206361</v>
          </cell>
        </row>
        <row r="2217">
          <cell r="A2217">
            <v>206362</v>
          </cell>
          <cell r="B2217" t="str">
            <v>FITTING,10-32,5/32TUBE,"Y"</v>
          </cell>
          <cell r="C2217" t="str">
            <v>EA</v>
          </cell>
          <cell r="D2217" t="str">
            <v>MA100</v>
          </cell>
          <cell r="E2217">
            <v>3.28</v>
          </cell>
          <cell r="G2217">
            <v>206362</v>
          </cell>
        </row>
        <row r="2218">
          <cell r="A2218">
            <v>206365</v>
          </cell>
          <cell r="B2218" t="str">
            <v>DOOR,MEMB,ACOU, DOOR,TOP (PUNCHED)</v>
          </cell>
          <cell r="C2218" t="str">
            <v>EA</v>
          </cell>
          <cell r="D2218" t="str">
            <v>MA100</v>
          </cell>
          <cell r="E2218">
            <v>13.00928</v>
          </cell>
          <cell r="G2218">
            <v>206365</v>
          </cell>
        </row>
        <row r="2219">
          <cell r="A2219">
            <v>206366</v>
          </cell>
          <cell r="B2219" t="str">
            <v>TRIM,KIT AS2,TRIM 1/8x1" 4FT DR</v>
          </cell>
          <cell r="C2219" t="str">
            <v>EA</v>
          </cell>
          <cell r="D2219" t="str">
            <v>RM100</v>
          </cell>
          <cell r="E2219">
            <v>110.24</v>
          </cell>
          <cell r="G2219">
            <v>206366</v>
          </cell>
        </row>
        <row r="2220">
          <cell r="A2220">
            <v>206371</v>
          </cell>
          <cell r="B2220" t="str">
            <v>SCHEMATIC,AS2 INSWING</v>
          </cell>
          <cell r="C2220" t="str">
            <v>EA</v>
          </cell>
          <cell r="D2220" t="str">
            <v>MA100</v>
          </cell>
          <cell r="E2220">
            <v>0</v>
          </cell>
          <cell r="G2220">
            <v>206371</v>
          </cell>
        </row>
        <row r="2221">
          <cell r="A2221">
            <v>206372</v>
          </cell>
          <cell r="B2221" t="str">
            <v>SCHEMATIC,AS2 OUTSWING</v>
          </cell>
          <cell r="C2221" t="str">
            <v>EA</v>
          </cell>
          <cell r="D2221" t="str">
            <v>MA100</v>
          </cell>
          <cell r="E2221">
            <v>0</v>
          </cell>
          <cell r="G2221">
            <v>206372</v>
          </cell>
        </row>
        <row r="2222">
          <cell r="A2222">
            <v>206373</v>
          </cell>
          <cell r="B2222" t="str">
            <v>SEAL,AS2 DR, 85.25"LG,HINGE,LH,RHR</v>
          </cell>
          <cell r="C2222" t="str">
            <v>EA</v>
          </cell>
          <cell r="D2222" t="str">
            <v>RM100</v>
          </cell>
          <cell r="E2222">
            <v>45.66</v>
          </cell>
          <cell r="G2222">
            <v>206373</v>
          </cell>
        </row>
        <row r="2223">
          <cell r="A2223">
            <v>206374</v>
          </cell>
          <cell r="B2223" t="str">
            <v>SEAL,AS2 DR,85.25",LATCH,LH,RHR</v>
          </cell>
          <cell r="C2223" t="str">
            <v>EA</v>
          </cell>
          <cell r="D2223" t="str">
            <v>RM100</v>
          </cell>
          <cell r="E2223">
            <v>36.520000000000003</v>
          </cell>
          <cell r="G2223">
            <v>206374</v>
          </cell>
        </row>
        <row r="2224">
          <cell r="A2224">
            <v>206375</v>
          </cell>
          <cell r="B2224" t="str">
            <v>FITTING,1/8NPT,5/32 TUBE*</v>
          </cell>
          <cell r="C2224" t="str">
            <v>EA</v>
          </cell>
          <cell r="D2224" t="str">
            <v>RM100</v>
          </cell>
          <cell r="E2224">
            <v>0.8</v>
          </cell>
          <cell r="G2224">
            <v>206375</v>
          </cell>
        </row>
        <row r="2225">
          <cell r="A2225">
            <v>206376</v>
          </cell>
          <cell r="B2225" t="str">
            <v>MANUAL,AUTO-SEAL II</v>
          </cell>
          <cell r="C2225" t="str">
            <v>EA</v>
          </cell>
          <cell r="D2225" t="str">
            <v>RM100</v>
          </cell>
          <cell r="E2225">
            <v>1</v>
          </cell>
          <cell r="G2225">
            <v>206376</v>
          </cell>
        </row>
        <row r="2226">
          <cell r="A2226">
            <v>206378</v>
          </cell>
          <cell r="B2226" t="str">
            <v>VLV,5W,2P,24VDC,SPR RTRN  (MAC or SMC**)</v>
          </cell>
          <cell r="C2226" t="str">
            <v>EA</v>
          </cell>
          <cell r="D2226" t="str">
            <v>RM100</v>
          </cell>
          <cell r="E2226">
            <v>38.24</v>
          </cell>
          <cell r="G2226">
            <v>206378</v>
          </cell>
        </row>
        <row r="2227">
          <cell r="A2227">
            <v>206379</v>
          </cell>
          <cell r="B2227" t="str">
            <v>KIT,AS2 MAC VALVE KIT</v>
          </cell>
          <cell r="C2227" t="str">
            <v>EA</v>
          </cell>
          <cell r="D2227" t="str">
            <v>MA100</v>
          </cell>
          <cell r="E2227">
            <v>66.209999999999994</v>
          </cell>
          <cell r="G2227">
            <v>206379</v>
          </cell>
        </row>
        <row r="2228">
          <cell r="A2228">
            <v>206380</v>
          </cell>
          <cell r="B2228" t="str">
            <v>KIT,AUTOSEAL II AIR CYLINDER KIT</v>
          </cell>
          <cell r="C2228" t="str">
            <v>EA</v>
          </cell>
          <cell r="D2228" t="str">
            <v>MA100</v>
          </cell>
          <cell r="E2228">
            <v>40.512</v>
          </cell>
          <cell r="G2228">
            <v>206380</v>
          </cell>
        </row>
        <row r="2229">
          <cell r="A2229">
            <v>206382</v>
          </cell>
          <cell r="B2229" t="str">
            <v>KIT, EVO, SEAL, VALVE</v>
          </cell>
          <cell r="C2229" t="str">
            <v>EA</v>
          </cell>
          <cell r="D2229" t="str">
            <v>MA100</v>
          </cell>
          <cell r="E2229">
            <v>56.88</v>
          </cell>
          <cell r="G2229">
            <v>206382</v>
          </cell>
        </row>
        <row r="2230">
          <cell r="A2230">
            <v>206384</v>
          </cell>
          <cell r="B2230" t="str">
            <v>CONN,1/2" 90 DEG. ARMORED CABLE,STEEL **</v>
          </cell>
          <cell r="C2230" t="str">
            <v>EA</v>
          </cell>
          <cell r="D2230" t="str">
            <v>MA100</v>
          </cell>
          <cell r="E2230">
            <v>1.96</v>
          </cell>
          <cell r="G2230">
            <v>206384</v>
          </cell>
        </row>
        <row r="2231">
          <cell r="A2231">
            <v>206385</v>
          </cell>
          <cell r="B2231" t="str">
            <v>CONN,1/2" ARMORED CABLE,STEEL CITY#XC270</v>
          </cell>
          <cell r="C2231" t="str">
            <v>EA</v>
          </cell>
          <cell r="D2231" t="str">
            <v>MA100</v>
          </cell>
          <cell r="E2231">
            <v>1.4218999999999999</v>
          </cell>
          <cell r="G2231">
            <v>206385</v>
          </cell>
        </row>
        <row r="2232">
          <cell r="A2232">
            <v>206386</v>
          </cell>
          <cell r="B2232" t="str">
            <v>VLV,PLUG WIRE ASSY FOR VALVE 206378 ***</v>
          </cell>
          <cell r="C2232" t="str">
            <v>EA</v>
          </cell>
          <cell r="D2232" t="str">
            <v>RM100</v>
          </cell>
          <cell r="E2232">
            <v>3.15</v>
          </cell>
          <cell r="G2232">
            <v>206386</v>
          </cell>
        </row>
        <row r="2233">
          <cell r="A2233">
            <v>206387</v>
          </cell>
          <cell r="B2233" t="str">
            <v>FITTING,3/8"NPT-1/4"TUBE,90 DEGREE EL*</v>
          </cell>
          <cell r="C2233" t="str">
            <v>EA</v>
          </cell>
          <cell r="D2233" t="str">
            <v>RM100</v>
          </cell>
          <cell r="E2233">
            <v>1.98</v>
          </cell>
          <cell r="G2233">
            <v>206387</v>
          </cell>
        </row>
        <row r="2234">
          <cell r="A2234">
            <v>206396</v>
          </cell>
          <cell r="B2234" t="str">
            <v>BAR,ADAPTER,ALUM,CEDES LIGHT CURTAIN</v>
          </cell>
          <cell r="C2234" t="str">
            <v>EA</v>
          </cell>
          <cell r="D2234" t="str">
            <v>RM100</v>
          </cell>
          <cell r="E2234">
            <v>69.5</v>
          </cell>
          <cell r="G2234">
            <v>206396</v>
          </cell>
        </row>
        <row r="2235">
          <cell r="A2235">
            <v>206398</v>
          </cell>
          <cell r="B2235" t="str">
            <v>EXTRU,ALUM D/J,3X3X120,ARC-SPRAYED</v>
          </cell>
          <cell r="C2235" t="str">
            <v>EA</v>
          </cell>
          <cell r="D2235" t="str">
            <v>MA100</v>
          </cell>
          <cell r="E2235">
            <v>76.851399999999998</v>
          </cell>
          <cell r="G2235">
            <v>206398</v>
          </cell>
        </row>
        <row r="2236">
          <cell r="A2236">
            <v>206423</v>
          </cell>
          <cell r="B2236" t="str">
            <v>RD,7/16DIAx84.214,304SS,AS2 CYL LATCH,RH</v>
          </cell>
          <cell r="C2236" t="str">
            <v>EA</v>
          </cell>
          <cell r="D2236" t="str">
            <v>RM100</v>
          </cell>
          <cell r="E2236">
            <v>57.26</v>
          </cell>
          <cell r="G2236">
            <v>206423</v>
          </cell>
        </row>
        <row r="2237">
          <cell r="A2237">
            <v>206424</v>
          </cell>
          <cell r="B2237" t="str">
            <v>SENSOR,PRESURE SWITCH</v>
          </cell>
          <cell r="C2237" t="str">
            <v>EA</v>
          </cell>
          <cell r="D2237" t="str">
            <v>MA100</v>
          </cell>
          <cell r="E2237">
            <v>157.11000000000001</v>
          </cell>
          <cell r="G2237">
            <v>206424</v>
          </cell>
        </row>
        <row r="2238">
          <cell r="A2238">
            <v>206431</v>
          </cell>
          <cell r="B2238" t="str">
            <v>COVER,DOOR MECHANISM COVER 3' DOOR</v>
          </cell>
          <cell r="C2238" t="str">
            <v>EA</v>
          </cell>
          <cell r="D2238" t="str">
            <v>MA100</v>
          </cell>
          <cell r="E2238">
            <v>17.771159999999998</v>
          </cell>
          <cell r="G2238">
            <v>206431</v>
          </cell>
        </row>
        <row r="2239">
          <cell r="A2239">
            <v>206432</v>
          </cell>
          <cell r="B2239" t="str">
            <v>SEAL,A/F DR,37 3/32"LG BENT DR BOTTOM *</v>
          </cell>
          <cell r="C2239" t="str">
            <v>EA</v>
          </cell>
          <cell r="D2239" t="str">
            <v>RM100</v>
          </cell>
          <cell r="E2239">
            <v>57.08</v>
          </cell>
          <cell r="G2239">
            <v>206432</v>
          </cell>
        </row>
        <row r="2240">
          <cell r="A2240">
            <v>206433</v>
          </cell>
          <cell r="B2240" t="str">
            <v>FNGR,SUP,AS2 BTM1/8X3/4X37,304SS,36"DR</v>
          </cell>
          <cell r="C2240" t="str">
            <v>EA</v>
          </cell>
          <cell r="D2240" t="str">
            <v>RM100</v>
          </cell>
          <cell r="E2240">
            <v>29.25</v>
          </cell>
          <cell r="G2240">
            <v>206433</v>
          </cell>
        </row>
        <row r="2241">
          <cell r="A2241">
            <v>206434</v>
          </cell>
          <cell r="B2241" t="str">
            <v>RD,7/16DIAx36LG,304SS,AS2 CY 3'DOOR</v>
          </cell>
          <cell r="C2241" t="str">
            <v>EA</v>
          </cell>
          <cell r="D2241" t="str">
            <v>RM100</v>
          </cell>
          <cell r="E2241">
            <v>26.79</v>
          </cell>
          <cell r="G2241">
            <v>206434</v>
          </cell>
        </row>
        <row r="2242">
          <cell r="A2242">
            <v>206435</v>
          </cell>
          <cell r="B2242" t="str">
            <v>DR,MECH SUP BODY AS2 3' WIDE</v>
          </cell>
          <cell r="C2242" t="str">
            <v>EA</v>
          </cell>
          <cell r="D2242" t="str">
            <v>MA100</v>
          </cell>
          <cell r="E2242">
            <v>17.672750000000001</v>
          </cell>
          <cell r="G2242">
            <v>206435</v>
          </cell>
        </row>
        <row r="2243">
          <cell r="A2243">
            <v>206437</v>
          </cell>
          <cell r="B2243" t="str">
            <v>ISLTR,PHEN,1/2X4 7/8X42 11/16, AS2</v>
          </cell>
          <cell r="C2243" t="str">
            <v>EA</v>
          </cell>
          <cell r="D2243" t="str">
            <v>RM100</v>
          </cell>
          <cell r="E2243">
            <v>99</v>
          </cell>
          <cell r="G2243">
            <v>206437</v>
          </cell>
        </row>
        <row r="2244">
          <cell r="A2244">
            <v>206438</v>
          </cell>
          <cell r="B2244" t="str">
            <v>CVR,AS2 TOP COVER 3'DR)</v>
          </cell>
          <cell r="C2244" t="str">
            <v>EA</v>
          </cell>
          <cell r="D2244" t="str">
            <v>RM100</v>
          </cell>
          <cell r="E2244">
            <v>63.4</v>
          </cell>
          <cell r="G2244">
            <v>206438</v>
          </cell>
        </row>
        <row r="2245">
          <cell r="A2245">
            <v>206439</v>
          </cell>
          <cell r="B2245" t="str">
            <v>FNGR,SUP,AS2 JB TOP,1/8X3/4X38,304SS,36"</v>
          </cell>
          <cell r="C2245" t="str">
            <v>EA</v>
          </cell>
          <cell r="D2245" t="str">
            <v>RM100</v>
          </cell>
          <cell r="E2245">
            <v>26.94</v>
          </cell>
          <cell r="G2245">
            <v>206439</v>
          </cell>
        </row>
        <row r="2246">
          <cell r="A2246">
            <v>206440</v>
          </cell>
          <cell r="B2246" t="str">
            <v>SEAL,A/F DR, 38.375"LG BENT DOOR TOP/TIN</v>
          </cell>
          <cell r="C2246" t="str">
            <v>EA</v>
          </cell>
          <cell r="D2246" t="str">
            <v>RM100</v>
          </cell>
          <cell r="E2246">
            <v>57.08</v>
          </cell>
          <cell r="G2246">
            <v>206440</v>
          </cell>
        </row>
        <row r="2247">
          <cell r="A2247">
            <v>206444</v>
          </cell>
          <cell r="B2247" t="str">
            <v>BRKT,MAGLOCK SUPPORT FOR AS2-DOUBLE **</v>
          </cell>
          <cell r="C2247" t="str">
            <v>EA</v>
          </cell>
          <cell r="D2247" t="str">
            <v>RM100</v>
          </cell>
          <cell r="E2247">
            <v>39.47</v>
          </cell>
          <cell r="G2247">
            <v>206444</v>
          </cell>
        </row>
        <row r="2248">
          <cell r="A2248">
            <v>206454</v>
          </cell>
          <cell r="B2248" t="str">
            <v>MAKE FROM STK MATL. 405225</v>
          </cell>
          <cell r="C2248" t="str">
            <v>EA</v>
          </cell>
          <cell r="D2248" t="str">
            <v>RM100</v>
          </cell>
          <cell r="E2248">
            <v>16.850000000000001</v>
          </cell>
          <cell r="G2248">
            <v>206454</v>
          </cell>
        </row>
        <row r="2249">
          <cell r="A2249">
            <v>206455</v>
          </cell>
          <cell r="B2249" t="str">
            <v>RD,7/16DIAx43LG,304SS,AS2 CYL TOP</v>
          </cell>
          <cell r="C2249" t="str">
            <v>EA</v>
          </cell>
          <cell r="D2249" t="str">
            <v>RM100</v>
          </cell>
          <cell r="E2249">
            <v>22.9</v>
          </cell>
          <cell r="G2249">
            <v>206455</v>
          </cell>
        </row>
        <row r="2250">
          <cell r="A2250">
            <v>206457</v>
          </cell>
          <cell r="B2250" t="str">
            <v>ISLTR,PHEN,1/2X4 7/8X52,AS2</v>
          </cell>
          <cell r="C2250" t="str">
            <v>EA</v>
          </cell>
          <cell r="D2250" t="str">
            <v>RM100</v>
          </cell>
          <cell r="E2250">
            <v>82.62</v>
          </cell>
          <cell r="G2250">
            <v>206457</v>
          </cell>
        </row>
        <row r="2251">
          <cell r="A2251">
            <v>206468</v>
          </cell>
          <cell r="B2251" t="str">
            <v>SEAL,AS2 DR,43"LG BENT DR BTM w/TIN PLT</v>
          </cell>
          <cell r="C2251" t="str">
            <v>EA</v>
          </cell>
          <cell r="D2251" t="str">
            <v>MA100</v>
          </cell>
          <cell r="E2251">
            <v>21.27</v>
          </cell>
          <cell r="G2251">
            <v>206468</v>
          </cell>
        </row>
        <row r="2252">
          <cell r="A2252" t="str">
            <v>206468-OP</v>
          </cell>
          <cell r="B2252" t="str">
            <v>SEAL,AS2 DR, 43" LG BENT DR BOTTOM/FAB</v>
          </cell>
          <cell r="C2252" t="str">
            <v>EA</v>
          </cell>
          <cell r="D2252" t="str">
            <v>MA100</v>
          </cell>
          <cell r="E2252">
            <v>14.57</v>
          </cell>
          <cell r="G2252" t="str">
            <v>206468-OP</v>
          </cell>
        </row>
        <row r="2253">
          <cell r="A2253" t="str">
            <v>206468-OP1</v>
          </cell>
          <cell r="B2253" t="str">
            <v>SEAL,AS2 DR, 43" LG BENT DR BTM/TIN PLT</v>
          </cell>
          <cell r="C2253" t="str">
            <v>EA</v>
          </cell>
          <cell r="D2253" t="str">
            <v>MA100</v>
          </cell>
          <cell r="E2253">
            <v>6.7</v>
          </cell>
          <cell r="G2253" t="str">
            <v>206468-OP1</v>
          </cell>
        </row>
        <row r="2254">
          <cell r="A2254">
            <v>206472</v>
          </cell>
          <cell r="B2254" t="str">
            <v>MANUAL,MEDVIZION ZXR</v>
          </cell>
          <cell r="C2254" t="str">
            <v>EA</v>
          </cell>
          <cell r="D2254" t="str">
            <v>RM100</v>
          </cell>
          <cell r="E2254">
            <v>0</v>
          </cell>
          <cell r="G2254">
            <v>206472</v>
          </cell>
        </row>
        <row r="2255">
          <cell r="A2255">
            <v>206487</v>
          </cell>
          <cell r="B2255" t="str">
            <v>SLIDE,RAIL,LINEAR,REDI-RAIL#RRS65</v>
          </cell>
          <cell r="C2255" t="str">
            <v>EA</v>
          </cell>
          <cell r="D2255" t="str">
            <v>RM100</v>
          </cell>
          <cell r="E2255">
            <v>193.93</v>
          </cell>
          <cell r="G2255">
            <v>206487</v>
          </cell>
        </row>
        <row r="2256">
          <cell r="A2256">
            <v>206532</v>
          </cell>
          <cell r="B2256" t="str">
            <v>ISLTR,THRD BS .5X77X5.87 OUTSWG PHENOLIC</v>
          </cell>
          <cell r="C2256" t="str">
            <v>EA</v>
          </cell>
          <cell r="D2256" t="str">
            <v>RM100</v>
          </cell>
          <cell r="E2256">
            <v>399</v>
          </cell>
          <cell r="G2256">
            <v>206532</v>
          </cell>
        </row>
        <row r="2257">
          <cell r="A2257">
            <v>206533</v>
          </cell>
          <cell r="B2257" t="str">
            <v>THRSLD,OSWG ADPT 74X2X1/2 AL W/TAPER</v>
          </cell>
          <cell r="C2257" t="str">
            <v>EA</v>
          </cell>
          <cell r="D2257" t="str">
            <v>RM100</v>
          </cell>
          <cell r="E2257">
            <v>156.02000000000001</v>
          </cell>
          <cell r="G2257">
            <v>206533</v>
          </cell>
        </row>
        <row r="2258">
          <cell r="A2258">
            <v>206534</v>
          </cell>
          <cell r="B2258" t="str">
            <v>CYL,AIR,3"STRKx2"DIA BIMBA #313-DXP*</v>
          </cell>
          <cell r="C2258" t="str">
            <v>EA</v>
          </cell>
          <cell r="D2258" t="str">
            <v>RM100</v>
          </cell>
          <cell r="E2258">
            <v>62.18</v>
          </cell>
          <cell r="G2258">
            <v>206534</v>
          </cell>
        </row>
        <row r="2259">
          <cell r="A2259">
            <v>206535</v>
          </cell>
          <cell r="B2259" t="str">
            <v>BRKT,PIVOT,BIMBA#D-620, 2"BORE</v>
          </cell>
          <cell r="C2259" t="str">
            <v>EA</v>
          </cell>
          <cell r="D2259" t="str">
            <v>RM100</v>
          </cell>
          <cell r="E2259">
            <v>5.55</v>
          </cell>
          <cell r="G2259">
            <v>206535</v>
          </cell>
        </row>
        <row r="2260">
          <cell r="A2260">
            <v>206539</v>
          </cell>
          <cell r="B2260" t="str">
            <v>HNG,SUPP,HINGE REINFORCEMENT</v>
          </cell>
          <cell r="C2260" t="str">
            <v>EA</v>
          </cell>
          <cell r="D2260" t="str">
            <v>RM100</v>
          </cell>
          <cell r="E2260">
            <v>9.4</v>
          </cell>
          <cell r="G2260">
            <v>206539</v>
          </cell>
        </row>
        <row r="2261">
          <cell r="A2261">
            <v>206554</v>
          </cell>
          <cell r="B2261" t="str">
            <v>CARRIER,HOSE,.95"X.76"X36"LG W/BRACKETS</v>
          </cell>
          <cell r="C2261" t="str">
            <v>EA</v>
          </cell>
          <cell r="D2261" t="str">
            <v>RM100</v>
          </cell>
          <cell r="E2261">
            <v>44</v>
          </cell>
          <cell r="G2261">
            <v>206554</v>
          </cell>
        </row>
        <row r="2262">
          <cell r="A2262" t="str">
            <v>206558A</v>
          </cell>
          <cell r="B2262" t="str">
            <v>TRIM,ALUM,ANG HNG SIDE ACOUS DR RH-LR*</v>
          </cell>
          <cell r="C2262" t="str">
            <v>EA</v>
          </cell>
          <cell r="D2262" t="str">
            <v>MA100</v>
          </cell>
          <cell r="E2262">
            <v>36.058</v>
          </cell>
          <cell r="G2262" t="str">
            <v>206558A</v>
          </cell>
        </row>
        <row r="2263">
          <cell r="A2263" t="str">
            <v>206558A-OP</v>
          </cell>
          <cell r="B2263" t="str">
            <v>PROCESS,FAB (ACOUS DR,TRIM ANG 84"HNG)RH</v>
          </cell>
          <cell r="C2263" t="str">
            <v>EA</v>
          </cell>
          <cell r="D2263" t="str">
            <v>MA100</v>
          </cell>
          <cell r="E2263">
            <v>28.5</v>
          </cell>
          <cell r="G2263" t="str">
            <v>206558A-OP</v>
          </cell>
        </row>
        <row r="2264">
          <cell r="A2264" t="str">
            <v>206559A</v>
          </cell>
          <cell r="B2264" t="str">
            <v>TRIM,ALUM, ANG HNG SIDE ACOUS DR LH-RR*</v>
          </cell>
          <cell r="C2264" t="str">
            <v>EA</v>
          </cell>
          <cell r="D2264" t="str">
            <v>MA100</v>
          </cell>
          <cell r="E2264">
            <v>36.058</v>
          </cell>
          <cell r="G2264" t="str">
            <v>206559A</v>
          </cell>
        </row>
        <row r="2265">
          <cell r="A2265" t="str">
            <v>206559A-OP</v>
          </cell>
          <cell r="B2265" t="str">
            <v>TRIM,ANG HNG SIDE ACOUS DR LH-RR*</v>
          </cell>
          <cell r="C2265" t="str">
            <v>EA</v>
          </cell>
          <cell r="D2265" t="str">
            <v>MA100</v>
          </cell>
          <cell r="E2265">
            <v>28.5</v>
          </cell>
          <cell r="G2265" t="str">
            <v>206559A-OP</v>
          </cell>
        </row>
        <row r="2266">
          <cell r="A2266" t="str">
            <v>206560A</v>
          </cell>
          <cell r="B2266" t="str">
            <v>TRIM, ALUM, ANG LATCH SIDE DR 84.31</v>
          </cell>
          <cell r="C2266" t="str">
            <v>EA</v>
          </cell>
          <cell r="D2266" t="str">
            <v>MA100</v>
          </cell>
          <cell r="E2266">
            <v>36.058</v>
          </cell>
          <cell r="G2266" t="str">
            <v>206560A</v>
          </cell>
        </row>
        <row r="2267">
          <cell r="A2267" t="str">
            <v>206560A-OP</v>
          </cell>
          <cell r="B2267" t="str">
            <v>PROCESS,FAB (ACOUS DR,TRIM ANG 84"LATCH)</v>
          </cell>
          <cell r="C2267" t="str">
            <v>EA</v>
          </cell>
          <cell r="D2267" t="str">
            <v>RM100</v>
          </cell>
          <cell r="E2267">
            <v>28.5</v>
          </cell>
          <cell r="G2267" t="str">
            <v>206560A-OP</v>
          </cell>
        </row>
        <row r="2268">
          <cell r="A2268" t="str">
            <v>206561A</v>
          </cell>
          <cell r="B2268" t="str">
            <v>TRIM, ALUM, ANG TOP  DR 48", 49.38 L</v>
          </cell>
          <cell r="C2268" t="str">
            <v>EA</v>
          </cell>
          <cell r="D2268" t="str">
            <v>MA100</v>
          </cell>
          <cell r="E2268">
            <v>25.779</v>
          </cell>
          <cell r="G2268" t="str">
            <v>206561A</v>
          </cell>
        </row>
        <row r="2269">
          <cell r="A2269" t="str">
            <v>206561A-op</v>
          </cell>
          <cell r="B2269" t="str">
            <v>PROCESS,FAB (ACOUS DR,TRIM ANG 48"TOP)</v>
          </cell>
          <cell r="C2269" t="str">
            <v>EA</v>
          </cell>
          <cell r="D2269" t="str">
            <v>MA100</v>
          </cell>
          <cell r="E2269">
            <v>22</v>
          </cell>
          <cell r="G2269" t="str">
            <v>206561A-op</v>
          </cell>
        </row>
        <row r="2270">
          <cell r="A2270" t="str">
            <v>206562A</v>
          </cell>
          <cell r="B2270" t="str">
            <v>TRIM, ALUM, BTM  DR 48",49.38 LG</v>
          </cell>
          <cell r="C2270" t="str">
            <v>EA</v>
          </cell>
          <cell r="D2270" t="str">
            <v>MA100</v>
          </cell>
          <cell r="E2270">
            <v>10.904</v>
          </cell>
          <cell r="G2270" t="str">
            <v>206562A</v>
          </cell>
        </row>
        <row r="2271">
          <cell r="A2271" t="str">
            <v>206562A-OP</v>
          </cell>
          <cell r="B2271" t="str">
            <v>PROCESS,FAB (ACOUS DR,BOTTOM TRIM 48")</v>
          </cell>
          <cell r="C2271" t="str">
            <v>EA</v>
          </cell>
          <cell r="D2271" t="str">
            <v>MA100</v>
          </cell>
          <cell r="E2271">
            <v>7.7</v>
          </cell>
          <cell r="G2271" t="str">
            <v>206562A-OP</v>
          </cell>
        </row>
        <row r="2272">
          <cell r="A2272">
            <v>206568</v>
          </cell>
          <cell r="B2272" t="str">
            <v>HNG,6" FOR ASII, DR</v>
          </cell>
          <cell r="C2272" t="str">
            <v>EA</v>
          </cell>
          <cell r="D2272" t="str">
            <v>RM100</v>
          </cell>
          <cell r="E2272">
            <v>32.340000000000003</v>
          </cell>
          <cell r="G2272">
            <v>206568</v>
          </cell>
        </row>
        <row r="2273">
          <cell r="A2273" t="str">
            <v>206568-03</v>
          </cell>
          <cell r="C2273" t="str">
            <v>EA</v>
          </cell>
          <cell r="D2273" t="str">
            <v>MA100</v>
          </cell>
          <cell r="E2273">
            <v>0</v>
          </cell>
          <cell r="G2273" t="str">
            <v>206568-03</v>
          </cell>
        </row>
        <row r="2274">
          <cell r="A2274">
            <v>206590</v>
          </cell>
          <cell r="B2274" t="str">
            <v>FNGR,SUP,AS2 BTM,1/8X3/4X49,304SS,48"DR</v>
          </cell>
          <cell r="C2274" t="str">
            <v>EA</v>
          </cell>
          <cell r="D2274" t="str">
            <v>RM100</v>
          </cell>
          <cell r="E2274">
            <v>35.5</v>
          </cell>
          <cell r="G2274">
            <v>206590</v>
          </cell>
        </row>
        <row r="2275">
          <cell r="A2275">
            <v>206594</v>
          </cell>
          <cell r="B2275" t="str">
            <v>DOOR,MEMB,ACOU,DOOR,BOTTOM(PUNCHED)</v>
          </cell>
          <cell r="C2275" t="str">
            <v>EA</v>
          </cell>
          <cell r="D2275" t="str">
            <v>MA100</v>
          </cell>
          <cell r="E2275">
            <v>9.0252499999999998</v>
          </cell>
          <cell r="G2275">
            <v>206594</v>
          </cell>
        </row>
        <row r="2276">
          <cell r="A2276" t="str">
            <v>206594-OP</v>
          </cell>
          <cell r="B2276" t="str">
            <v>DOOR,MEMB,ACOU,DR,BTM (INSERT STUDS)</v>
          </cell>
          <cell r="C2276" t="str">
            <v>EA</v>
          </cell>
          <cell r="D2276" t="str">
            <v>RM100</v>
          </cell>
          <cell r="E2276">
            <v>2.12</v>
          </cell>
          <cell r="G2276" t="str">
            <v>206594-OP</v>
          </cell>
        </row>
        <row r="2277">
          <cell r="A2277">
            <v>206595</v>
          </cell>
          <cell r="B2277" t="str">
            <v>COVER,DOOR MECHANISM 4' DOOR</v>
          </cell>
          <cell r="C2277" t="str">
            <v>EA</v>
          </cell>
          <cell r="D2277" t="str">
            <v>MA100</v>
          </cell>
          <cell r="E2277">
            <v>12.61666</v>
          </cell>
          <cell r="G2277">
            <v>206595</v>
          </cell>
        </row>
        <row r="2278">
          <cell r="A2278">
            <v>206598</v>
          </cell>
          <cell r="B2278" t="str">
            <v>OBSOLETE</v>
          </cell>
          <cell r="C2278" t="str">
            <v>EA</v>
          </cell>
          <cell r="D2278" t="str">
            <v>MA100</v>
          </cell>
          <cell r="E2278">
            <v>11.692130000000001</v>
          </cell>
          <cell r="G2278">
            <v>206598</v>
          </cell>
        </row>
        <row r="2279">
          <cell r="A2279">
            <v>206604</v>
          </cell>
          <cell r="B2279" t="str">
            <v>CVR,AS2 HNG COVER 7'DR LH</v>
          </cell>
          <cell r="C2279" t="str">
            <v>EA</v>
          </cell>
          <cell r="D2279" t="str">
            <v>RM100</v>
          </cell>
          <cell r="E2279">
            <v>35.51</v>
          </cell>
          <cell r="G2279">
            <v>206604</v>
          </cell>
        </row>
        <row r="2280">
          <cell r="A2280">
            <v>206605</v>
          </cell>
          <cell r="B2280" t="str">
            <v>CVR,AS2 HNG COVER 7'DR RH</v>
          </cell>
          <cell r="C2280" t="str">
            <v>EA</v>
          </cell>
          <cell r="D2280" t="str">
            <v>RM100</v>
          </cell>
          <cell r="E2280">
            <v>32.75</v>
          </cell>
          <cell r="G2280">
            <v>206605</v>
          </cell>
        </row>
        <row r="2281">
          <cell r="A2281">
            <v>206607</v>
          </cell>
          <cell r="B2281" t="str">
            <v>CVR,AS2 TOP COVER 4'DR</v>
          </cell>
          <cell r="C2281" t="str">
            <v>EA</v>
          </cell>
          <cell r="D2281" t="str">
            <v>RM100</v>
          </cell>
          <cell r="E2281">
            <v>19.62</v>
          </cell>
          <cell r="G2281">
            <v>206607</v>
          </cell>
        </row>
        <row r="2282">
          <cell r="A2282">
            <v>206610</v>
          </cell>
          <cell r="B2282" t="str">
            <v>CVR,AS2 LTH COVER 7'DR LH</v>
          </cell>
          <cell r="C2282" t="str">
            <v>EA</v>
          </cell>
          <cell r="D2282" t="str">
            <v>RM100</v>
          </cell>
          <cell r="E2282">
            <v>35.49</v>
          </cell>
          <cell r="G2282">
            <v>206610</v>
          </cell>
        </row>
        <row r="2283">
          <cell r="A2283">
            <v>206611</v>
          </cell>
          <cell r="B2283" t="str">
            <v>CVR,AS2 LTH COVER 7'DR RH</v>
          </cell>
          <cell r="C2283" t="str">
            <v>EA</v>
          </cell>
          <cell r="D2283" t="str">
            <v>RM100</v>
          </cell>
          <cell r="E2283">
            <v>35.49</v>
          </cell>
          <cell r="G2283">
            <v>206611</v>
          </cell>
        </row>
        <row r="2284">
          <cell r="A2284">
            <v>206618</v>
          </cell>
          <cell r="B2284" t="str">
            <v>GSKT, LEGACY#367AA,EVO36 (31.88")</v>
          </cell>
          <cell r="C2284" t="str">
            <v>EA</v>
          </cell>
          <cell r="D2284" t="str">
            <v>RM100</v>
          </cell>
          <cell r="E2284">
            <v>57.41</v>
          </cell>
          <cell r="G2284">
            <v>206618</v>
          </cell>
        </row>
        <row r="2285">
          <cell r="A2285">
            <v>206623</v>
          </cell>
          <cell r="B2285" t="str">
            <v>GSKT, LEGACY#367AA,THRHD,43-7/8,EVO</v>
          </cell>
          <cell r="C2285" t="str">
            <v>EA</v>
          </cell>
          <cell r="D2285" t="str">
            <v>RM100</v>
          </cell>
          <cell r="E2285">
            <v>68.319999999999993</v>
          </cell>
          <cell r="G2285">
            <v>206623</v>
          </cell>
        </row>
        <row r="2286">
          <cell r="A2286">
            <v>206625</v>
          </cell>
          <cell r="B2286" t="str">
            <v>DOOR,MEMB,AS2 ,BOTTOM SPRT,SWING DR#2</v>
          </cell>
          <cell r="C2286" t="str">
            <v>EA</v>
          </cell>
          <cell r="D2286" t="str">
            <v>MA100</v>
          </cell>
          <cell r="E2286">
            <v>3.2602500000000001</v>
          </cell>
          <cell r="G2286">
            <v>206625</v>
          </cell>
        </row>
        <row r="2287">
          <cell r="A2287">
            <v>206628</v>
          </cell>
          <cell r="B2287" t="str">
            <v>SEAL, ACOUS LEGACY #367AA DROP SEAL,24"</v>
          </cell>
          <cell r="C2287" t="str">
            <v>EA</v>
          </cell>
          <cell r="D2287" t="str">
            <v>RM100</v>
          </cell>
          <cell r="E2287">
            <v>57.41</v>
          </cell>
          <cell r="G2287">
            <v>206628</v>
          </cell>
        </row>
        <row r="2288">
          <cell r="A2288">
            <v>206633</v>
          </cell>
          <cell r="B2288" t="str">
            <v>GSKT,1/16x7'xlg Tech-Etch#2461-1011-0160</v>
          </cell>
          <cell r="C2288" t="str">
            <v>EA</v>
          </cell>
          <cell r="D2288" t="str">
            <v>RM100</v>
          </cell>
          <cell r="E2288">
            <v>6.88</v>
          </cell>
          <cell r="G2288">
            <v>206633</v>
          </cell>
        </row>
        <row r="2289">
          <cell r="A2289">
            <v>206635</v>
          </cell>
          <cell r="B2289" t="str">
            <v>GSKT, LEGACY#770AA, (1 SET) 4x7 C.O.</v>
          </cell>
          <cell r="C2289" t="str">
            <v>EA</v>
          </cell>
          <cell r="D2289" t="str">
            <v>RM100</v>
          </cell>
          <cell r="E2289">
            <v>243.81</v>
          </cell>
          <cell r="G2289">
            <v>206635</v>
          </cell>
        </row>
        <row r="2290">
          <cell r="A2290">
            <v>206636</v>
          </cell>
          <cell r="B2290" t="str">
            <v>GSKT, LEGACY#367AA,4' DR THRHD 45-3/4</v>
          </cell>
          <cell r="C2290" t="str">
            <v>EA</v>
          </cell>
          <cell r="D2290" t="str">
            <v>RM100</v>
          </cell>
          <cell r="E2290">
            <v>66.010000000000005</v>
          </cell>
          <cell r="G2290">
            <v>206636</v>
          </cell>
        </row>
        <row r="2291">
          <cell r="A2291">
            <v>206639</v>
          </cell>
          <cell r="B2291" t="str">
            <v>VLV,FR 1/4NPT FOR CMPRS AUTO-DRAIN *****</v>
          </cell>
          <cell r="C2291" t="str">
            <v>EA</v>
          </cell>
          <cell r="D2291" t="str">
            <v>RM100</v>
          </cell>
          <cell r="E2291">
            <v>22.11</v>
          </cell>
          <cell r="G2291">
            <v>206639</v>
          </cell>
        </row>
        <row r="2292">
          <cell r="A2292">
            <v>206640</v>
          </cell>
          <cell r="B2292" t="str">
            <v>VLV,CHECK,FOR COMPRESSOR DRAIN SYSTEM **</v>
          </cell>
          <cell r="C2292" t="str">
            <v>EA</v>
          </cell>
          <cell r="D2292" t="str">
            <v>RM100</v>
          </cell>
          <cell r="E2292">
            <v>13.86</v>
          </cell>
          <cell r="G2292">
            <v>206640</v>
          </cell>
        </row>
        <row r="2293">
          <cell r="A2293">
            <v>206641</v>
          </cell>
          <cell r="B2293" t="str">
            <v>VLV,2W,WATER VALVE FOR CMPRSSR DRAIN *</v>
          </cell>
          <cell r="C2293" t="str">
            <v>EA</v>
          </cell>
          <cell r="D2293" t="str">
            <v>RM100</v>
          </cell>
          <cell r="E2293">
            <v>39.36</v>
          </cell>
          <cell r="G2293">
            <v>206641</v>
          </cell>
        </row>
        <row r="2294">
          <cell r="A2294">
            <v>206645</v>
          </cell>
          <cell r="B2294" t="str">
            <v>FITTING,RED.,5/16TOTWO1/4 FESTO</v>
          </cell>
          <cell r="C2294" t="str">
            <v>EA</v>
          </cell>
          <cell r="D2294" t="str">
            <v>RM100</v>
          </cell>
          <cell r="E2294">
            <v>3.47</v>
          </cell>
          <cell r="G2294">
            <v>206645</v>
          </cell>
        </row>
        <row r="2295">
          <cell r="A2295">
            <v>206647</v>
          </cell>
          <cell r="B2295" t="str">
            <v>SEAL, ACOUS LEGACY #770AA x 7.5ft RH</v>
          </cell>
          <cell r="C2295" t="str">
            <v>EA</v>
          </cell>
          <cell r="D2295" t="str">
            <v>RM100</v>
          </cell>
          <cell r="E2295">
            <v>103.45</v>
          </cell>
          <cell r="G2295">
            <v>206647</v>
          </cell>
        </row>
        <row r="2296">
          <cell r="A2296">
            <v>206648</v>
          </cell>
          <cell r="B2296" t="str">
            <v>SEAL, ACOUS LEGACY #770AA x 4.5ft RH</v>
          </cell>
          <cell r="C2296" t="str">
            <v>EA</v>
          </cell>
          <cell r="D2296" t="str">
            <v>RM100</v>
          </cell>
          <cell r="E2296">
            <v>62.07</v>
          </cell>
          <cell r="G2296">
            <v>206648</v>
          </cell>
        </row>
        <row r="2297">
          <cell r="A2297">
            <v>206649</v>
          </cell>
          <cell r="B2297" t="str">
            <v>SEAL, ACOUS LEGACY #367AA DROP SEAL,38"</v>
          </cell>
          <cell r="C2297" t="str">
            <v>EA</v>
          </cell>
          <cell r="D2297" t="str">
            <v>RM100</v>
          </cell>
          <cell r="E2297">
            <v>66.010000000000005</v>
          </cell>
          <cell r="G2297">
            <v>206649</v>
          </cell>
        </row>
        <row r="2298">
          <cell r="A2298">
            <v>206650</v>
          </cell>
          <cell r="B2298" t="str">
            <v>SEAL, ACOUS LEGACY #326AA x 7 FT</v>
          </cell>
          <cell r="C2298" t="str">
            <v>EA</v>
          </cell>
          <cell r="D2298" t="str">
            <v>RM100</v>
          </cell>
          <cell r="E2298">
            <v>29.26</v>
          </cell>
          <cell r="G2298">
            <v>206650</v>
          </cell>
        </row>
        <row r="2299">
          <cell r="A2299">
            <v>206651</v>
          </cell>
          <cell r="B2299" t="str">
            <v>SEAL, ACOUS LEGACY #477AA x 4 FT</v>
          </cell>
          <cell r="C2299" t="str">
            <v>EA</v>
          </cell>
          <cell r="D2299" t="str">
            <v>RM100</v>
          </cell>
          <cell r="E2299">
            <v>15.5</v>
          </cell>
          <cell r="G2299">
            <v>206651</v>
          </cell>
        </row>
        <row r="2300">
          <cell r="A2300">
            <v>206652</v>
          </cell>
          <cell r="B2300" t="str">
            <v>SEAL, ACOUS LEGACY #53A x 7 FT</v>
          </cell>
          <cell r="C2300" t="str">
            <v>EA</v>
          </cell>
          <cell r="D2300" t="str">
            <v>RM100</v>
          </cell>
          <cell r="E2300">
            <v>30.37</v>
          </cell>
          <cell r="G2300">
            <v>206652</v>
          </cell>
        </row>
        <row r="2301">
          <cell r="A2301">
            <v>206653</v>
          </cell>
          <cell r="B2301" t="str">
            <v>BRKT,RH ACOUSTIC SEAL MNT 1.5"x1.5"x86"*</v>
          </cell>
          <cell r="C2301" t="str">
            <v>EA</v>
          </cell>
          <cell r="D2301" t="str">
            <v>RM100</v>
          </cell>
          <cell r="E2301">
            <v>112.5</v>
          </cell>
          <cell r="G2301">
            <v>206653</v>
          </cell>
        </row>
        <row r="2302">
          <cell r="A2302">
            <v>206654</v>
          </cell>
          <cell r="B2302" t="str">
            <v>BRKT,RH ACOUSTIC SEAL MNT 1.5"x1.5"x50"*</v>
          </cell>
          <cell r="C2302" t="str">
            <v>EA</v>
          </cell>
          <cell r="D2302" t="str">
            <v>RM100</v>
          </cell>
          <cell r="E2302">
            <v>85</v>
          </cell>
          <cell r="G2302">
            <v>206654</v>
          </cell>
        </row>
        <row r="2303">
          <cell r="A2303">
            <v>206658</v>
          </cell>
          <cell r="B2303" t="str">
            <v>LBL, ON BOTTLE OF CMPRSR DRAIN SYSTEM</v>
          </cell>
          <cell r="C2303" t="str">
            <v>EA</v>
          </cell>
          <cell r="D2303" t="str">
            <v>RM100</v>
          </cell>
          <cell r="E2303">
            <v>4.08</v>
          </cell>
          <cell r="G2303">
            <v>206658</v>
          </cell>
        </row>
        <row r="2304">
          <cell r="A2304">
            <v>206659</v>
          </cell>
          <cell r="B2304" t="str">
            <v>BOX,PROTECTIVE COMPRESSOR SHIPPER PACK *</v>
          </cell>
          <cell r="C2304" t="str">
            <v>EA</v>
          </cell>
          <cell r="D2304" t="str">
            <v>RM100</v>
          </cell>
          <cell r="E2304">
            <v>28.22</v>
          </cell>
          <cell r="G2304">
            <v>206659</v>
          </cell>
        </row>
        <row r="2305">
          <cell r="A2305">
            <v>206661</v>
          </cell>
          <cell r="B2305" t="str">
            <v>RLY,SPDT,24VDC ALLIED#850-0372</v>
          </cell>
          <cell r="C2305" t="str">
            <v>EA</v>
          </cell>
          <cell r="D2305" t="str">
            <v>RM100</v>
          </cell>
          <cell r="E2305">
            <v>8.61</v>
          </cell>
          <cell r="G2305">
            <v>206661</v>
          </cell>
        </row>
        <row r="2306">
          <cell r="A2306">
            <v>206662</v>
          </cell>
          <cell r="B2306" t="str">
            <v>LCK,SCHLG KEYED,2"DOOR CLASSROOM LOCK *</v>
          </cell>
          <cell r="C2306" t="str">
            <v>EA</v>
          </cell>
          <cell r="D2306" t="str">
            <v>RM100</v>
          </cell>
          <cell r="E2306">
            <v>286.82</v>
          </cell>
          <cell r="G2306">
            <v>206662</v>
          </cell>
        </row>
        <row r="2307">
          <cell r="A2307">
            <v>206663</v>
          </cell>
          <cell r="B2307" t="str">
            <v>PLATE, MOUNTING FOR LINE DRY VALVE</v>
          </cell>
          <cell r="C2307" t="str">
            <v>EA</v>
          </cell>
          <cell r="D2307" t="str">
            <v>MA100</v>
          </cell>
          <cell r="E2307">
            <v>2.9329000000000001</v>
          </cell>
          <cell r="G2307">
            <v>206663</v>
          </cell>
        </row>
        <row r="2308">
          <cell r="A2308">
            <v>206664</v>
          </cell>
          <cell r="B2308" t="str">
            <v>BLOCK,ALUM ACTIVATION 1/2"x1/2"x1"</v>
          </cell>
          <cell r="C2308" t="str">
            <v>EA</v>
          </cell>
          <cell r="D2308" t="str">
            <v>RM100</v>
          </cell>
          <cell r="E2308">
            <v>57.5</v>
          </cell>
          <cell r="G2308">
            <v>206664</v>
          </cell>
        </row>
        <row r="2309">
          <cell r="A2309">
            <v>206666</v>
          </cell>
          <cell r="B2309" t="str">
            <v>DOWEL,1/8x1/2LG 18-8SS MCM#90145A471</v>
          </cell>
          <cell r="C2309" t="str">
            <v>EA</v>
          </cell>
          <cell r="D2309" t="str">
            <v>RM100</v>
          </cell>
          <cell r="E2309">
            <v>0.16059999999999999</v>
          </cell>
          <cell r="G2309">
            <v>206666</v>
          </cell>
        </row>
        <row r="2310">
          <cell r="A2310">
            <v>206670</v>
          </cell>
          <cell r="B2310" t="str">
            <v>SENSOR,PHOTOELECTRIC,BAUMER#FHDK07N6901</v>
          </cell>
          <cell r="C2310" t="str">
            <v>EA</v>
          </cell>
          <cell r="D2310" t="str">
            <v>RM100</v>
          </cell>
          <cell r="E2310">
            <v>199.92</v>
          </cell>
          <cell r="G2310">
            <v>206670</v>
          </cell>
        </row>
        <row r="2311">
          <cell r="A2311">
            <v>206671</v>
          </cell>
          <cell r="B2311" t="str">
            <v>SPACER,INSTALL SPACER FOR AS2</v>
          </cell>
          <cell r="C2311" t="str">
            <v>EA</v>
          </cell>
          <cell r="D2311" t="str">
            <v>MA100</v>
          </cell>
          <cell r="E2311">
            <v>15.87079</v>
          </cell>
          <cell r="G2311">
            <v>206671</v>
          </cell>
        </row>
        <row r="2312">
          <cell r="A2312">
            <v>206674</v>
          </cell>
          <cell r="B2312" t="str">
            <v>SEAL, ACOUS LEGACY #770AA x 7.5ft LH</v>
          </cell>
          <cell r="C2312" t="str">
            <v>EA</v>
          </cell>
          <cell r="D2312" t="str">
            <v>MA100</v>
          </cell>
          <cell r="E2312">
            <v>109.66200000000001</v>
          </cell>
          <cell r="G2312">
            <v>206674</v>
          </cell>
        </row>
        <row r="2313">
          <cell r="A2313">
            <v>206675</v>
          </cell>
          <cell r="B2313" t="str">
            <v>BRKT,LH ACOUSTIC SEAL MNT, 1.5"x1.5"x86*</v>
          </cell>
          <cell r="C2313" t="str">
            <v>EA</v>
          </cell>
          <cell r="D2313" t="str">
            <v>MA100</v>
          </cell>
          <cell r="E2313">
            <v>70.89</v>
          </cell>
          <cell r="G2313">
            <v>206675</v>
          </cell>
        </row>
        <row r="2314">
          <cell r="A2314">
            <v>206676</v>
          </cell>
          <cell r="B2314" t="str">
            <v>SEAL,ACOUS LEGACY #770AA x 4.5ft LH*</v>
          </cell>
          <cell r="C2314" t="str">
            <v>EA</v>
          </cell>
          <cell r="D2314" t="str">
            <v>MA100</v>
          </cell>
          <cell r="E2314">
            <v>65.808000000000007</v>
          </cell>
          <cell r="G2314">
            <v>206676</v>
          </cell>
        </row>
        <row r="2315">
          <cell r="A2315">
            <v>206677</v>
          </cell>
          <cell r="B2315" t="str">
            <v>BRKT,LH ACOUSTIC SEAL MNT, 1.5"x1.5"x50*</v>
          </cell>
          <cell r="C2315" t="str">
            <v>EA</v>
          </cell>
          <cell r="D2315" t="str">
            <v>MA100</v>
          </cell>
          <cell r="E2315">
            <v>117.75</v>
          </cell>
          <cell r="G2315">
            <v>206677</v>
          </cell>
        </row>
        <row r="2316">
          <cell r="A2316">
            <v>206681</v>
          </cell>
          <cell r="B2316" t="str">
            <v>FERRULE,10 COND. X 24 AWG</v>
          </cell>
          <cell r="C2316" t="str">
            <v>EA</v>
          </cell>
          <cell r="D2316" t="str">
            <v>MA440</v>
          </cell>
          <cell r="E2316">
            <v>47.95</v>
          </cell>
          <cell r="G2316">
            <v>206681</v>
          </cell>
        </row>
        <row r="2317">
          <cell r="A2317">
            <v>206682</v>
          </cell>
          <cell r="B2317" t="str">
            <v>CONTRLR,TIMER, TELEMECANIQUE#RE17RLMU</v>
          </cell>
          <cell r="C2317" t="str">
            <v>EA</v>
          </cell>
          <cell r="D2317" t="str">
            <v>RM100</v>
          </cell>
          <cell r="E2317">
            <v>37.97</v>
          </cell>
          <cell r="G2317">
            <v>206682</v>
          </cell>
        </row>
        <row r="2318">
          <cell r="A2318">
            <v>206683</v>
          </cell>
          <cell r="B2318" t="str">
            <v>BOX,4X4X3 GAL HOFFMAN#ASG4X4X3NK W/COVER</v>
          </cell>
          <cell r="C2318" t="str">
            <v>EA</v>
          </cell>
          <cell r="D2318" t="str">
            <v>RM100</v>
          </cell>
          <cell r="E2318">
            <v>13.92</v>
          </cell>
          <cell r="G2318">
            <v>206683</v>
          </cell>
        </row>
        <row r="2319">
          <cell r="A2319">
            <v>206684</v>
          </cell>
          <cell r="B2319" t="str">
            <v>RAIL,PHOENIX#0801733 SLOTTED 2METER</v>
          </cell>
          <cell r="C2319" t="str">
            <v>EA</v>
          </cell>
          <cell r="D2319" t="str">
            <v>RM100</v>
          </cell>
          <cell r="E2319">
            <v>17.04</v>
          </cell>
          <cell r="G2319">
            <v>206684</v>
          </cell>
        </row>
        <row r="2320">
          <cell r="A2320">
            <v>206685</v>
          </cell>
          <cell r="B2320" t="str">
            <v>BOX, ELEC TIMER W/COVER 4X4X3</v>
          </cell>
          <cell r="C2320" t="str">
            <v>EA</v>
          </cell>
          <cell r="D2320" t="str">
            <v>MA100</v>
          </cell>
          <cell r="E2320">
            <v>13.92</v>
          </cell>
          <cell r="G2320">
            <v>206685</v>
          </cell>
        </row>
        <row r="2321">
          <cell r="A2321">
            <v>206686</v>
          </cell>
          <cell r="B2321" t="str">
            <v>CLAMP,BOTTLE HOLDER FOR DRAIN SYSETM</v>
          </cell>
          <cell r="C2321" t="str">
            <v>EA</v>
          </cell>
          <cell r="D2321" t="str">
            <v>RM100</v>
          </cell>
          <cell r="E2321">
            <v>1.36</v>
          </cell>
          <cell r="G2321">
            <v>206686</v>
          </cell>
        </row>
        <row r="2322">
          <cell r="A2322">
            <v>206689</v>
          </cell>
          <cell r="B2322" t="str">
            <v>CORD,COVER KEYDESK#K-DL38A</v>
          </cell>
          <cell r="C2322" t="str">
            <v>EA</v>
          </cell>
          <cell r="D2322" t="str">
            <v>RM100</v>
          </cell>
          <cell r="E2322">
            <v>20.25</v>
          </cell>
          <cell r="G2322">
            <v>206689</v>
          </cell>
        </row>
        <row r="2323">
          <cell r="A2323">
            <v>206690</v>
          </cell>
          <cell r="B2323" t="str">
            <v>KIT, AS2, JAMB COVER</v>
          </cell>
          <cell r="C2323" t="str">
            <v>EA</v>
          </cell>
          <cell r="D2323" t="str">
            <v>MA100</v>
          </cell>
          <cell r="E2323">
            <v>191.73823999999999</v>
          </cell>
          <cell r="G2323">
            <v>206690</v>
          </cell>
        </row>
        <row r="2324">
          <cell r="A2324">
            <v>206692</v>
          </cell>
          <cell r="B2324" t="str">
            <v>CMPRSR,1.5GALON, 50Hz-220VAC PUMA#LA5706</v>
          </cell>
          <cell r="C2324" t="str">
            <v>EA</v>
          </cell>
          <cell r="D2324" t="str">
            <v>RM100</v>
          </cell>
          <cell r="E2324">
            <v>148.5</v>
          </cell>
          <cell r="G2324">
            <v>206692</v>
          </cell>
        </row>
        <row r="2325">
          <cell r="A2325">
            <v>206693</v>
          </cell>
          <cell r="B2325" t="str">
            <v>SUP,LATCH SUPP &amp; DOOR LABEL</v>
          </cell>
          <cell r="C2325" t="str">
            <v>EA</v>
          </cell>
          <cell r="D2325" t="str">
            <v>MA100</v>
          </cell>
          <cell r="E2325">
            <v>1.39E-3</v>
          </cell>
          <cell r="G2325">
            <v>206693</v>
          </cell>
        </row>
        <row r="2326">
          <cell r="A2326">
            <v>206694</v>
          </cell>
          <cell r="B2326" t="str">
            <v>DR,MEMB,AS2 TOP ADITIONAL SUPPORT</v>
          </cell>
          <cell r="C2326" t="str">
            <v>EA</v>
          </cell>
          <cell r="D2326" t="str">
            <v>MA100</v>
          </cell>
          <cell r="E2326">
            <v>20.933</v>
          </cell>
          <cell r="G2326">
            <v>206694</v>
          </cell>
        </row>
        <row r="2327">
          <cell r="A2327">
            <v>206695</v>
          </cell>
          <cell r="B2327" t="str">
            <v>SUP,DOOR LABEL - JAMB CONNECTION</v>
          </cell>
          <cell r="C2327" t="str">
            <v>EA</v>
          </cell>
          <cell r="D2327" t="str">
            <v>MA100</v>
          </cell>
          <cell r="E2327">
            <v>15.012259999999999</v>
          </cell>
          <cell r="G2327">
            <v>206695</v>
          </cell>
        </row>
        <row r="2328">
          <cell r="A2328">
            <v>206696</v>
          </cell>
          <cell r="B2328" t="str">
            <v>COVER,AS2 JB-ORGNL RM INTERFACE, SIDE</v>
          </cell>
          <cell r="C2328" t="str">
            <v>EA</v>
          </cell>
          <cell r="D2328" t="str">
            <v>MA100</v>
          </cell>
          <cell r="E2328">
            <v>74.790210000000002</v>
          </cell>
          <cell r="G2328">
            <v>206696</v>
          </cell>
        </row>
        <row r="2329">
          <cell r="A2329">
            <v>206697</v>
          </cell>
          <cell r="B2329" t="str">
            <v>COVER,AS2 JB-ORGNL RM INTERFACE, TOP</v>
          </cell>
          <cell r="C2329" t="str">
            <v>EA</v>
          </cell>
          <cell r="D2329" t="str">
            <v>MA100</v>
          </cell>
          <cell r="E2329">
            <v>22.985489999999999</v>
          </cell>
          <cell r="G2329">
            <v>206697</v>
          </cell>
        </row>
        <row r="2330">
          <cell r="A2330">
            <v>206698</v>
          </cell>
          <cell r="B2330" t="str">
            <v>BRKT, Z FOR BOX MNTG COOPER B-LI#B7105 *</v>
          </cell>
          <cell r="C2330" t="str">
            <v>EA</v>
          </cell>
          <cell r="D2330" t="str">
            <v>RM100</v>
          </cell>
          <cell r="E2330">
            <v>0.88</v>
          </cell>
          <cell r="G2330">
            <v>206698</v>
          </cell>
        </row>
        <row r="2331">
          <cell r="A2331">
            <v>206743</v>
          </cell>
          <cell r="B2331" t="str">
            <v>LBL,AS2 ,NAME PLATE, LH</v>
          </cell>
          <cell r="C2331" t="str">
            <v>EA</v>
          </cell>
          <cell r="D2331" t="str">
            <v>RM100</v>
          </cell>
          <cell r="E2331">
            <v>6.59</v>
          </cell>
          <cell r="G2331">
            <v>206743</v>
          </cell>
        </row>
        <row r="2332">
          <cell r="A2332" t="str">
            <v>206743-EVO</v>
          </cell>
          <cell r="B2332" t="str">
            <v>LBL,EVO,NAME PLATE, LH</v>
          </cell>
          <cell r="C2332" t="str">
            <v>EA</v>
          </cell>
          <cell r="D2332" t="str">
            <v>RM100</v>
          </cell>
          <cell r="E2332">
            <v>6.59</v>
          </cell>
          <cell r="G2332" t="str">
            <v>206743-EVO</v>
          </cell>
        </row>
        <row r="2333">
          <cell r="A2333">
            <v>206744</v>
          </cell>
          <cell r="B2333" t="str">
            <v>LBL,AS2,NAME PLATE, RH</v>
          </cell>
          <cell r="C2333" t="str">
            <v>EA</v>
          </cell>
          <cell r="D2333" t="str">
            <v>RM100</v>
          </cell>
          <cell r="E2333">
            <v>6.59</v>
          </cell>
          <cell r="G2333">
            <v>206744</v>
          </cell>
        </row>
        <row r="2334">
          <cell r="A2334" t="str">
            <v>206744-EVO</v>
          </cell>
          <cell r="B2334" t="str">
            <v>LBL,EVO,NAME PLATE,RH</v>
          </cell>
          <cell r="C2334" t="str">
            <v>EA</v>
          </cell>
          <cell r="D2334" t="str">
            <v>RM100</v>
          </cell>
          <cell r="E2334">
            <v>6.59</v>
          </cell>
          <cell r="G2334" t="str">
            <v>206744-EVO</v>
          </cell>
        </row>
        <row r="2335">
          <cell r="A2335">
            <v>206745</v>
          </cell>
          <cell r="B2335" t="str">
            <v>LBL, CMPRS AUTODRAIN SYSTEM WARANTY WAR*</v>
          </cell>
          <cell r="C2335" t="str">
            <v>EA</v>
          </cell>
          <cell r="D2335" t="str">
            <v>RM100</v>
          </cell>
          <cell r="E2335">
            <v>0.99399999999999999</v>
          </cell>
          <cell r="G2335">
            <v>206745</v>
          </cell>
        </row>
        <row r="2336">
          <cell r="A2336">
            <v>206746</v>
          </cell>
          <cell r="B2336" t="str">
            <v>CPLG, SECURING CYLINDER ON LOCK **</v>
          </cell>
          <cell r="C2336" t="str">
            <v>EA</v>
          </cell>
          <cell r="D2336" t="str">
            <v>RM100</v>
          </cell>
          <cell r="E2336">
            <v>16.399999999999999</v>
          </cell>
          <cell r="G2336">
            <v>206746</v>
          </cell>
        </row>
        <row r="2337">
          <cell r="A2337">
            <v>206747</v>
          </cell>
          <cell r="B2337" t="str">
            <v>CPLG,CONNECTING CYLINDER AND LOCK LATCH*</v>
          </cell>
          <cell r="C2337" t="str">
            <v>EA</v>
          </cell>
          <cell r="D2337" t="str">
            <v>RM100</v>
          </cell>
          <cell r="E2337">
            <v>48.263309999999997</v>
          </cell>
          <cell r="G2337">
            <v>206747</v>
          </cell>
        </row>
        <row r="2338">
          <cell r="A2338">
            <v>206748</v>
          </cell>
          <cell r="B2338" t="str">
            <v>CYL,9/16BORE 1/2"STR BIMBA#020-1/2-R**</v>
          </cell>
          <cell r="C2338" t="str">
            <v>EA</v>
          </cell>
          <cell r="D2338" t="str">
            <v>RM100</v>
          </cell>
          <cell r="E2338">
            <v>24.52</v>
          </cell>
          <cell r="G2338">
            <v>206748</v>
          </cell>
        </row>
        <row r="2339">
          <cell r="A2339">
            <v>206749</v>
          </cell>
          <cell r="B2339" t="str">
            <v>PLATE,MOUNTING,DBL.DR.S/S,IMRIS</v>
          </cell>
          <cell r="C2339" t="str">
            <v>EA</v>
          </cell>
          <cell r="D2339" t="str">
            <v>RM100</v>
          </cell>
          <cell r="E2339">
            <v>89.11</v>
          </cell>
          <cell r="G2339">
            <v>206749</v>
          </cell>
        </row>
        <row r="2340">
          <cell r="A2340">
            <v>206752</v>
          </cell>
          <cell r="B2340" t="str">
            <v>RAIL,LINEAR,REDI-RAIL#RR65,2400mm=94.5"</v>
          </cell>
          <cell r="C2340" t="str">
            <v>EA</v>
          </cell>
          <cell r="D2340" t="str">
            <v>RM100</v>
          </cell>
          <cell r="E2340">
            <v>206.58699999999999</v>
          </cell>
          <cell r="G2340">
            <v>206752</v>
          </cell>
        </row>
        <row r="2341">
          <cell r="A2341">
            <v>206763</v>
          </cell>
          <cell r="B2341" t="str">
            <v>PLUG,NICKEL PL STL MCM#9563K84 FOR 7/16*</v>
          </cell>
          <cell r="C2341" t="str">
            <v>EA</v>
          </cell>
          <cell r="D2341" t="str">
            <v>RM100</v>
          </cell>
          <cell r="E2341">
            <v>0.23319999999999999</v>
          </cell>
          <cell r="G2341">
            <v>206763</v>
          </cell>
        </row>
        <row r="2342">
          <cell r="A2342">
            <v>206766</v>
          </cell>
          <cell r="B2342" t="str">
            <v>CARRIER,HOSE,1.37"x3.66x48"LG,W/BRKTS*</v>
          </cell>
          <cell r="C2342" t="str">
            <v>EA</v>
          </cell>
          <cell r="D2342" t="str">
            <v>RM100</v>
          </cell>
          <cell r="E2342">
            <v>44.88</v>
          </cell>
          <cell r="G2342">
            <v>206766</v>
          </cell>
        </row>
        <row r="2343">
          <cell r="A2343">
            <v>206767</v>
          </cell>
          <cell r="B2343" t="str">
            <v>CAM,LIMIT SWITCH,ADJUSTABLE,S.S.</v>
          </cell>
          <cell r="C2343" t="str">
            <v>EA</v>
          </cell>
          <cell r="D2343" t="str">
            <v>RM100</v>
          </cell>
          <cell r="E2343">
            <v>28.29</v>
          </cell>
          <cell r="G2343">
            <v>206767</v>
          </cell>
        </row>
        <row r="2344">
          <cell r="A2344">
            <v>206770</v>
          </cell>
          <cell r="B2344" t="str">
            <v>SPLICE,DOUBLE BLADDER,.66"DIA X 1"LONG</v>
          </cell>
          <cell r="C2344" t="str">
            <v>EA</v>
          </cell>
          <cell r="D2344" t="str">
            <v>RM100</v>
          </cell>
          <cell r="E2344">
            <v>0.64400000000000002</v>
          </cell>
          <cell r="G2344">
            <v>206770</v>
          </cell>
        </row>
        <row r="2345">
          <cell r="A2345">
            <v>206773</v>
          </cell>
          <cell r="B2345" t="str">
            <v>SWI,LIMIT,SEALED ROLLER PLUNGER*</v>
          </cell>
          <cell r="C2345" t="str">
            <v>EA</v>
          </cell>
          <cell r="D2345" t="str">
            <v>RM100</v>
          </cell>
          <cell r="E2345">
            <v>62</v>
          </cell>
          <cell r="G2345">
            <v>206773</v>
          </cell>
        </row>
        <row r="2346">
          <cell r="A2346">
            <v>206775</v>
          </cell>
          <cell r="B2346" t="str">
            <v>HLDR, TIE MOUNT 3/4x3/4 BLACK</v>
          </cell>
          <cell r="C2346" t="str">
            <v>EA</v>
          </cell>
          <cell r="D2346" t="str">
            <v>RM100</v>
          </cell>
          <cell r="E2346">
            <v>0.13469999999999999</v>
          </cell>
          <cell r="G2346">
            <v>206775</v>
          </cell>
        </row>
        <row r="2347">
          <cell r="A2347">
            <v>206776</v>
          </cell>
          <cell r="B2347" t="str">
            <v>HLDR, TIE MOUNT 1"x1" BLACK</v>
          </cell>
          <cell r="C2347" t="str">
            <v>EA</v>
          </cell>
          <cell r="D2347" t="str">
            <v>RM100</v>
          </cell>
          <cell r="E2347">
            <v>0.1852</v>
          </cell>
          <cell r="G2347">
            <v>206776</v>
          </cell>
        </row>
        <row r="2348">
          <cell r="A2348">
            <v>206783</v>
          </cell>
          <cell r="B2348" t="str">
            <v>LBL,AS2 STD DOOR POWER SUPPLY LABEL 3</v>
          </cell>
          <cell r="C2348" t="str">
            <v>EA</v>
          </cell>
          <cell r="D2348" t="str">
            <v>RM100</v>
          </cell>
          <cell r="E2348">
            <v>0.2</v>
          </cell>
          <cell r="G2348">
            <v>206783</v>
          </cell>
        </row>
        <row r="2349">
          <cell r="A2349">
            <v>206784</v>
          </cell>
          <cell r="B2349" t="str">
            <v>LBL, ON CMPRSR MAX PRESURE OUTPUT 100PSI</v>
          </cell>
          <cell r="C2349" t="str">
            <v>EA</v>
          </cell>
          <cell r="D2349" t="str">
            <v>RM100</v>
          </cell>
          <cell r="E2349">
            <v>0.26800000000000002</v>
          </cell>
          <cell r="G2349">
            <v>206784</v>
          </cell>
        </row>
        <row r="2350">
          <cell r="A2350">
            <v>206786</v>
          </cell>
          <cell r="B2350" t="str">
            <v>COVER,JB-ORGNL RM INTERFACE, TOP 3' DR</v>
          </cell>
          <cell r="C2350" t="str">
            <v>EA</v>
          </cell>
          <cell r="D2350" t="str">
            <v>MA100</v>
          </cell>
          <cell r="E2350">
            <v>65.64649</v>
          </cell>
          <cell r="G2350">
            <v>206786</v>
          </cell>
        </row>
        <row r="2351">
          <cell r="A2351">
            <v>206790</v>
          </cell>
          <cell r="B2351" t="str">
            <v>BASE,WOOD BASE FOR TRANSPORT ASSY</v>
          </cell>
          <cell r="C2351" t="str">
            <v>EA</v>
          </cell>
          <cell r="D2351" t="str">
            <v>MA100</v>
          </cell>
          <cell r="E2351">
            <v>32.441800000000001</v>
          </cell>
          <cell r="G2351">
            <v>206790</v>
          </cell>
        </row>
        <row r="2352">
          <cell r="A2352">
            <v>206792</v>
          </cell>
          <cell r="B2352" t="str">
            <v>LBL,RF DOOR ETS-LINDGREN</v>
          </cell>
          <cell r="C2352" t="str">
            <v>EA</v>
          </cell>
          <cell r="D2352" t="str">
            <v>RM100</v>
          </cell>
          <cell r="E2352">
            <v>0.313</v>
          </cell>
          <cell r="G2352">
            <v>206792</v>
          </cell>
        </row>
        <row r="2353">
          <cell r="A2353">
            <v>206793</v>
          </cell>
          <cell r="B2353" t="str">
            <v>LBL,E-STOP OPERATE INSTRUCTIONS</v>
          </cell>
          <cell r="C2353" t="str">
            <v>EA</v>
          </cell>
          <cell r="D2353" t="str">
            <v>RM100</v>
          </cell>
          <cell r="E2353">
            <v>0.28999999999999998</v>
          </cell>
          <cell r="G2353">
            <v>206793</v>
          </cell>
        </row>
        <row r="2354">
          <cell r="A2354">
            <v>206794</v>
          </cell>
          <cell r="B2354" t="str">
            <v>OBSOLETE</v>
          </cell>
          <cell r="C2354" t="str">
            <v>EA</v>
          </cell>
          <cell r="D2354" t="str">
            <v>RM100</v>
          </cell>
          <cell r="E2354">
            <v>37.56</v>
          </cell>
          <cell r="G2354">
            <v>206794</v>
          </cell>
        </row>
        <row r="2355">
          <cell r="A2355">
            <v>206815</v>
          </cell>
          <cell r="B2355" t="str">
            <v>FITTING,REDUCING,1/4"TUBE TO 1/8"TUBE</v>
          </cell>
          <cell r="C2355" t="str">
            <v>EA</v>
          </cell>
          <cell r="D2355" t="str">
            <v>RM100</v>
          </cell>
          <cell r="E2355">
            <v>2.06</v>
          </cell>
          <cell r="G2355">
            <v>206815</v>
          </cell>
        </row>
        <row r="2356">
          <cell r="A2356">
            <v>206817</v>
          </cell>
          <cell r="B2356" t="str">
            <v>FITTING,CONN,1/8"TUBE TO 1/8"NPT</v>
          </cell>
          <cell r="C2356" t="str">
            <v>EA</v>
          </cell>
          <cell r="D2356" t="str">
            <v>RM100</v>
          </cell>
          <cell r="E2356">
            <v>1.02</v>
          </cell>
          <cell r="G2356">
            <v>206817</v>
          </cell>
        </row>
        <row r="2357">
          <cell r="A2357">
            <v>206820</v>
          </cell>
          <cell r="B2357" t="str">
            <v>FITTING,ELBOW,MALE,3/8"TUBE,3/8"NPT</v>
          </cell>
          <cell r="C2357" t="str">
            <v>EA</v>
          </cell>
          <cell r="D2357" t="str">
            <v>RM100</v>
          </cell>
          <cell r="E2357">
            <v>2.38</v>
          </cell>
          <cell r="G2357">
            <v>206820</v>
          </cell>
        </row>
        <row r="2358">
          <cell r="A2358">
            <v>206825</v>
          </cell>
          <cell r="B2358" t="str">
            <v>FITTING,10-32X5/32 TUBE 90 SWVL MALE EL</v>
          </cell>
          <cell r="C2358" t="str">
            <v>EA</v>
          </cell>
          <cell r="D2358" t="str">
            <v>RM100</v>
          </cell>
          <cell r="E2358">
            <v>1.32</v>
          </cell>
          <cell r="G2358">
            <v>206825</v>
          </cell>
        </row>
        <row r="2359">
          <cell r="A2359">
            <v>206835</v>
          </cell>
          <cell r="B2359" t="str">
            <v>FITTING,ELBOW,UNION,3/8"TUBE X 3/8"TUBE*</v>
          </cell>
          <cell r="C2359" t="str">
            <v>EA</v>
          </cell>
          <cell r="D2359" t="str">
            <v>RM100</v>
          </cell>
          <cell r="E2359">
            <v>2.67</v>
          </cell>
          <cell r="G2359">
            <v>206835</v>
          </cell>
        </row>
        <row r="2360">
          <cell r="A2360">
            <v>206836</v>
          </cell>
          <cell r="B2360" t="str">
            <v>FITTING,ELBOW,UNION,1/4"TUBE X 1/4"TUBE*</v>
          </cell>
          <cell r="C2360" t="str">
            <v>EA</v>
          </cell>
          <cell r="D2360" t="str">
            <v>RM100</v>
          </cell>
          <cell r="E2360">
            <v>1.72</v>
          </cell>
          <cell r="G2360">
            <v>206836</v>
          </cell>
        </row>
        <row r="2361">
          <cell r="A2361">
            <v>206840</v>
          </cell>
          <cell r="B2361" t="str">
            <v>ASSY,PUSHPAD,KEYED SWTCH,IMRIS,W/FILTR</v>
          </cell>
          <cell r="C2361" t="str">
            <v>EA</v>
          </cell>
          <cell r="D2361" t="str">
            <v>MA100</v>
          </cell>
          <cell r="E2361">
            <v>245.13229999999999</v>
          </cell>
          <cell r="G2361">
            <v>206840</v>
          </cell>
        </row>
        <row r="2362">
          <cell r="A2362">
            <v>206841</v>
          </cell>
          <cell r="B2362" t="str">
            <v>ASSY,PUSHBUTTON, DP,ST **</v>
          </cell>
          <cell r="C2362" t="str">
            <v>EA</v>
          </cell>
          <cell r="D2362" t="str">
            <v>RM100</v>
          </cell>
          <cell r="E2362">
            <v>90.51</v>
          </cell>
          <cell r="G2362">
            <v>206841</v>
          </cell>
        </row>
        <row r="2363">
          <cell r="A2363">
            <v>206842</v>
          </cell>
          <cell r="B2363" t="str">
            <v>J-BOX,FACEPLT SNG GANG BOX W/22mm HOLE**</v>
          </cell>
          <cell r="C2363" t="str">
            <v>EA</v>
          </cell>
          <cell r="D2363" t="str">
            <v>RM100</v>
          </cell>
          <cell r="E2363">
            <v>2.9077000000000002</v>
          </cell>
          <cell r="G2363">
            <v>206842</v>
          </cell>
        </row>
        <row r="2364">
          <cell r="A2364">
            <v>206843</v>
          </cell>
          <cell r="B2364" t="str">
            <v>J-BOX,FACEPLT SNG GANG BOX W/30mm HOLE**</v>
          </cell>
          <cell r="C2364" t="str">
            <v>EA</v>
          </cell>
          <cell r="D2364" t="str">
            <v>RM100</v>
          </cell>
          <cell r="E2364">
            <v>3.2071999999999998</v>
          </cell>
          <cell r="G2364">
            <v>206843</v>
          </cell>
        </row>
        <row r="2365">
          <cell r="A2365">
            <v>206844</v>
          </cell>
          <cell r="B2365" t="str">
            <v>BRKT,PUMA BOTLE MOUNTING BRACKET</v>
          </cell>
          <cell r="C2365" t="str">
            <v>EA</v>
          </cell>
          <cell r="D2365" t="str">
            <v>MA100</v>
          </cell>
          <cell r="E2365">
            <v>2.12364</v>
          </cell>
          <cell r="G2365">
            <v>206844</v>
          </cell>
        </row>
        <row r="2366">
          <cell r="A2366">
            <v>206845</v>
          </cell>
          <cell r="B2366" t="str">
            <v>CMPRSR,1.5GALON, 60Hz-110VAC PUMA#LA5706</v>
          </cell>
          <cell r="C2366" t="str">
            <v>EA</v>
          </cell>
          <cell r="D2366" t="str">
            <v>RM100</v>
          </cell>
          <cell r="E2366">
            <v>133.69999999999999</v>
          </cell>
          <cell r="G2366">
            <v>206845</v>
          </cell>
        </row>
        <row r="2367">
          <cell r="A2367">
            <v>206846</v>
          </cell>
          <cell r="B2367" t="str">
            <v>CVR,AS2 TOP COVER 6'DR</v>
          </cell>
          <cell r="C2367" t="str">
            <v>EA</v>
          </cell>
          <cell r="D2367" t="str">
            <v>RM100</v>
          </cell>
          <cell r="E2367">
            <v>189.7</v>
          </cell>
          <cell r="G2367">
            <v>206846</v>
          </cell>
        </row>
        <row r="2368">
          <cell r="A2368">
            <v>206847</v>
          </cell>
          <cell r="B2368" t="str">
            <v>SEAL,A/F DR, 74.375"LG BENT DOOR TOP/TIN</v>
          </cell>
          <cell r="C2368" t="str">
            <v>EA</v>
          </cell>
          <cell r="D2368" t="str">
            <v>RM100</v>
          </cell>
          <cell r="E2368">
            <v>45.54</v>
          </cell>
          <cell r="G2368">
            <v>206847</v>
          </cell>
        </row>
        <row r="2369">
          <cell r="A2369">
            <v>206848</v>
          </cell>
          <cell r="B2369" t="str">
            <v>TRIM,DOUBLE SWING DOOR MIDLE TRIM</v>
          </cell>
          <cell r="C2369" t="str">
            <v>EA</v>
          </cell>
          <cell r="D2369" t="str">
            <v>RM100</v>
          </cell>
          <cell r="E2369">
            <v>57.74</v>
          </cell>
          <cell r="G2369">
            <v>206848</v>
          </cell>
        </row>
        <row r="2370">
          <cell r="A2370">
            <v>206849</v>
          </cell>
          <cell r="B2370" t="str">
            <v>TRIM,SUPPORT, FOR DOUBLE SWING DR TRIM</v>
          </cell>
          <cell r="C2370" t="str">
            <v>EA</v>
          </cell>
          <cell r="D2370" t="str">
            <v>RM100</v>
          </cell>
          <cell r="E2370">
            <v>46.01</v>
          </cell>
          <cell r="G2370">
            <v>206849</v>
          </cell>
        </row>
        <row r="2371">
          <cell r="A2371">
            <v>206853</v>
          </cell>
          <cell r="B2371" t="str">
            <v>SUPP,FINGER SUPP MIDLE, 6'DOUBLE SWING *</v>
          </cell>
          <cell r="C2371" t="str">
            <v>EA</v>
          </cell>
          <cell r="D2371" t="str">
            <v>RM100</v>
          </cell>
          <cell r="E2371">
            <v>48</v>
          </cell>
          <cell r="G2371">
            <v>206853</v>
          </cell>
        </row>
        <row r="2372">
          <cell r="A2372">
            <v>206854</v>
          </cell>
          <cell r="B2372" t="str">
            <v>SEAL,AS2,DOUBLE DR#2 MIDLE/TIN* (LH)</v>
          </cell>
          <cell r="C2372" t="str">
            <v>EA</v>
          </cell>
          <cell r="D2372" t="str">
            <v>RM100</v>
          </cell>
          <cell r="E2372">
            <v>50.01688</v>
          </cell>
          <cell r="G2372">
            <v>206854</v>
          </cell>
        </row>
        <row r="2373">
          <cell r="A2373">
            <v>206855</v>
          </cell>
          <cell r="B2373" t="str">
            <v>SEAL,A/F DR,35.82"LG BENT DR BOTTOM/TIN*</v>
          </cell>
          <cell r="C2373" t="str">
            <v>EA</v>
          </cell>
          <cell r="D2373" t="str">
            <v>MA100</v>
          </cell>
          <cell r="E2373">
            <v>57.08</v>
          </cell>
          <cell r="G2373">
            <v>206855</v>
          </cell>
        </row>
        <row r="2374">
          <cell r="A2374" t="str">
            <v>206855-OP</v>
          </cell>
          <cell r="B2374" t="str">
            <v>SEAL,A/F DR,35.82"LG /TIN PLT</v>
          </cell>
          <cell r="C2374" t="str">
            <v>EA</v>
          </cell>
          <cell r="D2374" t="str">
            <v>MA100</v>
          </cell>
          <cell r="E2374">
            <v>6.7</v>
          </cell>
          <cell r="G2374" t="str">
            <v>206855-OP</v>
          </cell>
        </row>
        <row r="2375">
          <cell r="A2375">
            <v>206856</v>
          </cell>
          <cell r="B2375" t="str">
            <v>RD,7/16DIAx84LG 304SS,AS2 DR#2 DB SWING</v>
          </cell>
          <cell r="C2375" t="str">
            <v>EA</v>
          </cell>
          <cell r="D2375" t="str">
            <v>RM100</v>
          </cell>
          <cell r="E2375">
            <v>31.6</v>
          </cell>
          <cell r="G2375">
            <v>206856</v>
          </cell>
        </row>
        <row r="2376">
          <cell r="A2376">
            <v>206857</v>
          </cell>
          <cell r="B2376" t="str">
            <v>FNGR,SUP,AS2 BTM,1/8X3/4X34,304SS,DBL DR</v>
          </cell>
          <cell r="C2376" t="str">
            <v>EA</v>
          </cell>
          <cell r="D2376" t="str">
            <v>RM100</v>
          </cell>
          <cell r="E2376">
            <v>28.5</v>
          </cell>
          <cell r="G2376">
            <v>206857</v>
          </cell>
        </row>
        <row r="2377">
          <cell r="A2377">
            <v>206858</v>
          </cell>
          <cell r="B2377" t="str">
            <v>BRKT,ROLAIR BOTTLE, CMPR MNTG.</v>
          </cell>
          <cell r="C2377" t="str">
            <v>EA</v>
          </cell>
          <cell r="D2377" t="str">
            <v>MA100</v>
          </cell>
          <cell r="E2377">
            <v>1.8971</v>
          </cell>
          <cell r="G2377">
            <v>206858</v>
          </cell>
        </row>
        <row r="2378">
          <cell r="A2378">
            <v>206860</v>
          </cell>
          <cell r="B2378" t="str">
            <v>ROD,7/16X35LG 304SS,A-SEAL-II</v>
          </cell>
          <cell r="C2378" t="str">
            <v>EA</v>
          </cell>
          <cell r="D2378" t="str">
            <v>RM100</v>
          </cell>
          <cell r="E2378">
            <v>24.3</v>
          </cell>
          <cell r="G2378">
            <v>206860</v>
          </cell>
        </row>
        <row r="2379">
          <cell r="A2379">
            <v>206861</v>
          </cell>
          <cell r="B2379" t="str">
            <v>DOOR,MECHANISM SUPPORT BODY (DR#2)**</v>
          </cell>
          <cell r="C2379" t="str">
            <v>EA</v>
          </cell>
          <cell r="D2379" t="str">
            <v>MA100</v>
          </cell>
          <cell r="E2379">
            <v>20.555250000000001</v>
          </cell>
          <cell r="G2379">
            <v>206861</v>
          </cell>
        </row>
        <row r="2380">
          <cell r="A2380">
            <v>206862</v>
          </cell>
          <cell r="B2380" t="str">
            <v>COVER,DOOR MECH COVER 6'CO, DOOR#2</v>
          </cell>
          <cell r="C2380" t="str">
            <v>EA</v>
          </cell>
          <cell r="D2380" t="str">
            <v>MA100</v>
          </cell>
          <cell r="E2380">
            <v>31.703849999999999</v>
          </cell>
          <cell r="G2380">
            <v>206862</v>
          </cell>
        </row>
        <row r="2381">
          <cell r="A2381">
            <v>206865</v>
          </cell>
          <cell r="B2381" t="str">
            <v>CMPRSR,ROLAIR#JC10PLUS,110V,60HZ</v>
          </cell>
          <cell r="C2381" t="str">
            <v>EA</v>
          </cell>
          <cell r="D2381" t="str">
            <v>RM100</v>
          </cell>
          <cell r="E2381">
            <v>205</v>
          </cell>
          <cell r="G2381">
            <v>206865</v>
          </cell>
        </row>
        <row r="2382">
          <cell r="A2382">
            <v>206866</v>
          </cell>
          <cell r="B2382" t="str">
            <v>CMPRSR,ROLAIR#JC10PLUS,240V,50HZ</v>
          </cell>
          <cell r="C2382" t="str">
            <v>EA</v>
          </cell>
          <cell r="D2382" t="str">
            <v>MA100</v>
          </cell>
          <cell r="E2382">
            <v>212</v>
          </cell>
          <cell r="G2382">
            <v>206866</v>
          </cell>
        </row>
        <row r="2383">
          <cell r="A2383">
            <v>206867</v>
          </cell>
          <cell r="B2383" t="str">
            <v>SEAL,AS2,35.82"LG BENT DR BOT FING/SO*</v>
          </cell>
          <cell r="C2383" t="str">
            <v>EA</v>
          </cell>
          <cell r="D2383" t="str">
            <v>MA100</v>
          </cell>
          <cell r="E2383">
            <v>50.38</v>
          </cell>
          <cell r="G2383">
            <v>206867</v>
          </cell>
        </row>
        <row r="2384">
          <cell r="A2384">
            <v>206880</v>
          </cell>
          <cell r="B2384" t="str">
            <v>CONTROL,DOOR,SINGLE,MA506-126</v>
          </cell>
          <cell r="C2384" t="str">
            <v>EA</v>
          </cell>
          <cell r="D2384" t="str">
            <v>RM100</v>
          </cell>
          <cell r="E2384">
            <v>374</v>
          </cell>
          <cell r="G2384">
            <v>206880</v>
          </cell>
        </row>
        <row r="2385">
          <cell r="A2385">
            <v>206881</v>
          </cell>
          <cell r="B2385" t="str">
            <v>CONTROL,CONDOR HARNESS FOR STANLEY</v>
          </cell>
          <cell r="C2385" t="str">
            <v>EA</v>
          </cell>
          <cell r="D2385" t="str">
            <v>RM100</v>
          </cell>
          <cell r="E2385">
            <v>16</v>
          </cell>
          <cell r="G2385">
            <v>206881</v>
          </cell>
        </row>
        <row r="2386">
          <cell r="A2386">
            <v>206882</v>
          </cell>
          <cell r="B2386" t="str">
            <v>CONTROL,CONDOR SLAVE HARNESS FOR STANLEY</v>
          </cell>
          <cell r="C2386" t="str">
            <v>EA</v>
          </cell>
          <cell r="D2386" t="str">
            <v>MA100</v>
          </cell>
          <cell r="E2386">
            <v>25</v>
          </cell>
          <cell r="G2386">
            <v>206882</v>
          </cell>
        </row>
        <row r="2387">
          <cell r="A2387">
            <v>206883</v>
          </cell>
          <cell r="B2387" t="str">
            <v>SWITCH, 3-POS ROCKER, MA40011***</v>
          </cell>
          <cell r="C2387" t="str">
            <v>EA</v>
          </cell>
          <cell r="D2387" t="str">
            <v>RM100</v>
          </cell>
          <cell r="E2387">
            <v>29</v>
          </cell>
          <cell r="G2387">
            <v>206883</v>
          </cell>
        </row>
        <row r="2388">
          <cell r="A2388">
            <v>206893</v>
          </cell>
          <cell r="B2388" t="str">
            <v>CONTROL,FLOW,CYL,BIMBA#FQP44K</v>
          </cell>
          <cell r="C2388" t="str">
            <v>EA</v>
          </cell>
          <cell r="D2388" t="str">
            <v>RM100</v>
          </cell>
          <cell r="E2388">
            <v>19.16</v>
          </cell>
          <cell r="G2388">
            <v>206893</v>
          </cell>
        </row>
        <row r="2389">
          <cell r="A2389">
            <v>206899</v>
          </cell>
          <cell r="B2389" t="str">
            <v>JB,AS2 THRSLD 6' WIDE DBL DR</v>
          </cell>
          <cell r="C2389" t="str">
            <v>EA</v>
          </cell>
          <cell r="D2389" t="str">
            <v>RM100</v>
          </cell>
          <cell r="E2389">
            <v>244.5</v>
          </cell>
          <cell r="G2389">
            <v>206899</v>
          </cell>
        </row>
        <row r="2390">
          <cell r="A2390">
            <v>206900</v>
          </cell>
          <cell r="B2390" t="str">
            <v>ISLTR,PHEN,1/2X4 7/8X78 11/16,AS2 6' D/D</v>
          </cell>
          <cell r="C2390" t="str">
            <v>EA</v>
          </cell>
          <cell r="D2390" t="str">
            <v>RM100</v>
          </cell>
          <cell r="E2390">
            <v>299</v>
          </cell>
          <cell r="G2390">
            <v>206900</v>
          </cell>
        </row>
        <row r="2391">
          <cell r="A2391">
            <v>206901</v>
          </cell>
          <cell r="B2391" t="str">
            <v>FITTING,1/4"TUBE x10-32 MALE (SMALL) **</v>
          </cell>
          <cell r="C2391" t="str">
            <v>EA</v>
          </cell>
          <cell r="D2391" t="str">
            <v>RM100</v>
          </cell>
          <cell r="E2391">
            <v>2.0699999999999998</v>
          </cell>
          <cell r="G2391">
            <v>206901</v>
          </cell>
        </row>
        <row r="2392">
          <cell r="A2392">
            <v>206902</v>
          </cell>
          <cell r="B2392" t="str">
            <v>FITTING,ELBOW,SWVL,10-32,MALE-FEMALE*</v>
          </cell>
          <cell r="C2392" t="str">
            <v>EA</v>
          </cell>
          <cell r="D2392" t="str">
            <v>RM100</v>
          </cell>
          <cell r="E2392">
            <v>2.36</v>
          </cell>
          <cell r="G2392">
            <v>206902</v>
          </cell>
        </row>
        <row r="2393">
          <cell r="A2393">
            <v>206904</v>
          </cell>
          <cell r="B2393" t="str">
            <v>BRKT,END CAP FOR SWING DOOR</v>
          </cell>
          <cell r="C2393" t="str">
            <v>EA</v>
          </cell>
          <cell r="D2393" t="str">
            <v>MA100</v>
          </cell>
          <cell r="E2393">
            <v>28.920960000000001</v>
          </cell>
          <cell r="G2393">
            <v>206904</v>
          </cell>
        </row>
        <row r="2394">
          <cell r="A2394">
            <v>206905</v>
          </cell>
          <cell r="B2394" t="str">
            <v>BRKT,DBL 6' WD DR TOP FINGER SUPPORT</v>
          </cell>
          <cell r="C2394" t="str">
            <v>EA</v>
          </cell>
          <cell r="D2394" t="str">
            <v>RM100</v>
          </cell>
          <cell r="E2394">
            <v>45.5</v>
          </cell>
          <cell r="G2394">
            <v>206905</v>
          </cell>
        </row>
        <row r="2395">
          <cell r="A2395">
            <v>206906</v>
          </cell>
          <cell r="B2395" t="str">
            <v>RD,7/16DIAx73LG,304SS,AS2 6'DOOR</v>
          </cell>
          <cell r="C2395" t="str">
            <v>EA</v>
          </cell>
          <cell r="D2395" t="str">
            <v>RM100</v>
          </cell>
          <cell r="E2395">
            <v>29.87</v>
          </cell>
          <cell r="G2395">
            <v>206906</v>
          </cell>
        </row>
        <row r="2396">
          <cell r="A2396">
            <v>206908</v>
          </cell>
          <cell r="B2396" t="str">
            <v>MFLR,1/4NPT PN MUFFLER</v>
          </cell>
          <cell r="C2396" t="str">
            <v>EA</v>
          </cell>
          <cell r="D2396" t="str">
            <v>RM100</v>
          </cell>
          <cell r="E2396">
            <v>1.47</v>
          </cell>
          <cell r="G2396">
            <v>206908</v>
          </cell>
        </row>
        <row r="2397">
          <cell r="A2397">
            <v>206909</v>
          </cell>
          <cell r="B2397" t="str">
            <v>GSKT, LEGACY, KIT FOR 6'DD</v>
          </cell>
          <cell r="C2397" t="str">
            <v>EA</v>
          </cell>
          <cell r="D2397" t="str">
            <v>RM100</v>
          </cell>
          <cell r="E2397">
            <v>261.7</v>
          </cell>
          <cell r="G2397">
            <v>206909</v>
          </cell>
        </row>
        <row r="2398">
          <cell r="A2398">
            <v>206910</v>
          </cell>
          <cell r="B2398" t="str">
            <v>EXTRU, AL,WNDW TRIM,8003 BRUSH SATIN FIN</v>
          </cell>
          <cell r="C2398" t="str">
            <v>FT</v>
          </cell>
          <cell r="D2398" t="str">
            <v>RM100</v>
          </cell>
          <cell r="E2398">
            <v>1.0338700000000001</v>
          </cell>
          <cell r="G2398">
            <v>206910</v>
          </cell>
        </row>
        <row r="2399">
          <cell r="A2399">
            <v>206911</v>
          </cell>
          <cell r="B2399" t="str">
            <v>EXTRU,ALUM,INNER SPACER FLANGE</v>
          </cell>
          <cell r="C2399" t="str">
            <v>FT</v>
          </cell>
          <cell r="D2399" t="str">
            <v>RM100</v>
          </cell>
          <cell r="E2399">
            <v>0.51436000000000004</v>
          </cell>
          <cell r="G2399">
            <v>206911</v>
          </cell>
        </row>
        <row r="2400">
          <cell r="A2400">
            <v>206912</v>
          </cell>
          <cell r="B2400" t="str">
            <v>BRKT, TAPED CORNER NIELSEN#HA0711  **</v>
          </cell>
          <cell r="C2400" t="str">
            <v>EA</v>
          </cell>
          <cell r="D2400" t="str">
            <v>RM100</v>
          </cell>
          <cell r="E2400">
            <v>0.17</v>
          </cell>
          <cell r="G2400">
            <v>206912</v>
          </cell>
        </row>
        <row r="2401">
          <cell r="A2401">
            <v>206913</v>
          </cell>
          <cell r="B2401" t="str">
            <v>TAPE,DUAL LOCK,3M SJ3552 1" WIDE</v>
          </cell>
          <cell r="C2401" t="str">
            <v>FT</v>
          </cell>
          <cell r="D2401" t="str">
            <v>RM100</v>
          </cell>
          <cell r="E2401">
            <v>2.1922000000000001</v>
          </cell>
          <cell r="G2401">
            <v>206913</v>
          </cell>
        </row>
        <row r="2402">
          <cell r="A2402">
            <v>206914</v>
          </cell>
          <cell r="B2402" t="str">
            <v>DR,MEMB,AS2 WINDOW SUP,LONG PART</v>
          </cell>
          <cell r="C2402" t="str">
            <v>EA</v>
          </cell>
          <cell r="D2402" t="str">
            <v>MA100</v>
          </cell>
          <cell r="E2402">
            <v>3.2602500000000001</v>
          </cell>
          <cell r="G2402">
            <v>206914</v>
          </cell>
        </row>
        <row r="2403">
          <cell r="A2403">
            <v>206915</v>
          </cell>
          <cell r="B2403" t="str">
            <v>DR,MEMB,AS2 WINDOW SUP,SHORT PART</v>
          </cell>
          <cell r="C2403" t="str">
            <v>EA</v>
          </cell>
          <cell r="D2403" t="str">
            <v>MA100</v>
          </cell>
          <cell r="E2403">
            <v>3.2602500000000001</v>
          </cell>
          <cell r="G2403">
            <v>206915</v>
          </cell>
        </row>
        <row r="2404">
          <cell r="A2404">
            <v>206918</v>
          </cell>
          <cell r="B2404" t="str">
            <v>PL,MOUNTING,MAGLOCK OF DOUBLE SWING **</v>
          </cell>
          <cell r="C2404" t="str">
            <v>EA</v>
          </cell>
          <cell r="D2404" t="str">
            <v>MA100</v>
          </cell>
          <cell r="E2404">
            <v>29.587910000000001</v>
          </cell>
          <cell r="G2404">
            <v>206918</v>
          </cell>
        </row>
        <row r="2405">
          <cell r="A2405">
            <v>206920</v>
          </cell>
          <cell r="B2405" t="str">
            <v>ASSY,FINGER COVER AND DOOR STOP FOR **</v>
          </cell>
          <cell r="C2405" t="str">
            <v>EA</v>
          </cell>
          <cell r="D2405" t="str">
            <v>MA100</v>
          </cell>
          <cell r="E2405">
            <v>190.41692</v>
          </cell>
          <cell r="G2405">
            <v>206920</v>
          </cell>
        </row>
        <row r="2406">
          <cell r="A2406">
            <v>206923</v>
          </cell>
          <cell r="B2406" t="str">
            <v>Wheel,Pneu,8",350lbs,5/8"hub</v>
          </cell>
          <cell r="C2406" t="str">
            <v>EA</v>
          </cell>
          <cell r="D2406" t="str">
            <v>RM100</v>
          </cell>
          <cell r="E2406">
            <v>14.32</v>
          </cell>
          <cell r="G2406">
            <v>206923</v>
          </cell>
        </row>
        <row r="2407">
          <cell r="A2407">
            <v>206934</v>
          </cell>
          <cell r="B2407" t="str">
            <v>MANUAL,DEI STD RM ASSY&amp;MAINT INSTRUCTION</v>
          </cell>
          <cell r="C2407" t="str">
            <v>EA</v>
          </cell>
          <cell r="D2407" t="str">
            <v>RM100</v>
          </cell>
          <cell r="E2407">
            <v>6.0571999999999999</v>
          </cell>
          <cell r="G2407">
            <v>206934</v>
          </cell>
        </row>
        <row r="2408">
          <cell r="A2408">
            <v>206935</v>
          </cell>
          <cell r="B2408" t="str">
            <v>MANUAL,DEI IB RM ASSY&amp;MAINT INSTUCTIONS</v>
          </cell>
          <cell r="C2408" t="str">
            <v>EA</v>
          </cell>
          <cell r="D2408" t="str">
            <v>RM100</v>
          </cell>
          <cell r="E2408">
            <v>7.2</v>
          </cell>
          <cell r="G2408">
            <v>206935</v>
          </cell>
        </row>
        <row r="2409">
          <cell r="A2409">
            <v>206938</v>
          </cell>
          <cell r="B2409" t="str">
            <v>LBL, LABEL FOR MRI BOX - do not buy</v>
          </cell>
          <cell r="C2409" t="str">
            <v>EA</v>
          </cell>
          <cell r="D2409" t="str">
            <v>RM100</v>
          </cell>
          <cell r="E2409">
            <v>0</v>
          </cell>
          <cell r="G2409">
            <v>206938</v>
          </cell>
        </row>
        <row r="2410">
          <cell r="A2410">
            <v>206951</v>
          </cell>
          <cell r="B2410" t="str">
            <v>BRKT,AL,ANG, W HOLES 4x3.5x6.812</v>
          </cell>
          <cell r="C2410" t="str">
            <v>EA</v>
          </cell>
          <cell r="D2410" t="str">
            <v>RM100</v>
          </cell>
          <cell r="E2410">
            <v>39</v>
          </cell>
          <cell r="G2410">
            <v>206951</v>
          </cell>
        </row>
        <row r="2411">
          <cell r="A2411">
            <v>206961</v>
          </cell>
          <cell r="B2411" t="str">
            <v>TAPE,DUAL LOCK,3M SJ3550 1"  wide</v>
          </cell>
          <cell r="C2411" t="str">
            <v>FT</v>
          </cell>
          <cell r="D2411" t="str">
            <v>RM100</v>
          </cell>
          <cell r="E2411">
            <v>2.1196000000000002</v>
          </cell>
          <cell r="G2411">
            <v>206961</v>
          </cell>
        </row>
        <row r="2412">
          <cell r="A2412">
            <v>206966</v>
          </cell>
          <cell r="B2412" t="str">
            <v>SEAL, UNI-GRIP BULB SEAL, W/TAPE</v>
          </cell>
          <cell r="C2412" t="str">
            <v>FT</v>
          </cell>
          <cell r="D2412" t="str">
            <v>RM100</v>
          </cell>
          <cell r="E2412">
            <v>0.93</v>
          </cell>
          <cell r="G2412">
            <v>206966</v>
          </cell>
        </row>
        <row r="2413">
          <cell r="A2413">
            <v>206969</v>
          </cell>
          <cell r="B2413" t="str">
            <v>DOOR,MECH, SUPPORT, RH (2' DR)</v>
          </cell>
          <cell r="C2413" t="str">
            <v>EA</v>
          </cell>
          <cell r="D2413" t="str">
            <v>MA100</v>
          </cell>
          <cell r="E2413">
            <v>32.085250000000002</v>
          </cell>
          <cell r="G2413">
            <v>206969</v>
          </cell>
        </row>
        <row r="2414">
          <cell r="A2414">
            <v>206970</v>
          </cell>
          <cell r="B2414" t="str">
            <v>DOOR,BOTT MECH CONN SUPPORT</v>
          </cell>
          <cell r="C2414" t="str">
            <v>EA</v>
          </cell>
          <cell r="D2414" t="str">
            <v>RM100</v>
          </cell>
          <cell r="E2414">
            <v>0</v>
          </cell>
          <cell r="G2414">
            <v>206970</v>
          </cell>
        </row>
        <row r="2415">
          <cell r="A2415">
            <v>206972</v>
          </cell>
          <cell r="B2415" t="str">
            <v>DR,MEMB,AS2,TOP 6' WIDE, 2' DR</v>
          </cell>
          <cell r="C2415" t="str">
            <v>EA</v>
          </cell>
          <cell r="D2415" t="str">
            <v>FG055</v>
          </cell>
          <cell r="E2415">
            <v>3.2602500000000001</v>
          </cell>
          <cell r="G2415">
            <v>206972</v>
          </cell>
        </row>
        <row r="2416">
          <cell r="A2416">
            <v>206974</v>
          </cell>
          <cell r="B2416" t="str">
            <v>DOOR,MEMB,ACOU,DOOR,LATCH SIDE LH</v>
          </cell>
          <cell r="C2416" t="str">
            <v>EA</v>
          </cell>
          <cell r="D2416" t="str">
            <v>FG055</v>
          </cell>
          <cell r="E2416">
            <v>18.254999999999999</v>
          </cell>
          <cell r="G2416">
            <v>206974</v>
          </cell>
        </row>
        <row r="2417">
          <cell r="A2417">
            <v>206975</v>
          </cell>
          <cell r="B2417" t="str">
            <v>DOOR,MEMB,ACOU,DOOR(PUNCHED-LATCH *</v>
          </cell>
          <cell r="C2417" t="str">
            <v>EA</v>
          </cell>
          <cell r="D2417" t="str">
            <v>FG055</v>
          </cell>
          <cell r="E2417">
            <v>18.254999999999999</v>
          </cell>
          <cell r="G2417">
            <v>206975</v>
          </cell>
        </row>
        <row r="2418">
          <cell r="A2418">
            <v>206976</v>
          </cell>
          <cell r="B2418" t="str">
            <v>DOOR,PANEL  ACOUSTIC ,LH,w/Window</v>
          </cell>
          <cell r="C2418" t="str">
            <v>EA</v>
          </cell>
          <cell r="D2418" t="str">
            <v>FG055</v>
          </cell>
          <cell r="E2418">
            <v>228</v>
          </cell>
          <cell r="G2418">
            <v>206976</v>
          </cell>
        </row>
        <row r="2419">
          <cell r="A2419">
            <v>206977</v>
          </cell>
          <cell r="B2419" t="str">
            <v>DOOR,PANEL  ACOU (PUNCHED),w/Window</v>
          </cell>
          <cell r="C2419" t="str">
            <v>EA</v>
          </cell>
          <cell r="D2419" t="str">
            <v>FG055</v>
          </cell>
          <cell r="E2419">
            <v>228</v>
          </cell>
          <cell r="G2419">
            <v>206977</v>
          </cell>
        </row>
        <row r="2420">
          <cell r="A2420">
            <v>206978</v>
          </cell>
          <cell r="B2420" t="str">
            <v>DOOR,PANEL  ACOUSTIC (2)LH,w/Window</v>
          </cell>
          <cell r="C2420" t="str">
            <v>EA</v>
          </cell>
          <cell r="D2420" t="str">
            <v>FG055</v>
          </cell>
          <cell r="E2420">
            <v>157</v>
          </cell>
          <cell r="G2420">
            <v>206978</v>
          </cell>
        </row>
        <row r="2421">
          <cell r="A2421">
            <v>206979</v>
          </cell>
          <cell r="B2421" t="str">
            <v>DOOR,PANEL  ACOU (PUNCHED-2),w/Window</v>
          </cell>
          <cell r="C2421" t="str">
            <v>EA</v>
          </cell>
          <cell r="D2421" t="str">
            <v>FG055</v>
          </cell>
          <cell r="E2421">
            <v>157</v>
          </cell>
          <cell r="G2421">
            <v>206979</v>
          </cell>
        </row>
        <row r="2422">
          <cell r="A2422">
            <v>206982</v>
          </cell>
          <cell r="B2422" t="str">
            <v>CLOSER,OPENER,75" FOR 4' O/S / 6' I/S</v>
          </cell>
          <cell r="C2422" t="str">
            <v>EA</v>
          </cell>
          <cell r="D2422" t="str">
            <v>RM100</v>
          </cell>
          <cell r="E2422">
            <v>229.17</v>
          </cell>
          <cell r="G2422">
            <v>206982</v>
          </cell>
        </row>
        <row r="2423">
          <cell r="A2423">
            <v>206984</v>
          </cell>
          <cell r="B2423" t="str">
            <v>COVER,THRSHLD MECH COVER 2' DOOR</v>
          </cell>
          <cell r="C2423" t="str">
            <v>EA</v>
          </cell>
          <cell r="D2423" t="str">
            <v>MA100</v>
          </cell>
          <cell r="E2423">
            <v>31.703849999999999</v>
          </cell>
          <cell r="G2423">
            <v>206984</v>
          </cell>
        </row>
        <row r="2424">
          <cell r="A2424">
            <v>206985</v>
          </cell>
          <cell r="B2424" t="str">
            <v>ROD,7/16X23LG 304SS,A-SEAL-II</v>
          </cell>
          <cell r="C2424" t="str">
            <v>EA</v>
          </cell>
          <cell r="D2424" t="str">
            <v>RM100</v>
          </cell>
          <cell r="E2424">
            <v>148</v>
          </cell>
          <cell r="G2424">
            <v>206985</v>
          </cell>
        </row>
        <row r="2425">
          <cell r="A2425">
            <v>206986</v>
          </cell>
          <cell r="B2425" t="str">
            <v>CLAMP, FNGR SUPPORT 1/8X3/4X22-5/8</v>
          </cell>
          <cell r="C2425" t="str">
            <v>EA</v>
          </cell>
          <cell r="D2425" t="str">
            <v>RM100</v>
          </cell>
          <cell r="E2425">
            <v>199</v>
          </cell>
          <cell r="G2425">
            <v>206986</v>
          </cell>
        </row>
        <row r="2426">
          <cell r="A2426">
            <v>206989</v>
          </cell>
          <cell r="B2426" t="str">
            <v>JB,AS2 TOP JB 4x2-6' WIDE DBL DR</v>
          </cell>
          <cell r="C2426" t="str">
            <v>EA</v>
          </cell>
          <cell r="D2426" t="str">
            <v>RM100</v>
          </cell>
          <cell r="E2426">
            <v>326.69</v>
          </cell>
          <cell r="G2426">
            <v>206989</v>
          </cell>
        </row>
        <row r="2427">
          <cell r="A2427">
            <v>206990</v>
          </cell>
          <cell r="B2427" t="str">
            <v>RD,7/16DIAx48LG,304SS,AS2 4'-2' DBL DR</v>
          </cell>
          <cell r="C2427" t="str">
            <v>EA</v>
          </cell>
          <cell r="D2427" t="str">
            <v>RM100</v>
          </cell>
          <cell r="E2427">
            <v>29.5</v>
          </cell>
          <cell r="G2427">
            <v>206990</v>
          </cell>
        </row>
        <row r="2428">
          <cell r="A2428">
            <v>206991</v>
          </cell>
          <cell r="B2428" t="str">
            <v>RD,7/16DIAx24LG,304SS,AS2 4'-2' DBL DR</v>
          </cell>
          <cell r="C2428" t="str">
            <v>EA</v>
          </cell>
          <cell r="D2428" t="str">
            <v>RM100</v>
          </cell>
          <cell r="E2428">
            <v>18.25</v>
          </cell>
          <cell r="G2428">
            <v>206991</v>
          </cell>
        </row>
        <row r="2429">
          <cell r="A2429">
            <v>206992</v>
          </cell>
          <cell r="B2429" t="str">
            <v>CLOSER,OPENER,MOTOR, STANLEY</v>
          </cell>
          <cell r="C2429" t="str">
            <v>EA</v>
          </cell>
          <cell r="D2429" t="str">
            <v>RM100</v>
          </cell>
          <cell r="E2429">
            <v>896.19</v>
          </cell>
          <cell r="G2429">
            <v>206992</v>
          </cell>
        </row>
        <row r="2430">
          <cell r="A2430">
            <v>206993</v>
          </cell>
          <cell r="B2430" t="str">
            <v>CLOSER,OPENER,CONTROLER ASSY, STANLEY**</v>
          </cell>
          <cell r="C2430" t="str">
            <v>EA</v>
          </cell>
          <cell r="D2430" t="str">
            <v>MA100</v>
          </cell>
          <cell r="E2430">
            <v>750</v>
          </cell>
          <cell r="G2430">
            <v>206993</v>
          </cell>
        </row>
        <row r="2431">
          <cell r="A2431">
            <v>206994</v>
          </cell>
          <cell r="B2431" t="str">
            <v>CLOSER,OPENER,EXTRU,51",LH-IN</v>
          </cell>
          <cell r="C2431" t="str">
            <v>EA</v>
          </cell>
          <cell r="D2431" t="str">
            <v>RM100</v>
          </cell>
          <cell r="E2431">
            <v>193.2</v>
          </cell>
          <cell r="G2431">
            <v>206994</v>
          </cell>
        </row>
        <row r="2432">
          <cell r="A2432">
            <v>206995</v>
          </cell>
          <cell r="B2432" t="str">
            <v>CLOSER,OPENER,EXTRU,101" FOR 6'-8'*</v>
          </cell>
          <cell r="C2432" t="str">
            <v>EA</v>
          </cell>
          <cell r="D2432" t="str">
            <v>RM100</v>
          </cell>
          <cell r="E2432">
            <v>262.5</v>
          </cell>
          <cell r="G2432">
            <v>206995</v>
          </cell>
        </row>
        <row r="2433">
          <cell r="A2433">
            <v>206996</v>
          </cell>
          <cell r="B2433" t="str">
            <v>ARM,STANLEY #907312251</v>
          </cell>
          <cell r="C2433" t="str">
            <v>EA</v>
          </cell>
          <cell r="D2433" t="str">
            <v>RM100</v>
          </cell>
          <cell r="E2433">
            <v>104.33</v>
          </cell>
          <cell r="G2433">
            <v>206996</v>
          </cell>
        </row>
        <row r="2434">
          <cell r="A2434">
            <v>206997</v>
          </cell>
          <cell r="B2434" t="str">
            <v>ARM,STANLEY (LH) #907312250</v>
          </cell>
          <cell r="C2434" t="str">
            <v>EA</v>
          </cell>
          <cell r="D2434" t="str">
            <v>RM100</v>
          </cell>
          <cell r="E2434">
            <v>170.36</v>
          </cell>
          <cell r="G2434">
            <v>206997</v>
          </cell>
        </row>
        <row r="2435">
          <cell r="A2435">
            <v>206998</v>
          </cell>
          <cell r="B2435" t="str">
            <v>ARM,STANLEY (RH) #907312249</v>
          </cell>
          <cell r="C2435" t="str">
            <v>EA</v>
          </cell>
          <cell r="D2435" t="str">
            <v>RM100</v>
          </cell>
          <cell r="E2435">
            <v>170.36</v>
          </cell>
          <cell r="G2435">
            <v>206998</v>
          </cell>
        </row>
        <row r="2436">
          <cell r="A2436">
            <v>207061</v>
          </cell>
          <cell r="B2436" t="str">
            <v>EXTRU,CLMP TRIM,DR 1.25X.375X10',CCA</v>
          </cell>
          <cell r="C2436" t="str">
            <v>EA</v>
          </cell>
          <cell r="D2436" t="str">
            <v>FG055</v>
          </cell>
          <cell r="E2436">
            <v>8.2450427400000006</v>
          </cell>
          <cell r="G2436">
            <v>207061</v>
          </cell>
        </row>
        <row r="2437">
          <cell r="A2437">
            <v>207062</v>
          </cell>
          <cell r="B2437" t="str">
            <v>EXTRU,JMB,ALU 2"X3.750"X10',INTERVEN</v>
          </cell>
          <cell r="C2437" t="str">
            <v>EA</v>
          </cell>
          <cell r="D2437" t="str">
            <v>FG055</v>
          </cell>
          <cell r="E2437">
            <v>61.889111110000002</v>
          </cell>
          <cell r="G2437">
            <v>207062</v>
          </cell>
        </row>
        <row r="2438">
          <cell r="A2438">
            <v>207063</v>
          </cell>
          <cell r="B2438" t="str">
            <v>EXTRU,JMB,ALU 2"X3.750"X10',INTERVENTION</v>
          </cell>
          <cell r="C2438" t="str">
            <v>EA</v>
          </cell>
          <cell r="D2438" t="str">
            <v>RM100</v>
          </cell>
          <cell r="E2438">
            <v>31.20496</v>
          </cell>
          <cell r="G2438">
            <v>207063</v>
          </cell>
        </row>
        <row r="2439">
          <cell r="A2439">
            <v>207076</v>
          </cell>
          <cell r="B2439" t="str">
            <v>SCR,M5-0.8X20mm,PN,PH,STL,ZN</v>
          </cell>
          <cell r="C2439" t="str">
            <v>EA</v>
          </cell>
          <cell r="D2439" t="str">
            <v>MA100</v>
          </cell>
          <cell r="E2439">
            <v>5.3699999999999998E-2</v>
          </cell>
          <cell r="G2439">
            <v>207076</v>
          </cell>
        </row>
        <row r="2440">
          <cell r="A2440">
            <v>207085</v>
          </cell>
          <cell r="B2440" t="str">
            <v>CNTR,PLASTIC BOTTLE W/CAP, USP#1854**</v>
          </cell>
          <cell r="C2440" t="str">
            <v>EA</v>
          </cell>
          <cell r="D2440" t="str">
            <v>RM100</v>
          </cell>
          <cell r="E2440">
            <v>7.3354999999999997</v>
          </cell>
          <cell r="G2440">
            <v>207085</v>
          </cell>
        </row>
        <row r="2441">
          <cell r="A2441">
            <v>207093</v>
          </cell>
          <cell r="B2441" t="str">
            <v>PANIC BAR,VON DUPRIN 3' RHR</v>
          </cell>
          <cell r="C2441" t="str">
            <v>EA</v>
          </cell>
          <cell r="D2441" t="str">
            <v>MA100</v>
          </cell>
          <cell r="E2441">
            <v>1983</v>
          </cell>
          <cell r="G2441">
            <v>207093</v>
          </cell>
        </row>
        <row r="2442">
          <cell r="A2442" t="str">
            <v>207093-01</v>
          </cell>
          <cell r="B2442" t="str">
            <v>VON DUPRIN, ROD FOR LATCH AND PUSH BAR</v>
          </cell>
          <cell r="C2442" t="str">
            <v>EA</v>
          </cell>
          <cell r="D2442" t="str">
            <v>RM100</v>
          </cell>
          <cell r="E2442">
            <v>0</v>
          </cell>
          <cell r="G2442" t="str">
            <v>207093-01</v>
          </cell>
        </row>
        <row r="2443">
          <cell r="A2443" t="str">
            <v>207093-02</v>
          </cell>
          <cell r="B2443" t="str">
            <v>VON DUPRIN, 050171 LBR FIRE/STRIKE KIT</v>
          </cell>
          <cell r="C2443" t="str">
            <v>EA</v>
          </cell>
          <cell r="D2443" t="str">
            <v>RM100</v>
          </cell>
          <cell r="E2443">
            <v>0</v>
          </cell>
          <cell r="G2443" t="str">
            <v>207093-02</v>
          </cell>
        </row>
        <row r="2444">
          <cell r="A2444" t="str">
            <v>207093-03</v>
          </cell>
          <cell r="B2444" t="str">
            <v>VON DUPRIN, HAT CHANNEL FOR ROD</v>
          </cell>
          <cell r="C2444" t="str">
            <v>EA</v>
          </cell>
          <cell r="D2444" t="str">
            <v>RM100</v>
          </cell>
          <cell r="E2444">
            <v>0</v>
          </cell>
          <cell r="G2444" t="str">
            <v>207093-03</v>
          </cell>
        </row>
        <row r="2445">
          <cell r="A2445" t="str">
            <v>207093-04</v>
          </cell>
          <cell r="B2445" t="str">
            <v>VON DUPRIN, LEVER-BLANK ESCUTCHEON, L-BE</v>
          </cell>
          <cell r="C2445" t="str">
            <v>EA</v>
          </cell>
          <cell r="D2445" t="str">
            <v>RM100</v>
          </cell>
          <cell r="E2445">
            <v>0</v>
          </cell>
          <cell r="G2445" t="str">
            <v>207093-04</v>
          </cell>
        </row>
        <row r="2446">
          <cell r="A2446" t="str">
            <v>207093-05</v>
          </cell>
          <cell r="B2446" t="str">
            <v>1/2" ROUND CUT IN HALF, VON DUPRIN</v>
          </cell>
          <cell r="C2446" t="str">
            <v>EA</v>
          </cell>
          <cell r="D2446" t="str">
            <v>RM100</v>
          </cell>
          <cell r="E2446">
            <v>0</v>
          </cell>
          <cell r="G2446" t="str">
            <v>207093-05</v>
          </cell>
        </row>
        <row r="2447">
          <cell r="A2447">
            <v>207094</v>
          </cell>
          <cell r="B2447" t="str">
            <v>PANIC BAR,VON DUPRIN 3' LHR</v>
          </cell>
          <cell r="C2447" t="str">
            <v>EA</v>
          </cell>
          <cell r="D2447" t="str">
            <v>RM100</v>
          </cell>
          <cell r="E2447">
            <v>2408.1</v>
          </cell>
          <cell r="G2447">
            <v>207094</v>
          </cell>
        </row>
        <row r="2448">
          <cell r="A2448">
            <v>207096</v>
          </cell>
          <cell r="B2448" t="str">
            <v>FITTING,STRAIGHT UNION,5/32"TB X 1/4"TB</v>
          </cell>
          <cell r="C2448" t="str">
            <v>EA</v>
          </cell>
          <cell r="D2448" t="str">
            <v>RM100</v>
          </cell>
          <cell r="E2448">
            <v>2.23</v>
          </cell>
          <cell r="G2448">
            <v>207096</v>
          </cell>
        </row>
        <row r="2449">
          <cell r="A2449">
            <v>207098</v>
          </cell>
          <cell r="B2449" t="str">
            <v>CVR,EMERG PB STI-6518 for E-stop</v>
          </cell>
          <cell r="C2449" t="str">
            <v>EA</v>
          </cell>
          <cell r="D2449" t="str">
            <v>FG055</v>
          </cell>
          <cell r="E2449">
            <v>17.350000000000001</v>
          </cell>
          <cell r="G2449">
            <v>207098</v>
          </cell>
        </row>
        <row r="2450">
          <cell r="A2450">
            <v>207123</v>
          </cell>
          <cell r="B2450" t="str">
            <v>ISLTR,PHEN,1/2X4 7/8X66 15/16,AS2 5' D/D</v>
          </cell>
          <cell r="C2450" t="str">
            <v>EA</v>
          </cell>
          <cell r="D2450" t="str">
            <v>RM100</v>
          </cell>
          <cell r="E2450">
            <v>99</v>
          </cell>
          <cell r="G2450">
            <v>207123</v>
          </cell>
        </row>
        <row r="2451">
          <cell r="A2451">
            <v>207144</v>
          </cell>
          <cell r="B2451" t="str">
            <v>SCR,10-24X1-3/4,SH,HX,STL,OX</v>
          </cell>
          <cell r="C2451" t="str">
            <v>EA</v>
          </cell>
          <cell r="D2451" t="str">
            <v>MA100</v>
          </cell>
          <cell r="E2451">
            <v>0.16800000000000001</v>
          </cell>
          <cell r="G2451">
            <v>207144</v>
          </cell>
        </row>
        <row r="2452">
          <cell r="A2452">
            <v>207145</v>
          </cell>
          <cell r="B2452" t="str">
            <v>NUT,RIVET,1O-24,STL,ZN McM#95105A131</v>
          </cell>
          <cell r="C2452" t="str">
            <v>EA</v>
          </cell>
          <cell r="D2452" t="str">
            <v>RM100</v>
          </cell>
          <cell r="E2452">
            <v>0.32400000000000001</v>
          </cell>
          <cell r="G2452">
            <v>207145</v>
          </cell>
        </row>
        <row r="2453">
          <cell r="A2453">
            <v>207170</v>
          </cell>
          <cell r="B2453" t="str">
            <v>CLOSER,SENTRONIC 4040 ALUM 24V AC/DC*</v>
          </cell>
          <cell r="C2453" t="str">
            <v>EA</v>
          </cell>
          <cell r="D2453" t="str">
            <v>MA100</v>
          </cell>
          <cell r="E2453">
            <v>400.6</v>
          </cell>
          <cell r="G2453">
            <v>207170</v>
          </cell>
        </row>
        <row r="2454">
          <cell r="A2454">
            <v>207171</v>
          </cell>
          <cell r="B2454" t="str">
            <v>FITTING,REDUCER 3/8-1/4 SMC#KQ2H07-11A</v>
          </cell>
          <cell r="C2454" t="str">
            <v>EA</v>
          </cell>
          <cell r="D2454" t="str">
            <v>RM100</v>
          </cell>
          <cell r="E2454">
            <v>2.58</v>
          </cell>
          <cell r="G2454">
            <v>207171</v>
          </cell>
        </row>
        <row r="2455">
          <cell r="A2455" t="str">
            <v>207181-3L-W</v>
          </cell>
          <cell r="B2455" t="str">
            <v>ASSM,PFL ASII, 3' LH, W/WINDOW</v>
          </cell>
          <cell r="C2455" t="str">
            <v>EA</v>
          </cell>
          <cell r="D2455" t="str">
            <v>FG055</v>
          </cell>
          <cell r="E2455">
            <v>1429.2</v>
          </cell>
          <cell r="G2455" t="str">
            <v>207181-3L-W</v>
          </cell>
        </row>
        <row r="2456">
          <cell r="A2456">
            <v>207203</v>
          </cell>
          <cell r="B2456" t="str">
            <v>GUSSET, ALUM, 1/8"x1.63"x0.75"</v>
          </cell>
          <cell r="C2456" t="str">
            <v>EA</v>
          </cell>
          <cell r="D2456" t="str">
            <v>RM100</v>
          </cell>
          <cell r="E2456">
            <v>2.95</v>
          </cell>
          <cell r="G2456">
            <v>207203</v>
          </cell>
        </row>
        <row r="2457">
          <cell r="A2457">
            <v>207206</v>
          </cell>
          <cell r="B2457" t="str">
            <v>CYLINDER, ORIGA P5200000C300-01283</v>
          </cell>
          <cell r="C2457" t="str">
            <v>EA</v>
          </cell>
          <cell r="D2457" t="str">
            <v>RM100</v>
          </cell>
          <cell r="E2457">
            <v>1209.5641000000001</v>
          </cell>
          <cell r="G2457">
            <v>207206</v>
          </cell>
        </row>
        <row r="2458">
          <cell r="A2458">
            <v>207208</v>
          </cell>
          <cell r="B2458" t="str">
            <v>HEADER, SLDG DR LEFT MACHINED</v>
          </cell>
          <cell r="C2458" t="str">
            <v>EA</v>
          </cell>
          <cell r="D2458" t="str">
            <v>MA100</v>
          </cell>
          <cell r="E2458">
            <v>808.03300000000002</v>
          </cell>
          <cell r="G2458">
            <v>207208</v>
          </cell>
        </row>
        <row r="2459">
          <cell r="A2459" t="str">
            <v>207208-OP</v>
          </cell>
          <cell r="B2459" t="str">
            <v>HEADER, SLDG DR LEFT OP for MACHINING</v>
          </cell>
          <cell r="C2459" t="str">
            <v>EA</v>
          </cell>
          <cell r="D2459" t="str">
            <v>RM100</v>
          </cell>
          <cell r="E2459">
            <v>634</v>
          </cell>
          <cell r="G2459" t="str">
            <v>207208-OP</v>
          </cell>
        </row>
        <row r="2460">
          <cell r="A2460">
            <v>207209</v>
          </cell>
          <cell r="B2460" t="str">
            <v>HEADER, SLDG DR RIGHT MACHINED</v>
          </cell>
          <cell r="C2460" t="str">
            <v>EA</v>
          </cell>
          <cell r="D2460" t="str">
            <v>MA100</v>
          </cell>
          <cell r="E2460">
            <v>685.03300000000002</v>
          </cell>
          <cell r="G2460">
            <v>207209</v>
          </cell>
        </row>
        <row r="2461">
          <cell r="A2461" t="str">
            <v>207209-OP</v>
          </cell>
          <cell r="B2461" t="str">
            <v>HEADER, SLDG DR RIGHT OP for MACHINING</v>
          </cell>
          <cell r="C2461" t="str">
            <v>EA</v>
          </cell>
          <cell r="D2461" t="str">
            <v>RM100</v>
          </cell>
          <cell r="E2461">
            <v>511</v>
          </cell>
          <cell r="G2461" t="str">
            <v>207209-OP</v>
          </cell>
        </row>
        <row r="2462">
          <cell r="A2462">
            <v>207211</v>
          </cell>
          <cell r="B2462" t="str">
            <v>DR, HEADER/FOOTER RF BLADDER</v>
          </cell>
          <cell r="C2462" t="str">
            <v>EA</v>
          </cell>
          <cell r="D2462" t="str">
            <v>MA100</v>
          </cell>
          <cell r="E2462">
            <v>155.60248000000001</v>
          </cell>
          <cell r="G2462">
            <v>207211</v>
          </cell>
        </row>
        <row r="2463">
          <cell r="A2463" t="str">
            <v>207211-OP</v>
          </cell>
          <cell r="B2463" t="str">
            <v>DR, HDR/FTR RF BLADDER,MACHINE / SO</v>
          </cell>
          <cell r="C2463" t="str">
            <v>EA</v>
          </cell>
          <cell r="D2463" t="str">
            <v>RM100</v>
          </cell>
          <cell r="E2463">
            <v>140</v>
          </cell>
          <cell r="G2463" t="str">
            <v>207211-OP</v>
          </cell>
        </row>
        <row r="2464">
          <cell r="A2464">
            <v>207218</v>
          </cell>
          <cell r="B2464" t="str">
            <v>PLT,ALUM,DR TO CYL CONNECTOR*</v>
          </cell>
          <cell r="C2464" t="str">
            <v>EA</v>
          </cell>
          <cell r="D2464" t="str">
            <v>RM100</v>
          </cell>
          <cell r="E2464">
            <v>61</v>
          </cell>
          <cell r="G2464">
            <v>207218</v>
          </cell>
        </row>
        <row r="2465">
          <cell r="A2465">
            <v>207226</v>
          </cell>
          <cell r="B2465" t="str">
            <v>ASSY,DR PULLEY FOR 207220*</v>
          </cell>
          <cell r="C2465" t="str">
            <v>EA</v>
          </cell>
          <cell r="D2465" t="str">
            <v>FG054</v>
          </cell>
          <cell r="E2465">
            <v>190.12246999999999</v>
          </cell>
          <cell r="G2465">
            <v>207226</v>
          </cell>
        </row>
        <row r="2466">
          <cell r="A2466">
            <v>207228</v>
          </cell>
          <cell r="B2466" t="str">
            <v>BRKT, MNTG, LIMIT VLV #220052</v>
          </cell>
          <cell r="C2466" t="str">
            <v>EA</v>
          </cell>
          <cell r="D2466" t="str">
            <v>MA100</v>
          </cell>
          <cell r="E2466">
            <v>58.825000000000003</v>
          </cell>
          <cell r="G2466">
            <v>207228</v>
          </cell>
        </row>
        <row r="2467">
          <cell r="A2467">
            <v>207229</v>
          </cell>
          <cell r="B2467" t="str">
            <v>ANGLE,ALUM,SLDG DR HDR ANGLE*</v>
          </cell>
          <cell r="C2467" t="str">
            <v>EA</v>
          </cell>
          <cell r="D2467" t="str">
            <v>RM100</v>
          </cell>
          <cell r="E2467">
            <v>134.11000000000001</v>
          </cell>
          <cell r="G2467">
            <v>207229</v>
          </cell>
        </row>
        <row r="2468">
          <cell r="A2468">
            <v>207230</v>
          </cell>
          <cell r="B2468" t="str">
            <v>CVR,ALUM,BLDR MECH ASSY,3" X 49.82</v>
          </cell>
          <cell r="C2468" t="str">
            <v>EA</v>
          </cell>
          <cell r="D2468" t="str">
            <v>RM100</v>
          </cell>
          <cell r="E2468">
            <v>25.71</v>
          </cell>
          <cell r="G2468">
            <v>207230</v>
          </cell>
        </row>
        <row r="2469">
          <cell r="A2469">
            <v>207231</v>
          </cell>
          <cell r="B2469" t="str">
            <v>CLMP, RF SEAL, ALUM TOP&amp;BTM, 50.13"x1"</v>
          </cell>
          <cell r="C2469" t="str">
            <v>EA</v>
          </cell>
          <cell r="D2469" t="str">
            <v>RM100</v>
          </cell>
          <cell r="E2469">
            <v>16</v>
          </cell>
          <cell r="G2469">
            <v>207231</v>
          </cell>
        </row>
        <row r="2470">
          <cell r="A2470">
            <v>207233</v>
          </cell>
          <cell r="B2470" t="str">
            <v>CVR,ALUM,END CAP, TOP&amp;BTM</v>
          </cell>
          <cell r="C2470" t="str">
            <v>EA</v>
          </cell>
          <cell r="D2470" t="str">
            <v>RM100</v>
          </cell>
          <cell r="E2470">
            <v>7.5</v>
          </cell>
          <cell r="G2470">
            <v>207233</v>
          </cell>
        </row>
        <row r="2471">
          <cell r="A2471">
            <v>207234</v>
          </cell>
          <cell r="B2471" t="str">
            <v>PLT,PRESSURE BAR,TOP&amp;BTM,SLDG DR</v>
          </cell>
          <cell r="C2471" t="str">
            <v>EA</v>
          </cell>
          <cell r="D2471" t="str">
            <v>MA100</v>
          </cell>
          <cell r="E2471">
            <v>36.08</v>
          </cell>
          <cell r="G2471">
            <v>207234</v>
          </cell>
        </row>
        <row r="2472">
          <cell r="A2472">
            <v>207235</v>
          </cell>
          <cell r="B2472" t="str">
            <v>ANG,2.5x2.5x.25x3 LONG FOR 207225</v>
          </cell>
          <cell r="C2472" t="str">
            <v>EA</v>
          </cell>
          <cell r="D2472" t="str">
            <v>RM100</v>
          </cell>
          <cell r="E2472">
            <v>14</v>
          </cell>
          <cell r="G2472">
            <v>207235</v>
          </cell>
        </row>
        <row r="2473">
          <cell r="A2473">
            <v>207236</v>
          </cell>
          <cell r="B2473" t="str">
            <v>PLT,ALUM 3x3.25x.75 MOUNT FOR 207225</v>
          </cell>
          <cell r="C2473" t="str">
            <v>EA</v>
          </cell>
          <cell r="D2473" t="str">
            <v>RM100</v>
          </cell>
          <cell r="E2473">
            <v>19.5</v>
          </cell>
          <cell r="G2473">
            <v>207236</v>
          </cell>
        </row>
        <row r="2474">
          <cell r="A2474">
            <v>207238</v>
          </cell>
          <cell r="B2474" t="str">
            <v>PLT,ALUM 3x2x.5 SPACER FOR 207225</v>
          </cell>
          <cell r="C2474" t="str">
            <v>EA</v>
          </cell>
          <cell r="D2474" t="str">
            <v>RM100</v>
          </cell>
          <cell r="E2474">
            <v>54.87</v>
          </cell>
          <cell r="G2474">
            <v>207238</v>
          </cell>
        </row>
        <row r="2475">
          <cell r="A2475">
            <v>207239</v>
          </cell>
          <cell r="B2475" t="str">
            <v>PLT,ALUM 3x2x.25 SPACER FOR 207225</v>
          </cell>
          <cell r="C2475" t="str">
            <v>EA</v>
          </cell>
          <cell r="D2475" t="str">
            <v>RM100</v>
          </cell>
          <cell r="E2475">
            <v>4.5</v>
          </cell>
          <cell r="G2475">
            <v>207239</v>
          </cell>
        </row>
        <row r="2476">
          <cell r="A2476">
            <v>207240</v>
          </cell>
          <cell r="B2476" t="str">
            <v>PLT,ALUM 4.30x2.5x.75 MOUNT FOR 207226</v>
          </cell>
          <cell r="C2476" t="str">
            <v>EA</v>
          </cell>
          <cell r="D2476" t="str">
            <v>RM100</v>
          </cell>
          <cell r="E2476">
            <v>37</v>
          </cell>
          <cell r="G2476">
            <v>207240</v>
          </cell>
        </row>
        <row r="2477">
          <cell r="A2477">
            <v>207241</v>
          </cell>
          <cell r="B2477" t="str">
            <v>PLT,ALUM 3.25x3.69x.5 MNT LEG FOR 207226</v>
          </cell>
          <cell r="C2477" t="str">
            <v>EA</v>
          </cell>
          <cell r="D2477" t="str">
            <v>RM100</v>
          </cell>
          <cell r="E2477">
            <v>12.5</v>
          </cell>
          <cell r="G2477">
            <v>207241</v>
          </cell>
        </row>
        <row r="2478">
          <cell r="A2478">
            <v>207242</v>
          </cell>
          <cell r="B2478" t="str">
            <v>PLT,ALUM3.25x.75x.75 MNT BASE FOR 207226</v>
          </cell>
          <cell r="C2478" t="str">
            <v>EA</v>
          </cell>
          <cell r="D2478" t="str">
            <v>RM100</v>
          </cell>
          <cell r="E2478">
            <v>9.5</v>
          </cell>
          <cell r="G2478">
            <v>207242</v>
          </cell>
        </row>
        <row r="2479">
          <cell r="A2479">
            <v>207245</v>
          </cell>
          <cell r="B2479" t="str">
            <v>SPCR,ALUM,3/8 ODX3/16 IDX1/4LG,McM</v>
          </cell>
          <cell r="C2479" t="str">
            <v>EA</v>
          </cell>
          <cell r="D2479" t="str">
            <v>RM100</v>
          </cell>
          <cell r="E2479">
            <v>0.93</v>
          </cell>
          <cell r="G2479">
            <v>207245</v>
          </cell>
        </row>
        <row r="2480">
          <cell r="A2480">
            <v>207247</v>
          </cell>
          <cell r="B2480" t="str">
            <v>SCR,5/16-18X5/8,FH,SH,SS,18-8</v>
          </cell>
          <cell r="C2480" t="str">
            <v>EA</v>
          </cell>
          <cell r="D2480" t="str">
            <v>RM100</v>
          </cell>
          <cell r="E2480">
            <v>0.36320000000000002</v>
          </cell>
          <cell r="G2480">
            <v>207247</v>
          </cell>
        </row>
        <row r="2481">
          <cell r="A2481">
            <v>207250</v>
          </cell>
          <cell r="B2481" t="str">
            <v>SCR,5/16-18X7/8,FH,HX,1/4,SS,18-8</v>
          </cell>
          <cell r="C2481" t="str">
            <v>EA</v>
          </cell>
          <cell r="D2481" t="str">
            <v>RM100</v>
          </cell>
          <cell r="E2481">
            <v>0.20810000000000001</v>
          </cell>
          <cell r="G2481">
            <v>207250</v>
          </cell>
        </row>
        <row r="2482">
          <cell r="A2482">
            <v>207251</v>
          </cell>
          <cell r="B2482" t="str">
            <v>CAM,SS 304 ,18GA,FOR 220052</v>
          </cell>
          <cell r="C2482" t="str">
            <v>EA</v>
          </cell>
          <cell r="D2482" t="str">
            <v>MA100</v>
          </cell>
          <cell r="E2482">
            <v>29.30481</v>
          </cell>
          <cell r="G2482">
            <v>207251</v>
          </cell>
        </row>
        <row r="2483">
          <cell r="A2483">
            <v>207252</v>
          </cell>
          <cell r="B2483" t="str">
            <v>BRKT, HOERBIGER 50_0SP_D1, #20162*</v>
          </cell>
          <cell r="C2483" t="str">
            <v>EA</v>
          </cell>
          <cell r="D2483" t="str">
            <v>RM100</v>
          </cell>
          <cell r="E2483">
            <v>30</v>
          </cell>
          <cell r="G2483">
            <v>207252</v>
          </cell>
        </row>
        <row r="2484">
          <cell r="A2484">
            <v>207253</v>
          </cell>
          <cell r="B2484" t="str">
            <v>BRKT, ALU 3/8X1X2-3/8 for 220052</v>
          </cell>
          <cell r="C2484" t="str">
            <v>EA</v>
          </cell>
          <cell r="D2484" t="str">
            <v>RM100</v>
          </cell>
          <cell r="E2484">
            <v>22.452999999999999</v>
          </cell>
          <cell r="G2484">
            <v>207253</v>
          </cell>
        </row>
        <row r="2485">
          <cell r="A2485">
            <v>207255</v>
          </cell>
          <cell r="B2485" t="str">
            <v>SUPORT,TIMING BELT,ALU</v>
          </cell>
          <cell r="C2485" t="str">
            <v>EA</v>
          </cell>
          <cell r="D2485" t="str">
            <v>RM100</v>
          </cell>
          <cell r="E2485">
            <v>34</v>
          </cell>
          <cell r="G2485">
            <v>207255</v>
          </cell>
        </row>
        <row r="2486">
          <cell r="A2486">
            <v>207256</v>
          </cell>
          <cell r="B2486" t="str">
            <v>CONNECTOR,3/8 ALU, ANGLE PLATE,LH</v>
          </cell>
          <cell r="C2486" t="str">
            <v>EA</v>
          </cell>
          <cell r="D2486" t="str">
            <v>RM100</v>
          </cell>
          <cell r="E2486">
            <v>74</v>
          </cell>
          <cell r="G2486">
            <v>207256</v>
          </cell>
        </row>
        <row r="2487">
          <cell r="A2487">
            <v>207257</v>
          </cell>
          <cell r="B2487" t="str">
            <v>PULLEY FOR BELTS, NYLON</v>
          </cell>
          <cell r="C2487" t="str">
            <v>EA</v>
          </cell>
          <cell r="D2487" t="str">
            <v>RM100</v>
          </cell>
          <cell r="E2487">
            <v>14.55</v>
          </cell>
          <cell r="G2487">
            <v>207257</v>
          </cell>
        </row>
        <row r="2488">
          <cell r="A2488">
            <v>207258</v>
          </cell>
          <cell r="B2488" t="str">
            <v>CONNECTOR,3/8 ALU, ANGLE PLATE,RH</v>
          </cell>
          <cell r="C2488" t="str">
            <v>EA</v>
          </cell>
          <cell r="D2488" t="str">
            <v>RM100</v>
          </cell>
          <cell r="E2488">
            <v>96</v>
          </cell>
          <cell r="G2488">
            <v>207258</v>
          </cell>
        </row>
        <row r="2489">
          <cell r="A2489">
            <v>207259</v>
          </cell>
          <cell r="B2489" t="str">
            <v>BELT CLAMP,LH DOOR</v>
          </cell>
          <cell r="C2489" t="str">
            <v>EA</v>
          </cell>
          <cell r="D2489" t="str">
            <v>RM100</v>
          </cell>
          <cell r="E2489">
            <v>35.311</v>
          </cell>
          <cell r="G2489">
            <v>207259</v>
          </cell>
        </row>
        <row r="2490">
          <cell r="A2490">
            <v>207260</v>
          </cell>
          <cell r="B2490" t="str">
            <v>BELT CLAMP,RH DOOR,2.213"LONG*</v>
          </cell>
          <cell r="C2490" t="str">
            <v>EA</v>
          </cell>
          <cell r="D2490" t="str">
            <v>RM100</v>
          </cell>
          <cell r="E2490">
            <v>41.222000000000001</v>
          </cell>
          <cell r="G2490">
            <v>207260</v>
          </cell>
        </row>
        <row r="2491">
          <cell r="A2491">
            <v>207261</v>
          </cell>
          <cell r="B2491" t="str">
            <v>SHIM , ALU 47x2.375x.060, for Redi-Rail</v>
          </cell>
          <cell r="C2491" t="str">
            <v>EA</v>
          </cell>
          <cell r="D2491" t="str">
            <v>MA100</v>
          </cell>
          <cell r="E2491">
            <v>4.9049800000000001</v>
          </cell>
          <cell r="G2491">
            <v>207261</v>
          </cell>
        </row>
        <row r="2492">
          <cell r="A2492">
            <v>207263</v>
          </cell>
          <cell r="B2492" t="str">
            <v>ALUM,THRSHLD CVR .125"x1.475"x101"</v>
          </cell>
          <cell r="C2492" t="str">
            <v>EA</v>
          </cell>
          <cell r="D2492" t="str">
            <v>RM100</v>
          </cell>
          <cell r="E2492">
            <v>49.5</v>
          </cell>
          <cell r="G2492">
            <v>207263</v>
          </cell>
        </row>
        <row r="2493">
          <cell r="A2493">
            <v>207265</v>
          </cell>
          <cell r="B2493" t="str">
            <v>BRKT,CABLE CARRIER, ALU</v>
          </cell>
          <cell r="C2493" t="str">
            <v>EA</v>
          </cell>
          <cell r="D2493" t="str">
            <v>MA100</v>
          </cell>
          <cell r="E2493">
            <v>14.422610000000001</v>
          </cell>
          <cell r="G2493">
            <v>207265</v>
          </cell>
        </row>
        <row r="2494">
          <cell r="A2494">
            <v>207270</v>
          </cell>
          <cell r="B2494" t="str">
            <v>BRG,CAMFLWR,1"DIA,CROWNED</v>
          </cell>
          <cell r="C2494" t="str">
            <v>EA</v>
          </cell>
          <cell r="D2494" t="str">
            <v>RM100</v>
          </cell>
          <cell r="E2494">
            <v>16.96</v>
          </cell>
          <cell r="G2494">
            <v>207270</v>
          </cell>
        </row>
        <row r="2495">
          <cell r="A2495">
            <v>207271</v>
          </cell>
          <cell r="B2495" t="str">
            <v>SCR,#8-32X5/8,PH,FH,UNDERCUT,SS,18-8***</v>
          </cell>
          <cell r="C2495" t="str">
            <v>EA</v>
          </cell>
          <cell r="D2495" t="str">
            <v>RM100</v>
          </cell>
          <cell r="E2495">
            <v>7.7200000000000005E-2</v>
          </cell>
          <cell r="G2495">
            <v>207271</v>
          </cell>
        </row>
        <row r="2496">
          <cell r="A2496">
            <v>207272</v>
          </cell>
          <cell r="B2496" t="str">
            <v>ALUM, SPCR, 1/4"x2'x50.62", 6063</v>
          </cell>
          <cell r="C2496" t="str">
            <v>EA</v>
          </cell>
          <cell r="D2496" t="str">
            <v>RM100</v>
          </cell>
          <cell r="E2496">
            <v>28.5</v>
          </cell>
          <cell r="G2496">
            <v>207272</v>
          </cell>
        </row>
        <row r="2497">
          <cell r="A2497">
            <v>207275</v>
          </cell>
          <cell r="B2497" t="str">
            <v>SCR,1/4-20X1-1/4,SH,HX,STL ZN</v>
          </cell>
          <cell r="C2497" t="str">
            <v>EA</v>
          </cell>
          <cell r="D2497" t="str">
            <v>RM100</v>
          </cell>
          <cell r="E2497">
            <v>0.13650000000000001</v>
          </cell>
          <cell r="G2497">
            <v>207275</v>
          </cell>
        </row>
        <row r="2498">
          <cell r="A2498">
            <v>207278</v>
          </cell>
          <cell r="B2498" t="str">
            <v>SEAL, CNTR FNGR BAR, ALUM</v>
          </cell>
          <cell r="C2498" t="str">
            <v>EA</v>
          </cell>
          <cell r="D2498" t="str">
            <v>RM100</v>
          </cell>
          <cell r="E2498">
            <v>19.5</v>
          </cell>
          <cell r="G2498">
            <v>207278</v>
          </cell>
        </row>
        <row r="2499">
          <cell r="A2499">
            <v>207279</v>
          </cell>
          <cell r="B2499" t="str">
            <v>SEAL,FEMALE,CNTR, ALUM, 1.5"x0.5"x85.88</v>
          </cell>
          <cell r="C2499" t="str">
            <v>EA</v>
          </cell>
          <cell r="D2499" t="str">
            <v>RM100</v>
          </cell>
          <cell r="E2499">
            <v>76</v>
          </cell>
          <cell r="G2499">
            <v>207279</v>
          </cell>
        </row>
        <row r="2500">
          <cell r="A2500">
            <v>207280</v>
          </cell>
          <cell r="B2500" t="str">
            <v>GSKT, "D", .1/4 x 16" ADH. BCKD.</v>
          </cell>
          <cell r="C2500" t="str">
            <v>EA</v>
          </cell>
          <cell r="D2500" t="str">
            <v>RM100</v>
          </cell>
          <cell r="E2500">
            <v>1.06</v>
          </cell>
          <cell r="G2500">
            <v>207280</v>
          </cell>
        </row>
        <row r="2501">
          <cell r="A2501">
            <v>207281</v>
          </cell>
          <cell r="B2501" t="str">
            <v>FNGR, TECH-ETCH #375S60-15.75-08</v>
          </cell>
          <cell r="C2501" t="str">
            <v>EA</v>
          </cell>
          <cell r="D2501" t="str">
            <v>RM100</v>
          </cell>
          <cell r="E2501">
            <v>7.11</v>
          </cell>
          <cell r="G2501">
            <v>207281</v>
          </cell>
        </row>
        <row r="2502">
          <cell r="A2502">
            <v>207282</v>
          </cell>
          <cell r="B2502" t="str">
            <v>CARRIER, FNGR, TECH-ETCH #TR60B-15.75-02</v>
          </cell>
          <cell r="C2502" t="str">
            <v>EA</v>
          </cell>
          <cell r="D2502" t="str">
            <v>RM100</v>
          </cell>
          <cell r="E2502">
            <v>2.62</v>
          </cell>
          <cell r="G2502">
            <v>207282</v>
          </cell>
        </row>
        <row r="2503">
          <cell r="A2503">
            <v>207283</v>
          </cell>
          <cell r="B2503" t="str">
            <v>RIVET, PLAS, 0.125" HOLE, #231-080551-05</v>
          </cell>
          <cell r="C2503" t="str">
            <v>EA</v>
          </cell>
          <cell r="D2503" t="str">
            <v>RM100</v>
          </cell>
          <cell r="E2503">
            <v>6.5000000000000002E-2</v>
          </cell>
          <cell r="G2503">
            <v>207283</v>
          </cell>
        </row>
        <row r="2504">
          <cell r="A2504">
            <v>207284</v>
          </cell>
          <cell r="B2504" t="str">
            <v>TOOL, PLASTIC RIVET INSERTION</v>
          </cell>
          <cell r="C2504" t="str">
            <v>EA</v>
          </cell>
          <cell r="D2504" t="str">
            <v>RM100</v>
          </cell>
          <cell r="E2504">
            <v>30</v>
          </cell>
          <cell r="G2504">
            <v>207284</v>
          </cell>
        </row>
        <row r="2505">
          <cell r="A2505">
            <v>207285</v>
          </cell>
          <cell r="B2505" t="str">
            <v>FNGR, TECH-ETCH #250K2C070L-24",TIN PLT</v>
          </cell>
          <cell r="C2505" t="str">
            <v>EA</v>
          </cell>
          <cell r="D2505" t="str">
            <v>RM100</v>
          </cell>
          <cell r="E2505">
            <v>5.18</v>
          </cell>
          <cell r="G2505">
            <v>207285</v>
          </cell>
        </row>
        <row r="2506">
          <cell r="A2506">
            <v>207286</v>
          </cell>
          <cell r="B2506" t="str">
            <v>BELT, TIMING, #25 ATL 10/10590 M PAZ</v>
          </cell>
          <cell r="C2506" t="str">
            <v>EA</v>
          </cell>
          <cell r="D2506" t="str">
            <v>RM100</v>
          </cell>
          <cell r="E2506">
            <v>332.93</v>
          </cell>
          <cell r="G2506">
            <v>207286</v>
          </cell>
        </row>
        <row r="2507">
          <cell r="A2507">
            <v>207288</v>
          </cell>
          <cell r="B2507" t="str">
            <v>CLMP, BELT, #50 x 160 AT10 Clamp Type 0</v>
          </cell>
          <cell r="C2507" t="str">
            <v>EA</v>
          </cell>
          <cell r="D2507" t="str">
            <v>RM100</v>
          </cell>
          <cell r="E2507">
            <v>23.61</v>
          </cell>
          <cell r="G2507">
            <v>207288</v>
          </cell>
        </row>
        <row r="2508">
          <cell r="A2508">
            <v>207289</v>
          </cell>
          <cell r="B2508" t="str">
            <v>SEAL,FEMALE,CNTR,ALUM,1.5"x0.5"x31.5"</v>
          </cell>
          <cell r="C2508" t="str">
            <v>EA</v>
          </cell>
          <cell r="D2508" t="str">
            <v>RM100</v>
          </cell>
          <cell r="E2508">
            <v>56</v>
          </cell>
          <cell r="G2508">
            <v>207289</v>
          </cell>
        </row>
        <row r="2509">
          <cell r="A2509">
            <v>207290</v>
          </cell>
          <cell r="B2509" t="str">
            <v>SCR,#8-32X5/8,PH,FH,STL,ZN</v>
          </cell>
          <cell r="C2509" t="str">
            <v>EA</v>
          </cell>
          <cell r="D2509" t="str">
            <v>RM100</v>
          </cell>
          <cell r="E2509">
            <v>1.78E-2</v>
          </cell>
          <cell r="G2509">
            <v>207290</v>
          </cell>
        </row>
        <row r="2510">
          <cell r="A2510">
            <v>207291</v>
          </cell>
          <cell r="B2510" t="str">
            <v>BRKT, ALUM, 1/16", QUICK-EXH MNT</v>
          </cell>
          <cell r="C2510" t="str">
            <v>EA</v>
          </cell>
          <cell r="D2510" t="str">
            <v>MA100</v>
          </cell>
          <cell r="E2510">
            <v>0.65739999999999998</v>
          </cell>
          <cell r="G2510">
            <v>207291</v>
          </cell>
        </row>
        <row r="2511">
          <cell r="A2511">
            <v>207293</v>
          </cell>
          <cell r="B2511" t="str">
            <v>RAIL,LINEAR,REDI-RAIL#RR65,2489mm=98"</v>
          </cell>
          <cell r="C2511" t="str">
            <v>EA</v>
          </cell>
          <cell r="D2511" t="str">
            <v>RM100</v>
          </cell>
          <cell r="E2511">
            <v>364.93</v>
          </cell>
          <cell r="G2511">
            <v>207293</v>
          </cell>
        </row>
        <row r="2512">
          <cell r="A2512">
            <v>207298</v>
          </cell>
          <cell r="B2512" t="str">
            <v>BRKT, ANGLE, ALUM, 1.5"x1.5"x35"</v>
          </cell>
          <cell r="C2512" t="str">
            <v>EA</v>
          </cell>
          <cell r="D2512" t="str">
            <v>RM100</v>
          </cell>
          <cell r="E2512">
            <v>34</v>
          </cell>
          <cell r="G2512">
            <v>207298</v>
          </cell>
        </row>
        <row r="2513">
          <cell r="A2513">
            <v>207304</v>
          </cell>
          <cell r="B2513" t="str">
            <v>ASSY,PRESSURE BAR PLT,TOP&amp;BTM,SLDG DR</v>
          </cell>
          <cell r="C2513" t="str">
            <v>EA</v>
          </cell>
          <cell r="D2513" t="str">
            <v>FG054</v>
          </cell>
          <cell r="E2513">
            <v>100</v>
          </cell>
          <cell r="G2513">
            <v>207304</v>
          </cell>
        </row>
        <row r="2514">
          <cell r="A2514">
            <v>207306</v>
          </cell>
          <cell r="B2514" t="str">
            <v>SEAL,EDGE,VERTICAL - ALUM.58.688 LG.*</v>
          </cell>
          <cell r="C2514" t="str">
            <v>EA</v>
          </cell>
          <cell r="D2514" t="str">
            <v>MA100</v>
          </cell>
          <cell r="E2514">
            <v>51.608939999999997</v>
          </cell>
          <cell r="G2514">
            <v>207306</v>
          </cell>
        </row>
        <row r="2515">
          <cell r="A2515" t="str">
            <v>207306-OP</v>
          </cell>
          <cell r="B2515" t="str">
            <v>SEAL,EDGE,MALE,VERT-ALUM,58.688",MACH</v>
          </cell>
          <cell r="C2515" t="str">
            <v>EA</v>
          </cell>
          <cell r="D2515" t="str">
            <v>RM100</v>
          </cell>
          <cell r="E2515">
            <v>43.75</v>
          </cell>
          <cell r="G2515" t="str">
            <v>207306-OP</v>
          </cell>
        </row>
        <row r="2516">
          <cell r="A2516">
            <v>207307</v>
          </cell>
          <cell r="B2516" t="str">
            <v>ASSY,THRSHLD&amp;ISOLTR,IOSD DBL SLD DR</v>
          </cell>
          <cell r="C2516" t="str">
            <v>EA</v>
          </cell>
          <cell r="D2516" t="str">
            <v>FG055</v>
          </cell>
          <cell r="E2516">
            <v>988.76</v>
          </cell>
          <cell r="G2516">
            <v>207307</v>
          </cell>
        </row>
        <row r="2517">
          <cell r="A2517">
            <v>207310</v>
          </cell>
          <cell r="B2517" t="str">
            <v>JAMB,SIDE RAIL-SUPPORT,117.750"</v>
          </cell>
          <cell r="C2517" t="str">
            <v>EA</v>
          </cell>
          <cell r="D2517" t="str">
            <v>MA100</v>
          </cell>
          <cell r="E2517">
            <v>162.83240000000001</v>
          </cell>
          <cell r="G2517">
            <v>207310</v>
          </cell>
        </row>
        <row r="2518">
          <cell r="A2518" t="str">
            <v>207310-OP</v>
          </cell>
          <cell r="B2518" t="str">
            <v>JAMB, SIDE RAIL SUPP,117.75"MACH S/O*</v>
          </cell>
          <cell r="C2518" t="str">
            <v>EA</v>
          </cell>
          <cell r="D2518" t="str">
            <v>RM100</v>
          </cell>
          <cell r="E2518">
            <v>189</v>
          </cell>
          <cell r="G2518" t="str">
            <v>207310-OP</v>
          </cell>
        </row>
        <row r="2519">
          <cell r="A2519" t="str">
            <v>207310-OP2</v>
          </cell>
          <cell r="B2519" t="str">
            <v>JAMB, SIDE RAIL SUPP, 117.75" w/ARC SPRY</v>
          </cell>
          <cell r="C2519" t="str">
            <v>EA</v>
          </cell>
          <cell r="D2519" t="str">
            <v>RM100</v>
          </cell>
          <cell r="E2519">
            <v>10</v>
          </cell>
          <cell r="G2519" t="str">
            <v>207310-OP2</v>
          </cell>
        </row>
        <row r="2520">
          <cell r="A2520">
            <v>207312</v>
          </cell>
          <cell r="B2520" t="str">
            <v>CLMP,TRIM,NON-RF,117.375"LG,ALUM</v>
          </cell>
          <cell r="C2520" t="str">
            <v>EA</v>
          </cell>
          <cell r="D2520" t="str">
            <v>MA100</v>
          </cell>
          <cell r="E2520">
            <v>37.055039999999998</v>
          </cell>
          <cell r="G2520">
            <v>207312</v>
          </cell>
        </row>
        <row r="2521">
          <cell r="A2521" t="str">
            <v>207312-CCA</v>
          </cell>
          <cell r="B2521" t="str">
            <v>CLMP,TRIM,NON-RF,117.375"LG,CLR CT ANDZ</v>
          </cell>
          <cell r="C2521" t="str">
            <v>EA</v>
          </cell>
          <cell r="D2521" t="str">
            <v>MA100</v>
          </cell>
          <cell r="E2521">
            <v>51.245040000000003</v>
          </cell>
          <cell r="G2521" t="str">
            <v>207312-CCA</v>
          </cell>
        </row>
        <row r="2522">
          <cell r="A2522" t="str">
            <v>207312-CCA-OP</v>
          </cell>
          <cell r="B2522" t="str">
            <v>CLMP,TRIM,NON-RF,117.375"LG,MACH/CCA</v>
          </cell>
          <cell r="C2522" t="str">
            <v>EA</v>
          </cell>
          <cell r="D2522" t="str">
            <v>RM100</v>
          </cell>
          <cell r="E2522">
            <v>43</v>
          </cell>
          <cell r="G2522" t="str">
            <v>207312-CCA-OP</v>
          </cell>
        </row>
        <row r="2523">
          <cell r="A2523" t="str">
            <v>207312-OP</v>
          </cell>
          <cell r="B2523" t="str">
            <v>CLMP,TRIM,NON-RF,117.375"LNG, MACH/SO*</v>
          </cell>
          <cell r="C2523" t="str">
            <v>EA</v>
          </cell>
          <cell r="D2523" t="str">
            <v>RM100</v>
          </cell>
          <cell r="E2523">
            <v>19</v>
          </cell>
          <cell r="G2523" t="str">
            <v>207312-OP</v>
          </cell>
        </row>
        <row r="2524">
          <cell r="A2524" t="str">
            <v>207312-OP1</v>
          </cell>
          <cell r="B2524" t="str">
            <v>CLMP,TRIM,NON-RF,117.375"LNG, PWD CT/ SO</v>
          </cell>
          <cell r="C2524" t="str">
            <v>EA</v>
          </cell>
          <cell r="D2524" t="str">
            <v>RM100</v>
          </cell>
          <cell r="E2524">
            <v>9.81</v>
          </cell>
          <cell r="G2524" t="str">
            <v>207312-OP1</v>
          </cell>
        </row>
        <row r="2525">
          <cell r="A2525">
            <v>207313</v>
          </cell>
          <cell r="B2525" t="str">
            <v>CLMP,TRIM,NON-RF,117.375"LG w/AIR HL</v>
          </cell>
          <cell r="C2525" t="str">
            <v>EA</v>
          </cell>
          <cell r="D2525" t="str">
            <v>RM100</v>
          </cell>
          <cell r="E2525">
            <v>37.055</v>
          </cell>
          <cell r="G2525">
            <v>207313</v>
          </cell>
        </row>
        <row r="2526">
          <cell r="A2526" t="str">
            <v>207313-CCA</v>
          </cell>
          <cell r="B2526" t="str">
            <v>CLMP,TRIM,NON-RF,117.375"LG,CLR CT ANDZ</v>
          </cell>
          <cell r="C2526" t="str">
            <v>EA</v>
          </cell>
          <cell r="D2526" t="str">
            <v>MA100</v>
          </cell>
          <cell r="E2526">
            <v>27.245039999999999</v>
          </cell>
          <cell r="G2526" t="str">
            <v>207313-CCA</v>
          </cell>
        </row>
        <row r="2527">
          <cell r="A2527" t="str">
            <v>207313-CCA-OP</v>
          </cell>
          <cell r="B2527" t="str">
            <v>CLMP,TRIM,NON-RF,117.375"LG,MACH/CCA</v>
          </cell>
          <cell r="C2527" t="str">
            <v>EA</v>
          </cell>
          <cell r="D2527" t="str">
            <v>RM100</v>
          </cell>
          <cell r="E2527">
            <v>19</v>
          </cell>
          <cell r="G2527" t="str">
            <v>207313-CCA-OP</v>
          </cell>
        </row>
        <row r="2528">
          <cell r="A2528" t="str">
            <v>207316-SS</v>
          </cell>
          <cell r="B2528" t="str">
            <v>SKIN,NON-RF,10' SLDG DR,4SS</v>
          </cell>
          <cell r="C2528" t="str">
            <v>EA</v>
          </cell>
          <cell r="D2528" t="str">
            <v>RM100</v>
          </cell>
          <cell r="E2528">
            <v>299.94</v>
          </cell>
          <cell r="G2528" t="str">
            <v>207316-SS</v>
          </cell>
        </row>
        <row r="2529">
          <cell r="A2529">
            <v>207317</v>
          </cell>
          <cell r="B2529" t="str">
            <v>GSKT,RR 2x.0625 BULB,1"OA SN/CU/FE</v>
          </cell>
          <cell r="C2529" t="str">
            <v>FT</v>
          </cell>
          <cell r="D2529" t="str">
            <v>RM100</v>
          </cell>
          <cell r="E2529">
            <v>3.86</v>
          </cell>
          <cell r="G2529">
            <v>207317</v>
          </cell>
        </row>
        <row r="2530">
          <cell r="A2530">
            <v>207318</v>
          </cell>
          <cell r="B2530" t="str">
            <v>CAP,RETAINING,TECH-ETCH #TC60-02</v>
          </cell>
          <cell r="C2530" t="str">
            <v>EA</v>
          </cell>
          <cell r="D2530" t="str">
            <v>RM100</v>
          </cell>
          <cell r="E2530">
            <v>0.25</v>
          </cell>
          <cell r="G2530">
            <v>207318</v>
          </cell>
        </row>
        <row r="2531">
          <cell r="A2531">
            <v>207320</v>
          </cell>
          <cell r="B2531" t="str">
            <v>THRSHLD,ALUM 3/8X7.2X109 DBL SLDG DR</v>
          </cell>
          <cell r="C2531" t="str">
            <v>EA</v>
          </cell>
          <cell r="D2531" t="str">
            <v>RM100</v>
          </cell>
          <cell r="E2531">
            <v>297</v>
          </cell>
          <cell r="G2531">
            <v>207320</v>
          </cell>
        </row>
        <row r="2532">
          <cell r="A2532">
            <v>207321</v>
          </cell>
          <cell r="B2532" t="str">
            <v>ISOLATOR,ACETAL,1/2"X9.90"X109" DB SLDG*</v>
          </cell>
          <cell r="C2532" t="str">
            <v>EA</v>
          </cell>
          <cell r="D2532" t="str">
            <v>RM100</v>
          </cell>
          <cell r="E2532">
            <v>569</v>
          </cell>
          <cell r="G2532">
            <v>207321</v>
          </cell>
        </row>
        <row r="2533">
          <cell r="A2533">
            <v>207322</v>
          </cell>
          <cell r="B2533" t="str">
            <v>OBSOLETE</v>
          </cell>
          <cell r="C2533" t="str">
            <v>EA</v>
          </cell>
          <cell r="D2533" t="str">
            <v>RM100</v>
          </cell>
          <cell r="E2533">
            <v>19.329999999999998</v>
          </cell>
          <cell r="G2533">
            <v>207322</v>
          </cell>
        </row>
        <row r="2534">
          <cell r="A2534">
            <v>207323</v>
          </cell>
          <cell r="B2534" t="str">
            <v>OBSOLETE</v>
          </cell>
          <cell r="C2534" t="str">
            <v>EA</v>
          </cell>
          <cell r="D2534" t="str">
            <v>RM100</v>
          </cell>
          <cell r="E2534">
            <v>20.98</v>
          </cell>
          <cell r="G2534">
            <v>207323</v>
          </cell>
        </row>
        <row r="2535">
          <cell r="A2535">
            <v>207324</v>
          </cell>
          <cell r="B2535" t="str">
            <v>OBSOLETE</v>
          </cell>
          <cell r="C2535" t="str">
            <v>EA</v>
          </cell>
          <cell r="D2535" t="str">
            <v>RM100</v>
          </cell>
          <cell r="E2535">
            <v>20.21</v>
          </cell>
          <cell r="G2535">
            <v>207324</v>
          </cell>
        </row>
        <row r="2536">
          <cell r="A2536">
            <v>207325</v>
          </cell>
          <cell r="B2536" t="str">
            <v>NUT,BAR,STL,1/4"x5/8"x54.50",2" HOLE</v>
          </cell>
          <cell r="C2536" t="str">
            <v>EA</v>
          </cell>
          <cell r="D2536" t="str">
            <v>RM100</v>
          </cell>
          <cell r="E2536">
            <v>56.78</v>
          </cell>
          <cell r="G2536">
            <v>207325</v>
          </cell>
        </row>
        <row r="2537">
          <cell r="A2537">
            <v>207326</v>
          </cell>
          <cell r="B2537" t="str">
            <v>NUT,BAR,STL,1/4"x5/8"x56.50",2" HOLE</v>
          </cell>
          <cell r="C2537" t="str">
            <v>EA</v>
          </cell>
          <cell r="D2537" t="str">
            <v>RM100</v>
          </cell>
          <cell r="E2537">
            <v>57.76</v>
          </cell>
          <cell r="G2537">
            <v>207326</v>
          </cell>
        </row>
        <row r="2538">
          <cell r="A2538">
            <v>207327</v>
          </cell>
          <cell r="B2538" t="str">
            <v>NUT,BAR,STL,1/4"x5/8"x54.50",w/6" HOLES</v>
          </cell>
          <cell r="C2538" t="str">
            <v>EA</v>
          </cell>
          <cell r="D2538" t="str">
            <v>RM100</v>
          </cell>
          <cell r="E2538">
            <v>53.1</v>
          </cell>
          <cell r="G2538">
            <v>207327</v>
          </cell>
        </row>
        <row r="2539">
          <cell r="A2539">
            <v>207328</v>
          </cell>
          <cell r="B2539" t="str">
            <v>NUT,BAR,STL,1/4"x5/8"x56.50",w/6" HOLES</v>
          </cell>
          <cell r="C2539" t="str">
            <v>EA</v>
          </cell>
          <cell r="D2539" t="str">
            <v>RM100</v>
          </cell>
          <cell r="E2539">
            <v>54.87</v>
          </cell>
          <cell r="G2539">
            <v>207328</v>
          </cell>
        </row>
        <row r="2540">
          <cell r="A2540">
            <v>207329</v>
          </cell>
          <cell r="B2540" t="str">
            <v>NUT,BAR,3279,2 HL x 2.8" LNG, 5/16-18"TH</v>
          </cell>
          <cell r="C2540" t="str">
            <v>EA</v>
          </cell>
          <cell r="D2540" t="str">
            <v>RM100</v>
          </cell>
          <cell r="E2540">
            <v>0.79</v>
          </cell>
          <cell r="G2540">
            <v>207329</v>
          </cell>
        </row>
        <row r="2541">
          <cell r="A2541">
            <v>207331</v>
          </cell>
          <cell r="B2541" t="str">
            <v>NUT,BAR,STL,1/4"x5/8"x43.5",w/6" HOLE SP</v>
          </cell>
          <cell r="C2541" t="str">
            <v>EA</v>
          </cell>
          <cell r="D2541" t="str">
            <v>RM100</v>
          </cell>
          <cell r="E2541">
            <v>43.77</v>
          </cell>
          <cell r="G2541">
            <v>207331</v>
          </cell>
        </row>
        <row r="2542">
          <cell r="A2542">
            <v>207333</v>
          </cell>
          <cell r="B2542" t="str">
            <v>NUT,BAR,STL,1/4"x5/8"x6",w/2.5" HOLE SPC</v>
          </cell>
          <cell r="C2542" t="str">
            <v>EA</v>
          </cell>
          <cell r="D2542" t="str">
            <v>RM100</v>
          </cell>
          <cell r="E2542">
            <v>7.17</v>
          </cell>
          <cell r="G2542">
            <v>207333</v>
          </cell>
        </row>
        <row r="2543">
          <cell r="A2543">
            <v>207335</v>
          </cell>
          <cell r="B2543" t="str">
            <v>PLATE,MNTG,S/S,IMRIS,3.12"x5.5"x0.5"</v>
          </cell>
          <cell r="C2543" t="str">
            <v>EA</v>
          </cell>
          <cell r="D2543" t="str">
            <v>RM100</v>
          </cell>
          <cell r="E2543">
            <v>75</v>
          </cell>
          <cell r="G2543">
            <v>207335</v>
          </cell>
        </row>
        <row r="2544">
          <cell r="A2544">
            <v>207337</v>
          </cell>
          <cell r="B2544" t="str">
            <v>SUP,BELT SLIDE, ALUM, 1.25"x3"</v>
          </cell>
          <cell r="C2544" t="str">
            <v>EA</v>
          </cell>
          <cell r="D2544" t="str">
            <v>RM100</v>
          </cell>
          <cell r="E2544">
            <v>34.484400000000001</v>
          </cell>
          <cell r="G2544">
            <v>207337</v>
          </cell>
        </row>
        <row r="2545">
          <cell r="A2545">
            <v>207338</v>
          </cell>
          <cell r="B2545" t="str">
            <v>BRKT,BELT SLIDE SUP, ALUM, 4"x1.62"x0.8"</v>
          </cell>
          <cell r="C2545" t="str">
            <v>EA</v>
          </cell>
          <cell r="D2545" t="str">
            <v>RM100</v>
          </cell>
          <cell r="E2545">
            <v>18.5</v>
          </cell>
          <cell r="G2545">
            <v>207338</v>
          </cell>
        </row>
        <row r="2546">
          <cell r="A2546">
            <v>207339</v>
          </cell>
          <cell r="B2546" t="str">
            <v>OBSOLETE</v>
          </cell>
          <cell r="C2546" t="str">
            <v>EA</v>
          </cell>
          <cell r="D2546" t="str">
            <v>FG055</v>
          </cell>
          <cell r="E2546">
            <v>44.5</v>
          </cell>
          <cell r="G2546">
            <v>207339</v>
          </cell>
        </row>
        <row r="2547">
          <cell r="A2547" t="str">
            <v>207340-L-SS</v>
          </cell>
          <cell r="B2547" t="str">
            <v>CVR,LEFT STATIONARY,4SS,FOLDED</v>
          </cell>
          <cell r="C2547" t="str">
            <v>EA</v>
          </cell>
          <cell r="D2547" t="str">
            <v>MA100</v>
          </cell>
          <cell r="E2547">
            <v>77.58</v>
          </cell>
          <cell r="G2547" t="str">
            <v>207340-L-SS</v>
          </cell>
        </row>
        <row r="2548">
          <cell r="A2548" t="str">
            <v>207340-R-SS</v>
          </cell>
          <cell r="B2548" t="str">
            <v>CVR,RIGHT STATIONARY,4SS,FOLDED</v>
          </cell>
          <cell r="C2548" t="str">
            <v>EA</v>
          </cell>
          <cell r="D2548" t="str">
            <v>MA100</v>
          </cell>
          <cell r="E2548">
            <v>77.58</v>
          </cell>
          <cell r="G2548" t="str">
            <v>207340-R-SS</v>
          </cell>
        </row>
        <row r="2549">
          <cell r="A2549" t="str">
            <v>207341-M-SS-AC</v>
          </cell>
          <cell r="B2549" t="str">
            <v>CVR,MID,STATIONARY,STNLS STL, ACOUSTIC</v>
          </cell>
          <cell r="C2549" t="str">
            <v>EA</v>
          </cell>
          <cell r="D2549" t="str">
            <v>MA100</v>
          </cell>
          <cell r="E2549">
            <v>75</v>
          </cell>
          <cell r="G2549" t="str">
            <v>207341-M-SS-AC</v>
          </cell>
        </row>
        <row r="2550">
          <cell r="A2550" t="str">
            <v>207342-SS</v>
          </cell>
          <cell r="B2550" t="str">
            <v>CVR,DR MNT,MOBILE,4SS,FOLDED</v>
          </cell>
          <cell r="C2550" t="str">
            <v>EA</v>
          </cell>
          <cell r="D2550" t="str">
            <v>MA100</v>
          </cell>
          <cell r="E2550">
            <v>39.796390000000002</v>
          </cell>
          <cell r="G2550" t="str">
            <v>207342-SS</v>
          </cell>
        </row>
        <row r="2551">
          <cell r="A2551">
            <v>207343</v>
          </cell>
          <cell r="B2551" t="str">
            <v>CVR,BEAM PCKT,FIXED.ALUM</v>
          </cell>
          <cell r="C2551" t="str">
            <v>EA</v>
          </cell>
          <cell r="D2551" t="str">
            <v>RM100</v>
          </cell>
          <cell r="E2551">
            <v>0</v>
          </cell>
          <cell r="G2551">
            <v>207343</v>
          </cell>
        </row>
        <row r="2552">
          <cell r="A2552">
            <v>207344</v>
          </cell>
          <cell r="B2552" t="str">
            <v>BRKT,FIXED DR CVRS.3003 ALUM,FOLDED</v>
          </cell>
          <cell r="C2552" t="str">
            <v>EA</v>
          </cell>
          <cell r="D2552" t="str">
            <v>MA100</v>
          </cell>
          <cell r="E2552">
            <v>2.9124500000000002</v>
          </cell>
          <cell r="G2552">
            <v>207344</v>
          </cell>
        </row>
        <row r="2553">
          <cell r="A2553">
            <v>207349</v>
          </cell>
          <cell r="B2553" t="str">
            <v>BRKT,FIXED LOWER PULLEY, ALUM,1.25"x4.3"</v>
          </cell>
          <cell r="C2553" t="str">
            <v>EA</v>
          </cell>
          <cell r="D2553" t="str">
            <v>MA100</v>
          </cell>
          <cell r="E2553">
            <v>5.8661199999999996</v>
          </cell>
          <cell r="G2553">
            <v>207349</v>
          </cell>
        </row>
        <row r="2554">
          <cell r="A2554">
            <v>207350</v>
          </cell>
          <cell r="B2554" t="str">
            <v>IOSD,PLC USED W/HMI, NON-ACOU.</v>
          </cell>
          <cell r="C2554" t="str">
            <v>EA</v>
          </cell>
          <cell r="D2554" t="str">
            <v>FG055</v>
          </cell>
          <cell r="E2554">
            <v>3056.2062999999998</v>
          </cell>
          <cell r="G2554">
            <v>207350</v>
          </cell>
        </row>
        <row r="2555">
          <cell r="A2555" t="str">
            <v>207350-AC</v>
          </cell>
          <cell r="B2555" t="str">
            <v>IOSD,PLC USED W/HMI, ACOUSTIC</v>
          </cell>
          <cell r="C2555" t="str">
            <v>EA</v>
          </cell>
          <cell r="D2555" t="str">
            <v>FG055</v>
          </cell>
          <cell r="E2555">
            <v>3236.7802000000001</v>
          </cell>
          <cell r="G2555" t="str">
            <v>207350-AC</v>
          </cell>
        </row>
        <row r="2556">
          <cell r="A2556">
            <v>207351</v>
          </cell>
          <cell r="B2556" t="str">
            <v>SIGNAL VALVE BOX, SSD, USED W/HMI</v>
          </cell>
          <cell r="C2556" t="str">
            <v>EA</v>
          </cell>
          <cell r="D2556" t="str">
            <v>MA100</v>
          </cell>
          <cell r="E2556">
            <v>724.14239999999995</v>
          </cell>
          <cell r="G2556">
            <v>207351</v>
          </cell>
        </row>
        <row r="2557">
          <cell r="A2557">
            <v>207352</v>
          </cell>
          <cell r="B2557" t="str">
            <v>SIGNAL VALVE BOX, USED W/HMI</v>
          </cell>
          <cell r="C2557" t="str">
            <v>EA</v>
          </cell>
          <cell r="D2557" t="str">
            <v>MA100</v>
          </cell>
          <cell r="E2557">
            <v>914.23068000000001</v>
          </cell>
          <cell r="G2557">
            <v>207352</v>
          </cell>
        </row>
        <row r="2558">
          <cell r="A2558">
            <v>207358</v>
          </cell>
          <cell r="B2558" t="str">
            <v>SEAL, RF, TOP&amp;BTM, PHS-BRNZ w/TIN-PLT</v>
          </cell>
          <cell r="C2558" t="str">
            <v>EA</v>
          </cell>
          <cell r="D2558" t="str">
            <v>RM100</v>
          </cell>
          <cell r="E2558">
            <v>33.1</v>
          </cell>
          <cell r="G2558">
            <v>207358</v>
          </cell>
        </row>
        <row r="2559">
          <cell r="A2559">
            <v>207361</v>
          </cell>
          <cell r="B2559" t="str">
            <v>BRKT, PULLEY SPRT,SS,14GA.</v>
          </cell>
          <cell r="C2559" t="str">
            <v>EA</v>
          </cell>
          <cell r="D2559" t="str">
            <v>MA100</v>
          </cell>
          <cell r="E2559">
            <v>15.064550000000001</v>
          </cell>
          <cell r="G2559">
            <v>207361</v>
          </cell>
        </row>
        <row r="2560">
          <cell r="A2560">
            <v>207362</v>
          </cell>
          <cell r="B2560" t="str">
            <v>PULLEY FOR BELTS, NYLON,1-1/4"BELT W</v>
          </cell>
          <cell r="C2560" t="str">
            <v>EA</v>
          </cell>
          <cell r="D2560" t="str">
            <v>RM100</v>
          </cell>
          <cell r="E2560">
            <v>12.82</v>
          </cell>
          <cell r="G2560">
            <v>207362</v>
          </cell>
        </row>
        <row r="2561">
          <cell r="A2561">
            <v>207364</v>
          </cell>
          <cell r="B2561" t="str">
            <v>ANGLE,BLK ADJ,S/S,IMRIS, DBL DR</v>
          </cell>
          <cell r="C2561" t="str">
            <v>EA</v>
          </cell>
          <cell r="D2561" t="str">
            <v>RM100</v>
          </cell>
          <cell r="E2561">
            <v>290</v>
          </cell>
          <cell r="G2561">
            <v>207364</v>
          </cell>
        </row>
        <row r="2562">
          <cell r="A2562">
            <v>207365</v>
          </cell>
          <cell r="B2562" t="str">
            <v>GUSSET, ALUM, 1/4"x1"x5"</v>
          </cell>
          <cell r="C2562" t="str">
            <v>EA</v>
          </cell>
          <cell r="D2562" t="str">
            <v>MA100</v>
          </cell>
          <cell r="E2562">
            <v>10.022</v>
          </cell>
          <cell r="G2562">
            <v>207365</v>
          </cell>
        </row>
        <row r="2563">
          <cell r="A2563">
            <v>207366</v>
          </cell>
          <cell r="B2563" t="str">
            <v>GUSSET, ALUM, 1/4"x1"x2.75"</v>
          </cell>
          <cell r="C2563" t="str">
            <v>EA</v>
          </cell>
          <cell r="D2563" t="str">
            <v>MA100</v>
          </cell>
          <cell r="E2563">
            <v>9.9112500000000008</v>
          </cell>
          <cell r="G2563">
            <v>207366</v>
          </cell>
        </row>
        <row r="2564">
          <cell r="A2564">
            <v>207368</v>
          </cell>
          <cell r="B2564" t="str">
            <v>NUT,INSERT,5/16-18, w/LEAF SPRING</v>
          </cell>
          <cell r="C2564" t="str">
            <v>EA</v>
          </cell>
          <cell r="D2564" t="str">
            <v>RM100</v>
          </cell>
          <cell r="E2564">
            <v>1.492</v>
          </cell>
          <cell r="G2564">
            <v>207368</v>
          </cell>
        </row>
        <row r="2565">
          <cell r="A2565">
            <v>207369</v>
          </cell>
          <cell r="B2565" t="str">
            <v>NUT, INSERT,5/16-18, w/SPRING**SEE NOTES</v>
          </cell>
          <cell r="C2565" t="str">
            <v>EA</v>
          </cell>
          <cell r="D2565" t="str">
            <v>RM100</v>
          </cell>
          <cell r="E2565">
            <v>1.206</v>
          </cell>
          <cell r="G2565">
            <v>207369</v>
          </cell>
        </row>
        <row r="2566">
          <cell r="A2566" t="str">
            <v>207374-L</v>
          </cell>
          <cell r="B2566" t="str">
            <v>ASSY,H-BRKT,THRSHLD CAM, LEFT DR</v>
          </cell>
          <cell r="C2566" t="str">
            <v>EA</v>
          </cell>
          <cell r="D2566" t="str">
            <v>MA100</v>
          </cell>
          <cell r="E2566">
            <v>92.812020000000004</v>
          </cell>
          <cell r="G2566" t="str">
            <v>207374-L</v>
          </cell>
        </row>
        <row r="2567">
          <cell r="A2567" t="str">
            <v>207374-L-CCA</v>
          </cell>
          <cell r="B2567" t="str">
            <v>ASSY,H-BRKT,THRSHLD CAM,LH,CLR CT ANDZ</v>
          </cell>
          <cell r="C2567" t="str">
            <v>EA</v>
          </cell>
          <cell r="D2567" t="str">
            <v>MA100</v>
          </cell>
          <cell r="E2567">
            <v>215.84478999999999</v>
          </cell>
          <cell r="G2567" t="str">
            <v>207374-L-CCA</v>
          </cell>
        </row>
        <row r="2568">
          <cell r="A2568" t="str">
            <v>207374-L-CCA-OP</v>
          </cell>
          <cell r="B2568" t="str">
            <v>ASSY,H-BRKT,THRSHLD CAM,LH,MACH&amp;CLR CT</v>
          </cell>
          <cell r="C2568" t="str">
            <v>EA</v>
          </cell>
          <cell r="D2568" t="str">
            <v>RM100</v>
          </cell>
          <cell r="E2568">
            <v>156.66</v>
          </cell>
          <cell r="G2568" t="str">
            <v>207374-L-CCA-OP</v>
          </cell>
        </row>
        <row r="2569">
          <cell r="A2569" t="str">
            <v>207374-L-OP</v>
          </cell>
          <cell r="B2569" t="str">
            <v>ASSY,H-BRKT,THRSHLD CAM, L DR,PWD CT</v>
          </cell>
          <cell r="C2569" t="str">
            <v>EA</v>
          </cell>
          <cell r="D2569" t="str">
            <v>RM100</v>
          </cell>
          <cell r="E2569">
            <v>0</v>
          </cell>
          <cell r="G2569" t="str">
            <v>207374-L-OP</v>
          </cell>
        </row>
        <row r="2570">
          <cell r="A2570" t="str">
            <v>207374-R</v>
          </cell>
          <cell r="B2570" t="str">
            <v>ASSY,H-BRKT,THRSHLD CAM, RT DR</v>
          </cell>
          <cell r="C2570" t="str">
            <v>EA</v>
          </cell>
          <cell r="D2570" t="str">
            <v>MA100</v>
          </cell>
          <cell r="E2570">
            <v>92.812020000000004</v>
          </cell>
          <cell r="G2570" t="str">
            <v>207374-R</v>
          </cell>
        </row>
        <row r="2571">
          <cell r="A2571" t="str">
            <v>207374-R-CCA</v>
          </cell>
          <cell r="B2571" t="str">
            <v>ASSY,H-BRKT,THRSHLD CAM,RH,CLR CT ANDZ</v>
          </cell>
          <cell r="C2571" t="str">
            <v>EA</v>
          </cell>
          <cell r="D2571" t="str">
            <v>MA100</v>
          </cell>
          <cell r="E2571">
            <v>215.84478999999999</v>
          </cell>
          <cell r="G2571" t="str">
            <v>207374-R-CCA</v>
          </cell>
        </row>
        <row r="2572">
          <cell r="A2572" t="str">
            <v>207374-R-CCA-OP</v>
          </cell>
          <cell r="B2572" t="str">
            <v>ASSY,H-BRKT,THRSHLD CAM,RH,MACH&amp;CLR CT</v>
          </cell>
          <cell r="C2572" t="str">
            <v>EA</v>
          </cell>
          <cell r="D2572" t="str">
            <v>RM100</v>
          </cell>
          <cell r="E2572">
            <v>156.66</v>
          </cell>
          <cell r="G2572" t="str">
            <v>207374-R-CCA-OP</v>
          </cell>
        </row>
        <row r="2573">
          <cell r="A2573" t="str">
            <v>207374-R-OP</v>
          </cell>
          <cell r="B2573" t="str">
            <v>ASSY,H-BRKT,THRSH CAM, RT DR,PWD CT/SO</v>
          </cell>
          <cell r="C2573" t="str">
            <v>EA</v>
          </cell>
          <cell r="D2573" t="str">
            <v>RM100</v>
          </cell>
          <cell r="E2573">
            <v>0</v>
          </cell>
          <cell r="G2573" t="str">
            <v>207374-R-OP</v>
          </cell>
        </row>
        <row r="2574">
          <cell r="A2574" t="str">
            <v>207375-L</v>
          </cell>
          <cell r="B2574" t="str">
            <v>BUY 207374-L / SO</v>
          </cell>
          <cell r="C2574" t="str">
            <v>EA</v>
          </cell>
          <cell r="D2574" t="str">
            <v>RM100</v>
          </cell>
          <cell r="E2574">
            <v>69.5</v>
          </cell>
          <cell r="G2574" t="str">
            <v>207375-L</v>
          </cell>
        </row>
        <row r="2575">
          <cell r="A2575" t="str">
            <v>207375-R</v>
          </cell>
          <cell r="B2575" t="str">
            <v>H-BRKT,THRSHLD CAM, RIGHT DR,MACH</v>
          </cell>
          <cell r="C2575" t="str">
            <v>EA</v>
          </cell>
          <cell r="D2575" t="str">
            <v>RM100</v>
          </cell>
          <cell r="E2575">
            <v>69.5</v>
          </cell>
          <cell r="G2575" t="str">
            <v>207375-R</v>
          </cell>
        </row>
        <row r="2576">
          <cell r="A2576">
            <v>207378</v>
          </cell>
          <cell r="B2576" t="str">
            <v>ASSY,HMI-TOUCH SCRN (Schneider)</v>
          </cell>
          <cell r="C2576" t="str">
            <v>EA</v>
          </cell>
          <cell r="D2576" t="str">
            <v>FG055</v>
          </cell>
          <cell r="E2576">
            <v>1747.6981000000001</v>
          </cell>
          <cell r="G2576">
            <v>207378</v>
          </cell>
        </row>
        <row r="2577">
          <cell r="A2577">
            <v>207386</v>
          </cell>
          <cell r="B2577" t="str">
            <v>ASSY,ETHERNET,SWITCH</v>
          </cell>
          <cell r="C2577" t="str">
            <v>EA</v>
          </cell>
          <cell r="D2577" t="str">
            <v>RM100</v>
          </cell>
          <cell r="E2577">
            <v>250</v>
          </cell>
          <cell r="G2577">
            <v>207386</v>
          </cell>
        </row>
        <row r="2578">
          <cell r="A2578">
            <v>207387</v>
          </cell>
          <cell r="B2578" t="str">
            <v>SCR,#8-32X1/2,PH,FH,UNDERCUT,SS,18-8</v>
          </cell>
          <cell r="C2578" t="str">
            <v>EA</v>
          </cell>
          <cell r="D2578" t="str">
            <v>RM100</v>
          </cell>
          <cell r="E2578">
            <v>7.7799999999999994E-2</v>
          </cell>
          <cell r="G2578">
            <v>207387</v>
          </cell>
        </row>
        <row r="2579">
          <cell r="A2579">
            <v>207395</v>
          </cell>
          <cell r="B2579" t="str">
            <v>ASSY, PRESS BAR, 5', TOP/BOTTOM, SSD</v>
          </cell>
          <cell r="C2579" t="str">
            <v>EA</v>
          </cell>
          <cell r="D2579" t="str">
            <v>MA100</v>
          </cell>
          <cell r="E2579">
            <v>55.908090000000001</v>
          </cell>
          <cell r="G2579">
            <v>207395</v>
          </cell>
        </row>
        <row r="2580">
          <cell r="A2580" t="str">
            <v>207400-SS</v>
          </cell>
          <cell r="B2580" t="str">
            <v>ASSY,DR&amp;JB,DBL SLDG w/#4SS FIN,100"x84"</v>
          </cell>
          <cell r="C2580" t="str">
            <v>EA</v>
          </cell>
          <cell r="D2580" t="str">
            <v>MA100</v>
          </cell>
          <cell r="E2580">
            <v>20283.269380000002</v>
          </cell>
          <cell r="G2580" t="str">
            <v>207400-SS</v>
          </cell>
        </row>
        <row r="2581">
          <cell r="A2581">
            <v>207401</v>
          </cell>
          <cell r="B2581" t="str">
            <v>ASSY,JAMB,DBL SLDG INTERV, 100"x84"</v>
          </cell>
          <cell r="C2581" t="str">
            <v>EA</v>
          </cell>
          <cell r="D2581" t="str">
            <v>MA100</v>
          </cell>
          <cell r="E2581">
            <v>9002.8355499999998</v>
          </cell>
          <cell r="G2581">
            <v>207401</v>
          </cell>
        </row>
        <row r="2582">
          <cell r="A2582" t="str">
            <v>207402-SS</v>
          </cell>
          <cell r="B2582" t="str">
            <v>ASSY,RH DR,DBL SLDG w/#4SS FIN,50"x83.63</v>
          </cell>
          <cell r="C2582" t="str">
            <v>EA</v>
          </cell>
          <cell r="D2582" t="str">
            <v>MA100</v>
          </cell>
          <cell r="E2582">
            <v>4929.5951800000003</v>
          </cell>
          <cell r="G2582" t="str">
            <v>207402-SS</v>
          </cell>
        </row>
        <row r="2583">
          <cell r="A2583" t="str">
            <v>207403-SS</v>
          </cell>
          <cell r="B2583" t="str">
            <v>ASSY,LH DR,DBL SLDG w/#4SS FIN,50x83.625</v>
          </cell>
          <cell r="C2583" t="str">
            <v>EA</v>
          </cell>
          <cell r="D2583" t="str">
            <v>MA100</v>
          </cell>
          <cell r="E2583">
            <v>4993.9463400000004</v>
          </cell>
          <cell r="G2583" t="str">
            <v>207403-SS</v>
          </cell>
        </row>
        <row r="2584">
          <cell r="A2584">
            <v>207404</v>
          </cell>
          <cell r="B2584" t="str">
            <v>EXTRU,ALUM,H-BRACKET,DR,11FT</v>
          </cell>
          <cell r="C2584" t="str">
            <v>EA</v>
          </cell>
          <cell r="D2584" t="str">
            <v>FG055</v>
          </cell>
          <cell r="E2584">
            <v>46.62403509</v>
          </cell>
          <cell r="G2584">
            <v>207404</v>
          </cell>
        </row>
        <row r="2585">
          <cell r="A2585">
            <v>207408</v>
          </cell>
          <cell r="B2585" t="str">
            <v>EXTRU,ALUM,VERT EDGE,SEAL DR,7.5FT</v>
          </cell>
          <cell r="C2585" t="str">
            <v>EA</v>
          </cell>
          <cell r="D2585" t="str">
            <v>FG055</v>
          </cell>
          <cell r="E2585">
            <v>7.8589361699999998</v>
          </cell>
          <cell r="G2585">
            <v>207408</v>
          </cell>
        </row>
        <row r="2586">
          <cell r="A2586">
            <v>207409</v>
          </cell>
          <cell r="B2586" t="str">
            <v>EXTRU,JMB,BRKT,ALUM,7.5FT</v>
          </cell>
          <cell r="C2586" t="str">
            <v>EA</v>
          </cell>
          <cell r="D2586" t="str">
            <v>FG055</v>
          </cell>
          <cell r="E2586">
            <v>36.58</v>
          </cell>
          <cell r="G2586">
            <v>207409</v>
          </cell>
        </row>
        <row r="2587">
          <cell r="A2587">
            <v>207410</v>
          </cell>
          <cell r="B2587" t="str">
            <v>JAMB,SIDE RAIL-SUPPORT,84"*</v>
          </cell>
          <cell r="C2587" t="str">
            <v>EA</v>
          </cell>
          <cell r="D2587" t="str">
            <v>MA100</v>
          </cell>
          <cell r="E2587">
            <v>186.02</v>
          </cell>
          <cell r="G2587">
            <v>207410</v>
          </cell>
        </row>
        <row r="2588">
          <cell r="A2588" t="str">
            <v>207410-OP</v>
          </cell>
          <cell r="B2588" t="str">
            <v>JAMB, SIDE RAIL SUPP,84" w/MACHINING</v>
          </cell>
          <cell r="C2588" t="str">
            <v>EA</v>
          </cell>
          <cell r="D2588" t="str">
            <v>RM100</v>
          </cell>
          <cell r="E2588">
            <v>91.5</v>
          </cell>
          <cell r="G2588" t="str">
            <v>207410-OP</v>
          </cell>
        </row>
        <row r="2589">
          <cell r="A2589" t="str">
            <v>207410-OP2</v>
          </cell>
          <cell r="B2589" t="str">
            <v>JAMB, SIDE RAIL SUPP, 84" w/ARC SPRY</v>
          </cell>
          <cell r="C2589" t="str">
            <v>EA</v>
          </cell>
          <cell r="D2589" t="str">
            <v>RM100</v>
          </cell>
          <cell r="E2589">
            <v>36.79</v>
          </cell>
          <cell r="G2589" t="str">
            <v>207410-OP2</v>
          </cell>
        </row>
        <row r="2590">
          <cell r="A2590">
            <v>207411</v>
          </cell>
          <cell r="B2590" t="str">
            <v>CLMP,TRIM, RF SEAL,83.625"LNG,ALUM PWD C</v>
          </cell>
          <cell r="C2590" t="str">
            <v>EA</v>
          </cell>
          <cell r="D2590" t="str">
            <v>MA100</v>
          </cell>
          <cell r="E2590">
            <v>0</v>
          </cell>
          <cell r="G2590">
            <v>207411</v>
          </cell>
        </row>
        <row r="2591">
          <cell r="A2591" t="str">
            <v>207411-CCA</v>
          </cell>
          <cell r="B2591" t="str">
            <v>CLMP,TRIM,RF SEAL,83.625"LNG,CLR ANDZD</v>
          </cell>
          <cell r="C2591" t="str">
            <v>EA</v>
          </cell>
          <cell r="D2591" t="str">
            <v>MA100</v>
          </cell>
          <cell r="E2591">
            <v>96.355040000000002</v>
          </cell>
          <cell r="G2591" t="str">
            <v>207411-CCA</v>
          </cell>
        </row>
        <row r="2592">
          <cell r="A2592" t="str">
            <v>207411-CCA-OP</v>
          </cell>
          <cell r="B2592" t="str">
            <v>CLMP,TRIM,RF SEAL,83.625"LG,MACH&amp;CCA</v>
          </cell>
          <cell r="C2592" t="str">
            <v>EA</v>
          </cell>
          <cell r="D2592" t="str">
            <v>MA100</v>
          </cell>
          <cell r="E2592">
            <v>88.11</v>
          </cell>
          <cell r="G2592" t="str">
            <v>207411-CCA-OP</v>
          </cell>
        </row>
        <row r="2593">
          <cell r="A2593">
            <v>207412</v>
          </cell>
          <cell r="B2593" t="str">
            <v>CLMP, TRIM, NON-RF, 81.125"LNG, ALUM</v>
          </cell>
          <cell r="C2593" t="str">
            <v>EA</v>
          </cell>
          <cell r="D2593" t="str">
            <v>MA100</v>
          </cell>
          <cell r="E2593">
            <v>82.814040000000006</v>
          </cell>
          <cell r="G2593">
            <v>207412</v>
          </cell>
        </row>
        <row r="2594">
          <cell r="A2594" t="str">
            <v>207412-CCA</v>
          </cell>
          <cell r="B2594" t="str">
            <v>CLMP,TRIM,NON-RF,83.625",CLR CT ANODZ</v>
          </cell>
          <cell r="C2594" t="str">
            <v>EA</v>
          </cell>
          <cell r="D2594" t="str">
            <v>MA100</v>
          </cell>
          <cell r="E2594">
            <v>78.245040000000003</v>
          </cell>
          <cell r="G2594" t="str">
            <v>207412-CCA</v>
          </cell>
        </row>
        <row r="2595">
          <cell r="A2595" t="str">
            <v>207412-CCA-OP</v>
          </cell>
          <cell r="B2595" t="str">
            <v>CLPM,TRIM.NON-RF,83.625",MACH&amp;CLR CT</v>
          </cell>
          <cell r="C2595" t="str">
            <v>EA</v>
          </cell>
          <cell r="D2595" t="str">
            <v>RM100</v>
          </cell>
          <cell r="E2595">
            <v>70</v>
          </cell>
          <cell r="G2595" t="str">
            <v>207412-CCA-OP</v>
          </cell>
        </row>
        <row r="2596">
          <cell r="A2596" t="str">
            <v>207412-OP</v>
          </cell>
          <cell r="B2596" t="str">
            <v>CLMP, TRIM, NON-RF, 83.625"LNG,w/MACH</v>
          </cell>
          <cell r="C2596" t="str">
            <v>EA</v>
          </cell>
          <cell r="D2596" t="str">
            <v>RM100</v>
          </cell>
          <cell r="E2596">
            <v>74.569000000000003</v>
          </cell>
          <cell r="G2596" t="str">
            <v>207412-OP</v>
          </cell>
        </row>
        <row r="2597">
          <cell r="A2597" t="str">
            <v>207412-OP2</v>
          </cell>
          <cell r="B2597" t="str">
            <v>CLMP,TRIM,NON-RF, 83.625"LNG,w/PWDR CT</v>
          </cell>
          <cell r="C2597" t="str">
            <v>EA</v>
          </cell>
          <cell r="D2597" t="str">
            <v>RM100</v>
          </cell>
          <cell r="E2597">
            <v>0</v>
          </cell>
          <cell r="G2597" t="str">
            <v>207412-OP2</v>
          </cell>
        </row>
        <row r="2598">
          <cell r="A2598">
            <v>207413</v>
          </cell>
          <cell r="B2598" t="str">
            <v>CLMP,TRIM,NON-RF,83.625"LG w/AIR HL</v>
          </cell>
          <cell r="C2598" t="str">
            <v>EA</v>
          </cell>
          <cell r="D2598" t="str">
            <v>MA100</v>
          </cell>
          <cell r="E2598">
            <v>0</v>
          </cell>
          <cell r="G2598">
            <v>207413</v>
          </cell>
        </row>
        <row r="2599">
          <cell r="A2599" t="str">
            <v>207413-CCA</v>
          </cell>
          <cell r="B2599" t="str">
            <v>CLMP,TRIM,NON-RF,83.625",CLR CT ANODZ</v>
          </cell>
          <cell r="C2599" t="str">
            <v>EA</v>
          </cell>
          <cell r="D2599" t="str">
            <v>MA100</v>
          </cell>
          <cell r="E2599">
            <v>78.245040000000003</v>
          </cell>
          <cell r="G2599" t="str">
            <v>207413-CCA</v>
          </cell>
        </row>
        <row r="2600">
          <cell r="A2600" t="str">
            <v>207413-CCA-OP</v>
          </cell>
          <cell r="B2600" t="str">
            <v>CLMP,TRIM,NON-RF,83.625",MACH&amp;CLR CT</v>
          </cell>
          <cell r="C2600" t="str">
            <v>EA</v>
          </cell>
          <cell r="D2600" t="str">
            <v>RM100</v>
          </cell>
          <cell r="E2600">
            <v>70</v>
          </cell>
          <cell r="G2600" t="str">
            <v>207413-CCA-OP</v>
          </cell>
        </row>
        <row r="2601">
          <cell r="A2601">
            <v>207414</v>
          </cell>
          <cell r="B2601" t="str">
            <v>ASSY,DR LEAF KIT,Maytec,77.425"x49.8"</v>
          </cell>
          <cell r="C2601" t="str">
            <v>EA</v>
          </cell>
          <cell r="D2601" t="str">
            <v>RM100</v>
          </cell>
          <cell r="E2601">
            <v>593.15</v>
          </cell>
          <cell r="G2601">
            <v>207414</v>
          </cell>
        </row>
        <row r="2602">
          <cell r="A2602">
            <v>207415</v>
          </cell>
          <cell r="B2602" t="str">
            <v>SKIN,RF SHLD,SLDG DR, ALUM,77.625"x50"</v>
          </cell>
          <cell r="C2602" t="str">
            <v>EA</v>
          </cell>
          <cell r="D2602" t="str">
            <v>RM100</v>
          </cell>
          <cell r="E2602">
            <v>227.97</v>
          </cell>
          <cell r="G2602">
            <v>207415</v>
          </cell>
        </row>
        <row r="2603">
          <cell r="A2603">
            <v>207416</v>
          </cell>
          <cell r="B2603" t="str">
            <v>SKIN,NON-RF,SLDG DR,ALUM,83.625"x49.873"</v>
          </cell>
          <cell r="C2603" t="str">
            <v>EA</v>
          </cell>
          <cell r="D2603" t="str">
            <v>RM100</v>
          </cell>
          <cell r="E2603">
            <v>290.98</v>
          </cell>
          <cell r="G2603">
            <v>207416</v>
          </cell>
        </row>
        <row r="2604">
          <cell r="A2604">
            <v>207418</v>
          </cell>
          <cell r="B2604" t="str">
            <v>PLT,SPCR,ALUM,DR TO CYL,2-7/16x5-1/2x1/4</v>
          </cell>
          <cell r="C2604" t="str">
            <v>EA</v>
          </cell>
          <cell r="D2604" t="str">
            <v>RM100</v>
          </cell>
          <cell r="E2604">
            <v>9.5703999999999994</v>
          </cell>
          <cell r="G2604">
            <v>207418</v>
          </cell>
        </row>
        <row r="2605">
          <cell r="A2605">
            <v>207422</v>
          </cell>
          <cell r="B2605" t="str">
            <v>PLT,RF CONTACT,BK EDGE DR,TOP-L,BTM-R</v>
          </cell>
          <cell r="C2605" t="str">
            <v>EA</v>
          </cell>
          <cell r="D2605" t="str">
            <v>RM100</v>
          </cell>
          <cell r="E2605">
            <v>13</v>
          </cell>
          <cell r="G2605">
            <v>207422</v>
          </cell>
        </row>
        <row r="2606">
          <cell r="A2606">
            <v>207423</v>
          </cell>
          <cell r="B2606" t="str">
            <v>PLT,RF CONTACT,BK EDGE DR,TOP-R,BTM-L</v>
          </cell>
          <cell r="C2606" t="str">
            <v>EA</v>
          </cell>
          <cell r="D2606" t="str">
            <v>RM100</v>
          </cell>
          <cell r="E2606">
            <v>18.899999999999999</v>
          </cell>
          <cell r="G2606">
            <v>207423</v>
          </cell>
        </row>
        <row r="2607">
          <cell r="A2607">
            <v>207424</v>
          </cell>
          <cell r="B2607" t="str">
            <v>NUT,BAR,STL,77.250",4" HOLE,FOR 8-32 SCR</v>
          </cell>
          <cell r="C2607" t="str">
            <v>EA</v>
          </cell>
          <cell r="D2607" t="str">
            <v>RM100</v>
          </cell>
          <cell r="E2607">
            <v>88.5</v>
          </cell>
          <cell r="G2607">
            <v>207424</v>
          </cell>
        </row>
        <row r="2608">
          <cell r="A2608">
            <v>207425</v>
          </cell>
          <cell r="B2608" t="str">
            <v>NUT,BAR,STL,77.250",4" HOLE SPC</v>
          </cell>
          <cell r="C2608" t="str">
            <v>EA</v>
          </cell>
          <cell r="D2608" t="str">
            <v>RM100</v>
          </cell>
          <cell r="E2608">
            <v>78.5</v>
          </cell>
          <cell r="G2608">
            <v>207425</v>
          </cell>
        </row>
        <row r="2609">
          <cell r="A2609">
            <v>207427</v>
          </cell>
          <cell r="B2609" t="str">
            <v>NUT,BAR,STL,1/4"x5/8"x77.250",6" HOLE</v>
          </cell>
          <cell r="C2609" t="str">
            <v>EA</v>
          </cell>
          <cell r="D2609" t="str">
            <v>RM100</v>
          </cell>
          <cell r="E2609">
            <v>70.16</v>
          </cell>
          <cell r="G2609">
            <v>207427</v>
          </cell>
        </row>
        <row r="2610">
          <cell r="A2610">
            <v>207428</v>
          </cell>
          <cell r="B2610" t="str">
            <v>BRKT,ANGLE,ALUM,1.5"x1.5"x.125</v>
          </cell>
          <cell r="C2610" t="str">
            <v>EA</v>
          </cell>
          <cell r="D2610" t="str">
            <v>RM100</v>
          </cell>
          <cell r="E2610">
            <v>18.223030000000001</v>
          </cell>
          <cell r="G2610">
            <v>207428</v>
          </cell>
        </row>
        <row r="2611">
          <cell r="A2611">
            <v>207430</v>
          </cell>
          <cell r="B2611" t="str">
            <v>NUT,BAR,STL,43.5" LNG, 5/16-18 TH HOLES</v>
          </cell>
          <cell r="C2611" t="str">
            <v>EA</v>
          </cell>
          <cell r="D2611" t="str">
            <v>RM100</v>
          </cell>
          <cell r="E2611">
            <v>69.3</v>
          </cell>
          <cell r="G2611">
            <v>207430</v>
          </cell>
        </row>
        <row r="2612">
          <cell r="A2612">
            <v>207431</v>
          </cell>
          <cell r="B2612" t="str">
            <v>NUT,BAR,STL,5/16-18 TH HOLES</v>
          </cell>
          <cell r="C2612" t="str">
            <v>EA</v>
          </cell>
          <cell r="D2612" t="str">
            <v>RM100</v>
          </cell>
          <cell r="E2612">
            <v>24.04</v>
          </cell>
          <cell r="G2612">
            <v>207431</v>
          </cell>
        </row>
        <row r="2613">
          <cell r="A2613">
            <v>207432</v>
          </cell>
          <cell r="B2613" t="str">
            <v>NUT,BAR,STL,1/4"x5/8"x43.5",w/8.5" SPC</v>
          </cell>
          <cell r="C2613" t="str">
            <v>EA</v>
          </cell>
          <cell r="D2613" t="str">
            <v>RM100</v>
          </cell>
          <cell r="E2613">
            <v>37.58</v>
          </cell>
          <cell r="G2613">
            <v>207432</v>
          </cell>
        </row>
        <row r="2614">
          <cell r="A2614">
            <v>207433</v>
          </cell>
          <cell r="B2614" t="str">
            <v>CVR,ALUM,END CAP, TOP&amp;BTM</v>
          </cell>
          <cell r="C2614" t="str">
            <v>EA</v>
          </cell>
          <cell r="D2614" t="str">
            <v>RM100</v>
          </cell>
          <cell r="E2614">
            <v>22.5</v>
          </cell>
          <cell r="G2614">
            <v>207433</v>
          </cell>
        </row>
        <row r="2615">
          <cell r="A2615">
            <v>207434</v>
          </cell>
          <cell r="B2615" t="str">
            <v>NUT,BAR,STL,1/4"x5/8"x6",w/2.5" HOLE SPC</v>
          </cell>
          <cell r="C2615" t="str">
            <v>EA</v>
          </cell>
          <cell r="D2615" t="str">
            <v>RM100</v>
          </cell>
          <cell r="E2615">
            <v>18.627289999999999</v>
          </cell>
          <cell r="G2615">
            <v>207434</v>
          </cell>
        </row>
        <row r="2616">
          <cell r="A2616">
            <v>207436</v>
          </cell>
          <cell r="B2616" t="str">
            <v>ASSY,BLK ADJ,S/S,IMRIS,7FT DBL DR</v>
          </cell>
          <cell r="C2616" t="str">
            <v>EA</v>
          </cell>
          <cell r="D2616" t="str">
            <v>MA100</v>
          </cell>
          <cell r="E2616">
            <v>632.78420000000006</v>
          </cell>
          <cell r="G2616">
            <v>207436</v>
          </cell>
        </row>
        <row r="2617">
          <cell r="A2617">
            <v>207437</v>
          </cell>
          <cell r="B2617" t="str">
            <v>ANGLE,BLK ADJ,S/S,IMRIS, 7FT DBL DR</v>
          </cell>
          <cell r="C2617" t="str">
            <v>EA</v>
          </cell>
          <cell r="D2617" t="str">
            <v>RM100</v>
          </cell>
          <cell r="E2617">
            <v>237.2</v>
          </cell>
          <cell r="G2617">
            <v>207437</v>
          </cell>
        </row>
        <row r="2618">
          <cell r="A2618">
            <v>207438</v>
          </cell>
          <cell r="B2618" t="str">
            <v>BAR,BLK ADJ,S/S,IMRIS, 7FT DBL DR</v>
          </cell>
          <cell r="C2618" t="str">
            <v>EA</v>
          </cell>
          <cell r="D2618" t="str">
            <v>RM100</v>
          </cell>
          <cell r="E2618">
            <v>12.5206</v>
          </cell>
          <cell r="G2618">
            <v>207438</v>
          </cell>
        </row>
        <row r="2619">
          <cell r="A2619">
            <v>207439</v>
          </cell>
          <cell r="B2619" t="str">
            <v>PLATE,JOINING,EXTR,ALUM</v>
          </cell>
          <cell r="C2619" t="str">
            <v>EA</v>
          </cell>
          <cell r="D2619" t="str">
            <v>RM100</v>
          </cell>
          <cell r="E2619">
            <v>15</v>
          </cell>
          <cell r="G2619">
            <v>207439</v>
          </cell>
        </row>
        <row r="2620">
          <cell r="A2620" t="str">
            <v>207440-L</v>
          </cell>
          <cell r="B2620" t="str">
            <v>CVR,LEFT STATIONARY,ALUM,FOLDED</v>
          </cell>
          <cell r="C2620" t="str">
            <v>EA</v>
          </cell>
          <cell r="D2620" t="str">
            <v>MA100</v>
          </cell>
          <cell r="E2620">
            <v>25.280999999999999</v>
          </cell>
          <cell r="G2620" t="str">
            <v>207440-L</v>
          </cell>
        </row>
        <row r="2621">
          <cell r="A2621" t="str">
            <v>207440-L-OP</v>
          </cell>
          <cell r="B2621" t="str">
            <v>POWDER COATING OF 207440-L</v>
          </cell>
          <cell r="C2621" t="str">
            <v>EA</v>
          </cell>
          <cell r="D2621" t="str">
            <v>RM100</v>
          </cell>
          <cell r="E2621">
            <v>0</v>
          </cell>
          <cell r="G2621" t="str">
            <v>207440-L-OP</v>
          </cell>
        </row>
        <row r="2622">
          <cell r="A2622" t="str">
            <v>207440-L-SS</v>
          </cell>
          <cell r="B2622" t="str">
            <v>CVR,LEFT STATIONARY,SS,FOLDED</v>
          </cell>
          <cell r="C2622" t="str">
            <v>EA</v>
          </cell>
          <cell r="D2622" t="str">
            <v>MA100</v>
          </cell>
          <cell r="E2622">
            <v>135.22999999999999</v>
          </cell>
          <cell r="G2622" t="str">
            <v>207440-L-SS</v>
          </cell>
        </row>
        <row r="2623">
          <cell r="A2623" t="str">
            <v>207440-R</v>
          </cell>
          <cell r="B2623" t="str">
            <v>CVR,RIGHT STATIONARY,ALUM,FOLDED</v>
          </cell>
          <cell r="C2623" t="str">
            <v>EA</v>
          </cell>
          <cell r="D2623" t="str">
            <v>MA100</v>
          </cell>
          <cell r="E2623">
            <v>25.280999999999999</v>
          </cell>
          <cell r="G2623" t="str">
            <v>207440-R</v>
          </cell>
        </row>
        <row r="2624">
          <cell r="A2624" t="str">
            <v>207440-R-OP</v>
          </cell>
          <cell r="B2624" t="str">
            <v>POWDER COATING OF 207440-R</v>
          </cell>
          <cell r="C2624" t="str">
            <v>EA</v>
          </cell>
          <cell r="D2624" t="str">
            <v>RM100</v>
          </cell>
          <cell r="E2624">
            <v>0</v>
          </cell>
          <cell r="G2624" t="str">
            <v>207440-R-OP</v>
          </cell>
        </row>
        <row r="2625">
          <cell r="A2625" t="str">
            <v>207440-R-SS</v>
          </cell>
          <cell r="B2625" t="str">
            <v>CVR,RIGHT STATIONARY,SS,FOLDED</v>
          </cell>
          <cell r="C2625" t="str">
            <v>EA</v>
          </cell>
          <cell r="D2625" t="str">
            <v>MA100</v>
          </cell>
          <cell r="E2625">
            <v>135.22999999999999</v>
          </cell>
          <cell r="G2625" t="str">
            <v>207440-R-SS</v>
          </cell>
        </row>
        <row r="2626">
          <cell r="A2626" t="str">
            <v>207441-L</v>
          </cell>
          <cell r="B2626" t="str">
            <v>CVR,MID LEFT,STATIONARY.ALUM,FOLDED</v>
          </cell>
          <cell r="C2626" t="str">
            <v>EA</v>
          </cell>
          <cell r="D2626" t="str">
            <v>MA100</v>
          </cell>
          <cell r="E2626">
            <v>25.280999999999999</v>
          </cell>
          <cell r="G2626" t="str">
            <v>207441-L</v>
          </cell>
        </row>
        <row r="2627">
          <cell r="A2627" t="str">
            <v>207441-L-OP</v>
          </cell>
          <cell r="B2627" t="str">
            <v>POWDER COATING OF 207441-L</v>
          </cell>
          <cell r="C2627" t="str">
            <v>EA</v>
          </cell>
          <cell r="D2627" t="str">
            <v>RM100</v>
          </cell>
          <cell r="E2627">
            <v>0</v>
          </cell>
          <cell r="G2627" t="str">
            <v>207441-L-OP</v>
          </cell>
        </row>
        <row r="2628">
          <cell r="A2628" t="str">
            <v>207441-L-SS</v>
          </cell>
          <cell r="B2628" t="str">
            <v>CVR,MID LEFT,STATIONARY,SS,FOLDED</v>
          </cell>
          <cell r="C2628" t="str">
            <v>EA</v>
          </cell>
          <cell r="D2628" t="str">
            <v>MA100</v>
          </cell>
          <cell r="E2628">
            <v>137.24278000000001</v>
          </cell>
          <cell r="G2628" t="str">
            <v>207441-L-SS</v>
          </cell>
        </row>
        <row r="2629">
          <cell r="A2629" t="str">
            <v>207441-R</v>
          </cell>
          <cell r="B2629" t="str">
            <v>CVR,MID RIGHT,STATIONARY.ALUM,FOLDED</v>
          </cell>
          <cell r="C2629" t="str">
            <v>EA</v>
          </cell>
          <cell r="D2629" t="str">
            <v>MA100</v>
          </cell>
          <cell r="E2629">
            <v>25.280999999999999</v>
          </cell>
          <cell r="G2629" t="str">
            <v>207441-R</v>
          </cell>
        </row>
        <row r="2630">
          <cell r="A2630" t="str">
            <v>207441-R-OP</v>
          </cell>
          <cell r="B2630" t="str">
            <v>POWDER COATING OF 207441-R</v>
          </cell>
          <cell r="C2630" t="str">
            <v>EA</v>
          </cell>
          <cell r="D2630" t="str">
            <v>RM100</v>
          </cell>
          <cell r="E2630">
            <v>0</v>
          </cell>
          <cell r="G2630" t="str">
            <v>207441-R-OP</v>
          </cell>
        </row>
        <row r="2631">
          <cell r="A2631" t="str">
            <v>207441-R-SS</v>
          </cell>
          <cell r="B2631" t="str">
            <v>CVR,MID RIGHT,STATIONARY,SS,FOLDED</v>
          </cell>
          <cell r="C2631" t="str">
            <v>EA</v>
          </cell>
          <cell r="D2631" t="str">
            <v>MA100</v>
          </cell>
          <cell r="E2631">
            <v>135.51754</v>
          </cell>
          <cell r="G2631" t="str">
            <v>207441-R-SS</v>
          </cell>
        </row>
        <row r="2632">
          <cell r="A2632">
            <v>207442</v>
          </cell>
          <cell r="B2632" t="str">
            <v>CVR,7' DR MNT,MOBILE.ALUM,FOLDED</v>
          </cell>
          <cell r="C2632" t="str">
            <v>EA</v>
          </cell>
          <cell r="D2632" t="str">
            <v>RM100</v>
          </cell>
          <cell r="E2632">
            <v>0</v>
          </cell>
          <cell r="G2632">
            <v>207442</v>
          </cell>
        </row>
        <row r="2633">
          <cell r="A2633" t="str">
            <v>207442-SS</v>
          </cell>
          <cell r="B2633" t="str">
            <v>CVR,7' DR MNT,MOBILE.ALUM,FOLDED</v>
          </cell>
          <cell r="C2633" t="str">
            <v>EA</v>
          </cell>
          <cell r="D2633" t="str">
            <v>MA100</v>
          </cell>
          <cell r="E2633">
            <v>270.45999999999998</v>
          </cell>
          <cell r="G2633" t="str">
            <v>207442-SS</v>
          </cell>
        </row>
        <row r="2634">
          <cell r="A2634">
            <v>207443</v>
          </cell>
          <cell r="B2634" t="str">
            <v>PANEL,TOP &amp; BTM, BLADDER,ALUM,3x1/8x49.8</v>
          </cell>
          <cell r="C2634" t="str">
            <v>EA</v>
          </cell>
          <cell r="D2634" t="str">
            <v>RM100</v>
          </cell>
          <cell r="E2634">
            <v>14.22</v>
          </cell>
          <cell r="G2634">
            <v>207443</v>
          </cell>
        </row>
        <row r="2635">
          <cell r="A2635">
            <v>207444</v>
          </cell>
          <cell r="B2635" t="str">
            <v>DR, HEADER/FOOTER RF BLADDER</v>
          </cell>
          <cell r="C2635" t="str">
            <v>EA</v>
          </cell>
          <cell r="D2635" t="str">
            <v>RM100</v>
          </cell>
          <cell r="E2635">
            <v>155.60248000000001</v>
          </cell>
          <cell r="G2635">
            <v>207444</v>
          </cell>
        </row>
        <row r="2636">
          <cell r="A2636" t="str">
            <v>207444-OP</v>
          </cell>
          <cell r="B2636" t="str">
            <v>Machining of 207063 Alum Extrusion</v>
          </cell>
          <cell r="C2636" t="str">
            <v>EA</v>
          </cell>
          <cell r="D2636" t="str">
            <v>MA100</v>
          </cell>
          <cell r="E2636">
            <v>140</v>
          </cell>
          <cell r="G2636" t="str">
            <v>207444-OP</v>
          </cell>
        </row>
        <row r="2637">
          <cell r="A2637" t="str">
            <v>207445-SS</v>
          </cell>
          <cell r="B2637" t="str">
            <v>SKIN,RF SIDE,7' SLDG DR P4 SS LAMINATE</v>
          </cell>
          <cell r="C2637" t="str">
            <v>EA</v>
          </cell>
          <cell r="D2637" t="str">
            <v>MA100</v>
          </cell>
          <cell r="E2637">
            <v>155.16</v>
          </cell>
          <cell r="G2637" t="str">
            <v>207445-SS</v>
          </cell>
        </row>
        <row r="2638">
          <cell r="A2638" t="str">
            <v>207447-SS</v>
          </cell>
          <cell r="B2638" t="str">
            <v>ASSY,DOOR CVRS for 207400. 7' DR, #4SS</v>
          </cell>
          <cell r="C2638" t="str">
            <v>EA</v>
          </cell>
          <cell r="D2638" t="str">
            <v>MA100</v>
          </cell>
          <cell r="E2638">
            <v>696.71731</v>
          </cell>
          <cell r="G2638" t="str">
            <v>207447-SS</v>
          </cell>
        </row>
        <row r="2639">
          <cell r="A2639">
            <v>207448</v>
          </cell>
          <cell r="B2639" t="str">
            <v>SEAL,CNTR,MALE,,ALUM, 1.125"x1/4"x83.63"</v>
          </cell>
          <cell r="C2639" t="str">
            <v>EA</v>
          </cell>
          <cell r="D2639" t="str">
            <v>MA100</v>
          </cell>
          <cell r="E2639">
            <v>52.608939999999997</v>
          </cell>
          <cell r="G2639">
            <v>207448</v>
          </cell>
        </row>
        <row r="2640">
          <cell r="A2640" t="str">
            <v>207448-OP</v>
          </cell>
          <cell r="B2640" t="str">
            <v>SEAL,CNTR,MALE,,ALUM, MACHINING</v>
          </cell>
          <cell r="C2640" t="str">
            <v>EA</v>
          </cell>
          <cell r="D2640" t="str">
            <v>RM100</v>
          </cell>
          <cell r="E2640">
            <v>44.75</v>
          </cell>
          <cell r="G2640" t="str">
            <v>207448-OP</v>
          </cell>
        </row>
        <row r="2641">
          <cell r="A2641">
            <v>207453</v>
          </cell>
          <cell r="B2641" t="str">
            <v>CLIP,SPRG RETAINER,SS, 18 GA.</v>
          </cell>
          <cell r="C2641" t="str">
            <v>EA</v>
          </cell>
          <cell r="D2641" t="str">
            <v>MA100</v>
          </cell>
          <cell r="E2641">
            <v>1.2489600000000001</v>
          </cell>
          <cell r="G2641">
            <v>207453</v>
          </cell>
        </row>
        <row r="2642">
          <cell r="A2642" t="str">
            <v>207455-4SS</v>
          </cell>
          <cell r="B2642" t="str">
            <v>SKIN,NON-RF,SLDG DR,SS,#4 BRUSHED FNSH</v>
          </cell>
          <cell r="C2642" t="str">
            <v>EA</v>
          </cell>
          <cell r="D2642" t="str">
            <v>RM100</v>
          </cell>
          <cell r="E2642">
            <v>364.37</v>
          </cell>
          <cell r="G2642" t="str">
            <v>207455-4SS</v>
          </cell>
        </row>
        <row r="2643">
          <cell r="A2643">
            <v>207463</v>
          </cell>
          <cell r="B2643" t="str">
            <v>BRKT,CAMERA MNT, ALUM, CONRAC,PAMO5</v>
          </cell>
          <cell r="C2643" t="str">
            <v>EA</v>
          </cell>
          <cell r="D2643" t="str">
            <v>RM100</v>
          </cell>
          <cell r="E2643">
            <v>98.5</v>
          </cell>
          <cell r="G2643">
            <v>207463</v>
          </cell>
        </row>
        <row r="2644">
          <cell r="A2644">
            <v>207471</v>
          </cell>
          <cell r="B2644" t="str">
            <v>NUT,INSERT,1/4-20, w/LEAF SPRING</v>
          </cell>
          <cell r="C2644" t="str">
            <v>EA</v>
          </cell>
          <cell r="D2644" t="str">
            <v>RM100</v>
          </cell>
          <cell r="E2644">
            <v>1.41</v>
          </cell>
          <cell r="G2644">
            <v>207471</v>
          </cell>
        </row>
        <row r="2645">
          <cell r="A2645">
            <v>207473</v>
          </cell>
          <cell r="B2645" t="str">
            <v>ASSY,CAMERA,MOUNTING (IOSD)</v>
          </cell>
          <cell r="C2645" t="str">
            <v>EA</v>
          </cell>
          <cell r="D2645" t="str">
            <v>MA100</v>
          </cell>
          <cell r="E2645">
            <v>102.014</v>
          </cell>
          <cell r="G2645">
            <v>207473</v>
          </cell>
        </row>
        <row r="2646">
          <cell r="A2646">
            <v>207478</v>
          </cell>
          <cell r="B2646" t="str">
            <v>SEAL, CNTR FNGR BAR, ALUM</v>
          </cell>
          <cell r="C2646" t="str">
            <v>EA</v>
          </cell>
          <cell r="D2646" t="str">
            <v>RM100</v>
          </cell>
          <cell r="E2646">
            <v>58</v>
          </cell>
          <cell r="G2646">
            <v>207478</v>
          </cell>
        </row>
        <row r="2647">
          <cell r="A2647">
            <v>207479</v>
          </cell>
          <cell r="B2647" t="str">
            <v>SEAL,FEMALE,CNTR, ALUM, 1.5"x0.5"x83.625</v>
          </cell>
          <cell r="C2647" t="str">
            <v>EA</v>
          </cell>
          <cell r="D2647" t="str">
            <v>RM100</v>
          </cell>
          <cell r="E2647">
            <v>68</v>
          </cell>
          <cell r="G2647">
            <v>207479</v>
          </cell>
        </row>
        <row r="2648">
          <cell r="A2648">
            <v>207482</v>
          </cell>
          <cell r="B2648" t="str">
            <v>PLT,CVR DR , ALUM</v>
          </cell>
          <cell r="C2648" t="str">
            <v>EA</v>
          </cell>
          <cell r="D2648" t="str">
            <v>MA100</v>
          </cell>
          <cell r="E2648">
            <v>7.7118700000000002</v>
          </cell>
          <cell r="G2648">
            <v>207482</v>
          </cell>
        </row>
        <row r="2649">
          <cell r="A2649">
            <v>207498</v>
          </cell>
          <cell r="B2649" t="str">
            <v>BRKT,BRG,MTG, ALUM, ADJ,3.4"X1.25"</v>
          </cell>
          <cell r="C2649" t="str">
            <v>EA</v>
          </cell>
          <cell r="D2649" t="str">
            <v>RM100</v>
          </cell>
          <cell r="E2649">
            <v>53.49973</v>
          </cell>
          <cell r="G2649">
            <v>207498</v>
          </cell>
        </row>
        <row r="2650">
          <cell r="A2650">
            <v>207499</v>
          </cell>
          <cell r="B2650" t="str">
            <v>CVR, THRSHLD BRG BRKT (207498)</v>
          </cell>
          <cell r="C2650" t="str">
            <v>EA</v>
          </cell>
          <cell r="D2650" t="str">
            <v>MA100</v>
          </cell>
          <cell r="E2650">
            <v>15.372120000000001</v>
          </cell>
          <cell r="G2650">
            <v>207499</v>
          </cell>
        </row>
        <row r="2651">
          <cell r="A2651">
            <v>207502</v>
          </cell>
          <cell r="B2651" t="str">
            <v>BLOCK,ADAPTER,ALUM,PANIC BAR</v>
          </cell>
          <cell r="C2651" t="str">
            <v>EA</v>
          </cell>
          <cell r="D2651" t="str">
            <v>RM100</v>
          </cell>
          <cell r="E2651">
            <v>297</v>
          </cell>
          <cell r="G2651">
            <v>207502</v>
          </cell>
        </row>
        <row r="2652">
          <cell r="A2652">
            <v>207503</v>
          </cell>
          <cell r="B2652" t="str">
            <v>PLATE,TRIM,ADAPTER,ALUM,PANIC BAR</v>
          </cell>
          <cell r="C2652" t="str">
            <v>EA</v>
          </cell>
          <cell r="D2652" t="str">
            <v>RM100</v>
          </cell>
          <cell r="E2652">
            <v>55</v>
          </cell>
          <cell r="G2652">
            <v>207503</v>
          </cell>
        </row>
        <row r="2653">
          <cell r="A2653">
            <v>207504</v>
          </cell>
          <cell r="B2653" t="str">
            <v>PLATE,TRIM,HANDLE,ALUM,PANIC BAR</v>
          </cell>
          <cell r="C2653" t="str">
            <v>EA</v>
          </cell>
          <cell r="D2653" t="str">
            <v>RM100</v>
          </cell>
          <cell r="E2653">
            <v>52</v>
          </cell>
          <cell r="G2653">
            <v>207504</v>
          </cell>
        </row>
        <row r="2654">
          <cell r="A2654">
            <v>207505</v>
          </cell>
          <cell r="B2654" t="str">
            <v>PLATE,FILLER,ADAPTER,TRIM,S.S.,PANIC BAR</v>
          </cell>
          <cell r="C2654" t="str">
            <v>EA</v>
          </cell>
          <cell r="D2654" t="str">
            <v>RM100</v>
          </cell>
          <cell r="E2654">
            <v>14</v>
          </cell>
          <cell r="G2654">
            <v>207505</v>
          </cell>
        </row>
        <row r="2655">
          <cell r="A2655">
            <v>207506</v>
          </cell>
          <cell r="B2655" t="str">
            <v>PLATE,FILLER,HANDLE,TRIM,S.S.,PANIC BAR</v>
          </cell>
          <cell r="C2655" t="str">
            <v>EA</v>
          </cell>
          <cell r="D2655" t="str">
            <v>RM100</v>
          </cell>
          <cell r="E2655">
            <v>15</v>
          </cell>
          <cell r="G2655">
            <v>207506</v>
          </cell>
        </row>
        <row r="2656">
          <cell r="A2656">
            <v>207507</v>
          </cell>
          <cell r="B2656" t="str">
            <v>PLATE,SHIM,END,ALUM,PANIC BAR</v>
          </cell>
          <cell r="C2656" t="str">
            <v>EA</v>
          </cell>
          <cell r="D2656" t="str">
            <v>RM100</v>
          </cell>
          <cell r="E2656">
            <v>7</v>
          </cell>
          <cell r="G2656">
            <v>207507</v>
          </cell>
        </row>
        <row r="2657">
          <cell r="A2657">
            <v>207508</v>
          </cell>
          <cell r="B2657" t="str">
            <v>PLATE,SHIM,GUIDE,ALUM,PANIC BAR</v>
          </cell>
          <cell r="C2657" t="str">
            <v>EA</v>
          </cell>
          <cell r="D2657" t="str">
            <v>RM100</v>
          </cell>
          <cell r="E2657">
            <v>7</v>
          </cell>
          <cell r="G2657">
            <v>207508</v>
          </cell>
        </row>
        <row r="2658">
          <cell r="A2658">
            <v>207509</v>
          </cell>
          <cell r="B2658" t="str">
            <v>PLATE,SHIM,LATCH,UPPER,ALUM,PANIC BAR</v>
          </cell>
          <cell r="C2658" t="str">
            <v>EA</v>
          </cell>
          <cell r="D2658" t="str">
            <v>RM100</v>
          </cell>
          <cell r="E2658">
            <v>7.5</v>
          </cell>
          <cell r="G2658">
            <v>207509</v>
          </cell>
        </row>
        <row r="2659">
          <cell r="A2659">
            <v>207510</v>
          </cell>
          <cell r="B2659" t="str">
            <v>BRKT,MTG,LATCH,UPPER,ALUM,PANIC BAR</v>
          </cell>
          <cell r="C2659" t="str">
            <v>EA</v>
          </cell>
          <cell r="D2659" t="str">
            <v>RM100</v>
          </cell>
          <cell r="E2659">
            <v>28</v>
          </cell>
          <cell r="G2659">
            <v>207510</v>
          </cell>
        </row>
        <row r="2660">
          <cell r="A2660" t="str">
            <v>207513-L</v>
          </cell>
          <cell r="B2660" t="str">
            <v>ASSY,H-BRKT,THRSHLD CAM TRACK,LH/SO</v>
          </cell>
          <cell r="C2660" t="str">
            <v>EA</v>
          </cell>
          <cell r="D2660" t="str">
            <v>MA100</v>
          </cell>
          <cell r="E2660">
            <v>191.11199999999999</v>
          </cell>
          <cell r="G2660" t="str">
            <v>207513-L</v>
          </cell>
        </row>
        <row r="2661">
          <cell r="A2661" t="str">
            <v>207513-L-CCA</v>
          </cell>
          <cell r="B2661" t="str">
            <v>ASSY,H-BRKT,THRSHLD CAM TRACK,LH</v>
          </cell>
          <cell r="C2661" t="str">
            <v>EA</v>
          </cell>
          <cell r="D2661" t="str">
            <v>MA100</v>
          </cell>
          <cell r="E2661">
            <v>235.62404000000001</v>
          </cell>
          <cell r="G2661" t="str">
            <v>207513-L-CCA</v>
          </cell>
        </row>
        <row r="2662">
          <cell r="A2662" t="str">
            <v>207513-L-CCA-OP</v>
          </cell>
          <cell r="B2662" t="str">
            <v>ASSY,H-BRKT,THRSHLD CAM,LH,MACH&amp;CLR CT</v>
          </cell>
          <cell r="C2662" t="str">
            <v>EA</v>
          </cell>
          <cell r="D2662" t="str">
            <v>RM100</v>
          </cell>
          <cell r="E2662">
            <v>189</v>
          </cell>
          <cell r="G2662" t="str">
            <v>207513-L-CCA-OP</v>
          </cell>
        </row>
        <row r="2663">
          <cell r="A2663" t="str">
            <v>207513-R</v>
          </cell>
          <cell r="B2663" t="str">
            <v>ASSY,H-BRKT,THRSHLD CAM TRACK,RH/SO</v>
          </cell>
          <cell r="C2663" t="str">
            <v>EA</v>
          </cell>
          <cell r="D2663" t="str">
            <v>MA100</v>
          </cell>
          <cell r="E2663">
            <v>191.11202</v>
          </cell>
          <cell r="G2663" t="str">
            <v>207513-R</v>
          </cell>
        </row>
        <row r="2664">
          <cell r="A2664" t="str">
            <v>207513-R-CCA</v>
          </cell>
          <cell r="B2664" t="str">
            <v>ASSY,H-BRKT,THRSHLD CAM TRACK,RH</v>
          </cell>
          <cell r="C2664" t="str">
            <v>EA</v>
          </cell>
          <cell r="D2664" t="str">
            <v>MA100</v>
          </cell>
          <cell r="E2664">
            <v>325.8</v>
          </cell>
          <cell r="G2664" t="str">
            <v>207513-R-CCA</v>
          </cell>
        </row>
        <row r="2665">
          <cell r="A2665" t="str">
            <v>207513-R-CCA-OP</v>
          </cell>
          <cell r="B2665" t="str">
            <v>ASSY,H-BRKT,THRSHLD CAM,RH,MACH&amp;CLR CT</v>
          </cell>
          <cell r="C2665" t="str">
            <v>EA</v>
          </cell>
          <cell r="D2665" t="str">
            <v>RM100</v>
          </cell>
          <cell r="E2665">
            <v>178.7</v>
          </cell>
          <cell r="G2665" t="str">
            <v>207513-R-CCA-OP</v>
          </cell>
        </row>
        <row r="2666">
          <cell r="A2666" t="str">
            <v>207513-R-OP</v>
          </cell>
          <cell r="B2666" t="str">
            <v>H-BRKT,THRSHLD CAM, RH DR,MACH/SO*</v>
          </cell>
          <cell r="C2666" t="str">
            <v>EA</v>
          </cell>
          <cell r="D2666" t="str">
            <v>RM100</v>
          </cell>
          <cell r="E2666">
            <v>167.8</v>
          </cell>
          <cell r="G2666" t="str">
            <v>207513-R-OP</v>
          </cell>
        </row>
        <row r="2667">
          <cell r="A2667" t="str">
            <v>207513-R-OP2</v>
          </cell>
          <cell r="B2667" t="str">
            <v>ASSY,H-BRKT,THRSHLD CAM, RH DR,PWD CT/SO</v>
          </cell>
          <cell r="C2667" t="str">
            <v>EA</v>
          </cell>
          <cell r="D2667" t="str">
            <v>RM100</v>
          </cell>
          <cell r="E2667">
            <v>0</v>
          </cell>
          <cell r="G2667" t="str">
            <v>207513-R-OP2</v>
          </cell>
        </row>
        <row r="2668">
          <cell r="A2668">
            <v>207515</v>
          </cell>
          <cell r="B2668" t="str">
            <v>ASSY,CYLINDER,RODLESS,SMC MY1B63-1570</v>
          </cell>
          <cell r="C2668" t="str">
            <v>EA</v>
          </cell>
          <cell r="D2668" t="str">
            <v>RM100</v>
          </cell>
          <cell r="E2668">
            <v>1491.31</v>
          </cell>
          <cell r="G2668">
            <v>207515</v>
          </cell>
        </row>
        <row r="2669">
          <cell r="A2669">
            <v>207516</v>
          </cell>
          <cell r="B2669" t="str">
            <v>BRKT,CYL MTG,SMC MY-S50A</v>
          </cell>
          <cell r="C2669" t="str">
            <v>EA</v>
          </cell>
          <cell r="D2669" t="str">
            <v>RM100</v>
          </cell>
          <cell r="E2669">
            <v>33.409999999999997</v>
          </cell>
          <cell r="G2669">
            <v>207516</v>
          </cell>
        </row>
        <row r="2670">
          <cell r="A2670">
            <v>207517</v>
          </cell>
          <cell r="B2670" t="str">
            <v>ASSY,BRKT,CYL FLTG JOINT,SMC MY-J63</v>
          </cell>
          <cell r="C2670" t="str">
            <v>EA</v>
          </cell>
          <cell r="D2670" t="str">
            <v>RM100</v>
          </cell>
          <cell r="E2670">
            <v>92.66</v>
          </cell>
          <cell r="G2670">
            <v>207517</v>
          </cell>
        </row>
        <row r="2671">
          <cell r="A2671" t="str">
            <v>207518-CCA</v>
          </cell>
          <cell r="B2671" t="str">
            <v>RECEPTCL,DR ALIGNMNT,W/ CLR CT ANOD</v>
          </cell>
          <cell r="C2671" t="str">
            <v>EA</v>
          </cell>
          <cell r="D2671" t="str">
            <v>RM100</v>
          </cell>
          <cell r="E2671">
            <v>137</v>
          </cell>
          <cell r="G2671" t="str">
            <v>207518-CCA</v>
          </cell>
        </row>
        <row r="2672">
          <cell r="A2672" t="str">
            <v>207520-L</v>
          </cell>
          <cell r="B2672" t="str">
            <v>BLOCK,DR.ALIGNMENT,LH</v>
          </cell>
          <cell r="C2672" t="str">
            <v>EA</v>
          </cell>
          <cell r="D2672" t="str">
            <v>RM100</v>
          </cell>
          <cell r="E2672">
            <v>125.5</v>
          </cell>
          <cell r="G2672" t="str">
            <v>207520-L</v>
          </cell>
        </row>
        <row r="2673">
          <cell r="A2673" t="str">
            <v>207520-L-CCA</v>
          </cell>
          <cell r="B2673" t="str">
            <v>BLOCK,DR.ALIGNMENT,LH,CLR CT ANODZ</v>
          </cell>
          <cell r="C2673" t="str">
            <v>EA</v>
          </cell>
          <cell r="D2673" t="str">
            <v>RM100</v>
          </cell>
          <cell r="E2673">
            <v>165</v>
          </cell>
          <cell r="G2673" t="str">
            <v>207520-L-CCA</v>
          </cell>
        </row>
        <row r="2674">
          <cell r="A2674" t="str">
            <v>207520-R</v>
          </cell>
          <cell r="B2674" t="str">
            <v>BLOCK,DR.ALIGNMENT,RH</v>
          </cell>
          <cell r="C2674" t="str">
            <v>EA</v>
          </cell>
          <cell r="D2674" t="str">
            <v>RM100</v>
          </cell>
          <cell r="E2674">
            <v>125.5</v>
          </cell>
          <cell r="G2674" t="str">
            <v>207520-R</v>
          </cell>
        </row>
        <row r="2675">
          <cell r="A2675" t="str">
            <v>207520-R-CCA</v>
          </cell>
          <cell r="B2675" t="str">
            <v>BLOCK,DR.ALIGNMENT,RH,CLR CT ANODZ</v>
          </cell>
          <cell r="C2675" t="str">
            <v>EA</v>
          </cell>
          <cell r="D2675" t="str">
            <v>RM100</v>
          </cell>
          <cell r="E2675">
            <v>128</v>
          </cell>
          <cell r="G2675" t="str">
            <v>207520-R-CCA</v>
          </cell>
        </row>
        <row r="2676">
          <cell r="A2676">
            <v>207521</v>
          </cell>
          <cell r="B2676" t="str">
            <v>PIN, ALIGNMENT</v>
          </cell>
          <cell r="C2676" t="str">
            <v>EA</v>
          </cell>
          <cell r="D2676" t="str">
            <v>RM100</v>
          </cell>
          <cell r="E2676">
            <v>5.53</v>
          </cell>
          <cell r="G2676">
            <v>207521</v>
          </cell>
        </row>
        <row r="2677">
          <cell r="A2677">
            <v>207522</v>
          </cell>
          <cell r="B2677" t="str">
            <v>BRKT, RODLESS CYL. MTG.</v>
          </cell>
          <cell r="C2677" t="str">
            <v>EA</v>
          </cell>
          <cell r="D2677" t="str">
            <v>RM100</v>
          </cell>
          <cell r="E2677">
            <v>58.161000000000001</v>
          </cell>
          <cell r="G2677">
            <v>207522</v>
          </cell>
        </row>
        <row r="2678">
          <cell r="A2678" t="str">
            <v>207523-L</v>
          </cell>
          <cell r="B2678" t="str">
            <v>BRKT, RODLESS CYL. CARRIAGE MTG.,LH</v>
          </cell>
          <cell r="C2678" t="str">
            <v>EA</v>
          </cell>
          <cell r="D2678" t="str">
            <v>RM100</v>
          </cell>
          <cell r="E2678">
            <v>252.74</v>
          </cell>
          <cell r="G2678" t="str">
            <v>207523-L</v>
          </cell>
        </row>
        <row r="2679">
          <cell r="A2679" t="str">
            <v>207523-R</v>
          </cell>
          <cell r="B2679" t="str">
            <v>BRKT, RODLESS CYL. CARRIAGE MTG.,RH</v>
          </cell>
          <cell r="C2679" t="str">
            <v>EA</v>
          </cell>
          <cell r="D2679" t="str">
            <v>RM100</v>
          </cell>
          <cell r="E2679">
            <v>252.74</v>
          </cell>
          <cell r="G2679" t="str">
            <v>207523-R</v>
          </cell>
        </row>
        <row r="2680">
          <cell r="A2680">
            <v>207524</v>
          </cell>
          <cell r="B2680" t="str">
            <v>BRKT, RODLESS CYL. MTG.(MIDDLE)</v>
          </cell>
          <cell r="C2680" t="str">
            <v>EA</v>
          </cell>
          <cell r="D2680" t="str">
            <v>RM100</v>
          </cell>
          <cell r="E2680">
            <v>77.25</v>
          </cell>
          <cell r="G2680">
            <v>207524</v>
          </cell>
        </row>
        <row r="2681">
          <cell r="A2681">
            <v>207525</v>
          </cell>
          <cell r="B2681" t="str">
            <v>BRKT, CABLE CARRIER</v>
          </cell>
          <cell r="C2681" t="str">
            <v>EA</v>
          </cell>
          <cell r="D2681" t="str">
            <v>RM100</v>
          </cell>
          <cell r="E2681">
            <v>71.5</v>
          </cell>
          <cell r="G2681">
            <v>207525</v>
          </cell>
        </row>
        <row r="2682">
          <cell r="A2682">
            <v>207526</v>
          </cell>
          <cell r="B2682" t="str">
            <v>ANGLE, CABLE CARRIER SHIELD</v>
          </cell>
          <cell r="C2682" t="str">
            <v>EA</v>
          </cell>
          <cell r="D2682" t="str">
            <v>MA100</v>
          </cell>
          <cell r="E2682">
            <v>30.053550000000001</v>
          </cell>
          <cell r="G2682">
            <v>207526</v>
          </cell>
        </row>
        <row r="2683">
          <cell r="A2683" t="str">
            <v>207527-L</v>
          </cell>
          <cell r="B2683" t="str">
            <v>HEADER, SLDG DR SINGLE SLDG DR,LH</v>
          </cell>
          <cell r="C2683" t="str">
            <v>EA</v>
          </cell>
          <cell r="D2683" t="str">
            <v>MA100</v>
          </cell>
          <cell r="E2683">
            <v>1973.2529999999999</v>
          </cell>
          <cell r="G2683" t="str">
            <v>207527-L</v>
          </cell>
        </row>
        <row r="2684">
          <cell r="A2684" t="str">
            <v>207527-L-OP</v>
          </cell>
          <cell r="B2684" t="str">
            <v>HEADER, SLDG DR SINGLE SLDG DR,LH</v>
          </cell>
          <cell r="C2684" t="str">
            <v>EA</v>
          </cell>
          <cell r="D2684" t="str">
            <v>RM100</v>
          </cell>
          <cell r="E2684">
            <v>1799.22</v>
          </cell>
          <cell r="G2684" t="str">
            <v>207527-L-OP</v>
          </cell>
        </row>
        <row r="2685">
          <cell r="A2685" t="str">
            <v>207527-R</v>
          </cell>
          <cell r="B2685" t="str">
            <v>HEADER, SLDG DR SINGLE SLDG DR,RH</v>
          </cell>
          <cell r="C2685" t="str">
            <v>EA</v>
          </cell>
          <cell r="D2685" t="str">
            <v>MA100</v>
          </cell>
          <cell r="E2685">
            <v>616.59</v>
          </cell>
          <cell r="G2685" t="str">
            <v>207527-R</v>
          </cell>
        </row>
        <row r="2686">
          <cell r="A2686" t="str">
            <v>207527-R-OP</v>
          </cell>
          <cell r="B2686" t="str">
            <v>MACH,HDER, SLDG DR SGLE SLDG DR,RH</v>
          </cell>
          <cell r="C2686" t="str">
            <v>EA</v>
          </cell>
          <cell r="D2686" t="str">
            <v>RM100</v>
          </cell>
          <cell r="E2686">
            <v>1799.22</v>
          </cell>
          <cell r="G2686" t="str">
            <v>207527-R-OP</v>
          </cell>
        </row>
        <row r="2687">
          <cell r="A2687">
            <v>207528</v>
          </cell>
          <cell r="B2687" t="str">
            <v>ANGLE,ALUM,SLDG DR HDR, 2x2.5x64x1/4"*</v>
          </cell>
          <cell r="C2687" t="str">
            <v>EA</v>
          </cell>
          <cell r="D2687" t="str">
            <v>RM100</v>
          </cell>
          <cell r="E2687">
            <v>123.11</v>
          </cell>
          <cell r="G2687">
            <v>207528</v>
          </cell>
        </row>
        <row r="2688">
          <cell r="A2688" t="str">
            <v>207530-SS-L</v>
          </cell>
          <cell r="B2688" t="str">
            <v>ASSY,DR&amp;JB,SNGL SLDG,60"x84",LH,SS FNSH</v>
          </cell>
          <cell r="C2688" t="str">
            <v>EA</v>
          </cell>
          <cell r="D2688" t="str">
            <v>MA100</v>
          </cell>
          <cell r="E2688">
            <v>16693.426179999999</v>
          </cell>
          <cell r="G2688" t="str">
            <v>207530-SS-L</v>
          </cell>
        </row>
        <row r="2689">
          <cell r="A2689" t="str">
            <v>207530-SS-R</v>
          </cell>
          <cell r="B2689" t="str">
            <v>ASSY,DR&amp;JB,SNGL SLDG,60"x84",RH,SS FNSH</v>
          </cell>
          <cell r="C2689" t="str">
            <v>EA</v>
          </cell>
          <cell r="D2689" t="str">
            <v>MA100</v>
          </cell>
          <cell r="E2689">
            <v>15429.11528</v>
          </cell>
          <cell r="G2689" t="str">
            <v>207530-SS-R</v>
          </cell>
        </row>
        <row r="2690">
          <cell r="A2690" t="str">
            <v>207531-SS-L</v>
          </cell>
          <cell r="B2690" t="str">
            <v>ASSY,JAMB,SNGL SLDG,60"x84",LH,SS FNSH</v>
          </cell>
          <cell r="C2690" t="str">
            <v>EA</v>
          </cell>
          <cell r="D2690" t="str">
            <v>MA100</v>
          </cell>
          <cell r="E2690">
            <v>8117.3978800000004</v>
          </cell>
          <cell r="G2690" t="str">
            <v>207531-SS-L</v>
          </cell>
        </row>
        <row r="2691">
          <cell r="A2691" t="str">
            <v>207531-SS-R</v>
          </cell>
          <cell r="B2691" t="str">
            <v>ASSY,JAMB,SNGL SLDG,60"x84",RH,SS FNSH</v>
          </cell>
          <cell r="C2691" t="str">
            <v>EA</v>
          </cell>
          <cell r="D2691" t="str">
            <v>MA100</v>
          </cell>
          <cell r="E2691">
            <v>6631.9010799999996</v>
          </cell>
          <cell r="G2691" t="str">
            <v>207531-SS-R</v>
          </cell>
        </row>
        <row r="2692">
          <cell r="A2692" t="str">
            <v>207532-SS-L</v>
          </cell>
          <cell r="B2692" t="str">
            <v>ASSY,DR,SNGL SLDG,60"x83.625",LH,SS FNSH</v>
          </cell>
          <cell r="C2692" t="str">
            <v>EA</v>
          </cell>
          <cell r="D2692" t="str">
            <v>MA100</v>
          </cell>
          <cell r="E2692">
            <v>7627.0018700000001</v>
          </cell>
          <cell r="G2692" t="str">
            <v>207532-SS-L</v>
          </cell>
        </row>
        <row r="2693">
          <cell r="A2693" t="str">
            <v>207532-SS-R</v>
          </cell>
          <cell r="B2693" t="str">
            <v>ASSY,DR,SNGL SLDG,60"x83.625",RH,SS FNSH</v>
          </cell>
          <cell r="C2693" t="str">
            <v>EA</v>
          </cell>
          <cell r="D2693" t="str">
            <v>MA100</v>
          </cell>
          <cell r="E2693">
            <v>7856.0977700000003</v>
          </cell>
          <cell r="G2693" t="str">
            <v>207532-SS-R</v>
          </cell>
        </row>
        <row r="2694">
          <cell r="A2694" t="str">
            <v>207534-SS</v>
          </cell>
          <cell r="B2694" t="str">
            <v>ASSY,DOOR CVRS FOR 207530-SS-L&amp;R</v>
          </cell>
          <cell r="C2694" t="str">
            <v>EA</v>
          </cell>
          <cell r="D2694" t="str">
            <v>MA100</v>
          </cell>
          <cell r="E2694">
            <v>338.35642999999999</v>
          </cell>
          <cell r="G2694" t="str">
            <v>207534-SS</v>
          </cell>
        </row>
        <row r="2695">
          <cell r="A2695">
            <v>207536</v>
          </cell>
          <cell r="B2695" t="str">
            <v>THRSHLD,ALUM 3/8"X7.2"X69" SNGL SLDG DR</v>
          </cell>
          <cell r="C2695" t="str">
            <v>EA</v>
          </cell>
          <cell r="D2695" t="str">
            <v>RM100</v>
          </cell>
          <cell r="E2695">
            <v>243</v>
          </cell>
          <cell r="G2695">
            <v>207536</v>
          </cell>
        </row>
        <row r="2696">
          <cell r="A2696">
            <v>207537</v>
          </cell>
          <cell r="B2696" t="str">
            <v>ISOLATOR,PHENOLIC,.5"X9.9"X69"SNGL SLDG*</v>
          </cell>
          <cell r="C2696" t="str">
            <v>EA</v>
          </cell>
          <cell r="D2696" t="str">
            <v>RM100</v>
          </cell>
          <cell r="E2696">
            <v>162.19999999999999</v>
          </cell>
          <cell r="G2696">
            <v>207537</v>
          </cell>
        </row>
        <row r="2697">
          <cell r="A2697">
            <v>207538</v>
          </cell>
          <cell r="B2697" t="str">
            <v>ALUM,THRSHLD ISOLTR CVR .125"x1.475"x61"</v>
          </cell>
          <cell r="C2697" t="str">
            <v>EA</v>
          </cell>
          <cell r="D2697" t="str">
            <v>RM100</v>
          </cell>
          <cell r="E2697">
            <v>18.93</v>
          </cell>
          <cell r="G2697">
            <v>207538</v>
          </cell>
        </row>
        <row r="2698">
          <cell r="A2698">
            <v>207539</v>
          </cell>
          <cell r="B2698" t="str">
            <v>ALM,THRSHLD ISLTR CVR .12"x1.475"x69.38"</v>
          </cell>
          <cell r="C2698" t="str">
            <v>EA</v>
          </cell>
          <cell r="D2698" t="str">
            <v>RM100</v>
          </cell>
          <cell r="E2698">
            <v>20.239999999999998</v>
          </cell>
          <cell r="G2698">
            <v>207539</v>
          </cell>
        </row>
        <row r="2699">
          <cell r="A2699">
            <v>207540</v>
          </cell>
          <cell r="B2699" t="str">
            <v>SEAL, CNTR FNGR BAR, ALUM</v>
          </cell>
          <cell r="C2699" t="str">
            <v>EA</v>
          </cell>
          <cell r="D2699" t="str">
            <v>RM100</v>
          </cell>
          <cell r="E2699">
            <v>47.53</v>
          </cell>
          <cell r="G2699">
            <v>207540</v>
          </cell>
        </row>
        <row r="2700">
          <cell r="A2700">
            <v>207541</v>
          </cell>
          <cell r="B2700" t="str">
            <v>DWG,ASSY,BRKT,FIXED DR CVRS. ALUM</v>
          </cell>
          <cell r="C2700" t="str">
            <v>EA</v>
          </cell>
          <cell r="D2700" t="str">
            <v>MA100</v>
          </cell>
          <cell r="E2700">
            <v>0</v>
          </cell>
          <cell r="G2700">
            <v>207541</v>
          </cell>
        </row>
        <row r="2701">
          <cell r="A2701">
            <v>207542</v>
          </cell>
          <cell r="B2701" t="str">
            <v>RAIL,LINEAR,REDI-RAIL#RR65,3120mm=122.8"</v>
          </cell>
          <cell r="C2701" t="str">
            <v>EA</v>
          </cell>
          <cell r="D2701" t="str">
            <v>RM100</v>
          </cell>
          <cell r="E2701">
            <v>477.64</v>
          </cell>
          <cell r="G2701">
            <v>207542</v>
          </cell>
        </row>
        <row r="2702">
          <cell r="A2702">
            <v>207543</v>
          </cell>
          <cell r="B2702" t="str">
            <v>SHIM,ALU 61.34x2.375x.060, for 207542</v>
          </cell>
          <cell r="C2702" t="str">
            <v>EA</v>
          </cell>
          <cell r="D2702" t="str">
            <v>MA100</v>
          </cell>
          <cell r="E2702">
            <v>50.527929999999998</v>
          </cell>
          <cell r="G2702">
            <v>207543</v>
          </cell>
        </row>
        <row r="2703">
          <cell r="A2703">
            <v>207545</v>
          </cell>
          <cell r="B2703" t="str">
            <v>CONNECTOR,3/8 ALU, ANGLE PLATE</v>
          </cell>
          <cell r="C2703" t="str">
            <v>EA</v>
          </cell>
          <cell r="D2703" t="str">
            <v>RM100</v>
          </cell>
          <cell r="E2703">
            <v>74</v>
          </cell>
          <cell r="G2703">
            <v>207545</v>
          </cell>
        </row>
        <row r="2704">
          <cell r="A2704">
            <v>207546</v>
          </cell>
          <cell r="B2704" t="str">
            <v>ALUM, SPCR, 1/4"x2"x70", 6063</v>
          </cell>
          <cell r="C2704" t="str">
            <v>EA</v>
          </cell>
          <cell r="D2704" t="str">
            <v>RM100</v>
          </cell>
          <cell r="E2704">
            <v>49.35</v>
          </cell>
          <cell r="G2704">
            <v>207546</v>
          </cell>
        </row>
        <row r="2705">
          <cell r="A2705">
            <v>207549</v>
          </cell>
          <cell r="B2705" t="str">
            <v>PLT,PRESSURE BAR,TOP&amp;BTM,SLDG DR</v>
          </cell>
          <cell r="C2705" t="str">
            <v>EA</v>
          </cell>
          <cell r="D2705" t="str">
            <v>MA100</v>
          </cell>
          <cell r="E2705">
            <v>38.997669999999999</v>
          </cell>
          <cell r="G2705">
            <v>207549</v>
          </cell>
        </row>
        <row r="2706">
          <cell r="A2706">
            <v>207552</v>
          </cell>
          <cell r="B2706" t="str">
            <v>DR, HEADER/FOOTER RF BLADDER</v>
          </cell>
          <cell r="C2706" t="str">
            <v>EA</v>
          </cell>
          <cell r="D2706" t="str">
            <v>MA100</v>
          </cell>
          <cell r="E2706">
            <v>174.85</v>
          </cell>
          <cell r="G2706">
            <v>207552</v>
          </cell>
        </row>
        <row r="2707">
          <cell r="A2707" t="str">
            <v>207552-OP</v>
          </cell>
          <cell r="B2707" t="str">
            <v>DR, HEADER/FOOTER RF BLADDER,MACHG</v>
          </cell>
          <cell r="C2707" t="str">
            <v>EA</v>
          </cell>
          <cell r="D2707" t="str">
            <v>RM100</v>
          </cell>
          <cell r="E2707">
            <v>335</v>
          </cell>
          <cell r="G2707" t="str">
            <v>207552-OP</v>
          </cell>
        </row>
        <row r="2708">
          <cell r="A2708">
            <v>207553</v>
          </cell>
          <cell r="B2708" t="str">
            <v>CVR,ALUM,BLDR MECH ASSY,60.06"x4.13"</v>
          </cell>
          <cell r="C2708" t="str">
            <v>EA</v>
          </cell>
          <cell r="D2708" t="str">
            <v>RM100</v>
          </cell>
          <cell r="E2708">
            <v>20.010000000000002</v>
          </cell>
          <cell r="G2708">
            <v>207553</v>
          </cell>
        </row>
        <row r="2709">
          <cell r="A2709">
            <v>207554</v>
          </cell>
          <cell r="B2709" t="str">
            <v>CLMP, RF SEAL, ALUM TOP&amp;BTM, 60.06"x1"</v>
          </cell>
          <cell r="C2709" t="str">
            <v>EA</v>
          </cell>
          <cell r="D2709" t="str">
            <v>RM100</v>
          </cell>
          <cell r="E2709">
            <v>29.76</v>
          </cell>
          <cell r="G2709">
            <v>207554</v>
          </cell>
        </row>
        <row r="2710">
          <cell r="A2710">
            <v>207556</v>
          </cell>
          <cell r="B2710" t="str">
            <v>CVR,ALUM,END CAP, TOP&amp;BTM</v>
          </cell>
          <cell r="C2710" t="str">
            <v>EA</v>
          </cell>
          <cell r="D2710" t="str">
            <v>RM100</v>
          </cell>
          <cell r="E2710">
            <v>12.57</v>
          </cell>
          <cell r="G2710">
            <v>207556</v>
          </cell>
        </row>
        <row r="2711">
          <cell r="A2711">
            <v>207557</v>
          </cell>
          <cell r="B2711" t="str">
            <v>PANEL,TOP &amp; BTM, BLDR,ALUM,3x1/8x60.184</v>
          </cell>
          <cell r="C2711" t="str">
            <v>EA</v>
          </cell>
          <cell r="D2711" t="str">
            <v>RM100</v>
          </cell>
          <cell r="E2711">
            <v>21.66</v>
          </cell>
          <cell r="G2711">
            <v>207557</v>
          </cell>
        </row>
        <row r="2712">
          <cell r="A2712">
            <v>207558</v>
          </cell>
          <cell r="B2712" t="str">
            <v>SPCR,ALUM,3/4 ODX3/8 IDX5/8 LG</v>
          </cell>
          <cell r="C2712" t="str">
            <v>EA</v>
          </cell>
          <cell r="D2712" t="str">
            <v>RM100</v>
          </cell>
          <cell r="E2712">
            <v>1.95</v>
          </cell>
          <cell r="G2712">
            <v>207558</v>
          </cell>
        </row>
        <row r="2713">
          <cell r="A2713" t="str">
            <v>207560-CCA</v>
          </cell>
          <cell r="B2713" t="str">
            <v>CLMP,TRIM,NON-RF,79.375"LNG,CLR CT ANODZ</v>
          </cell>
          <cell r="C2713" t="str">
            <v>EA</v>
          </cell>
          <cell r="D2713" t="str">
            <v>MA100</v>
          </cell>
          <cell r="E2713">
            <v>97.245040000000003</v>
          </cell>
          <cell r="G2713" t="str">
            <v>207560-CCA</v>
          </cell>
        </row>
        <row r="2714">
          <cell r="A2714" t="str">
            <v>207560-CCA-OP</v>
          </cell>
          <cell r="B2714" t="str">
            <v>CLMP,TRIM,NON-RF,79.375"LNG,MACH&amp;CLR CT</v>
          </cell>
          <cell r="C2714" t="str">
            <v>EA</v>
          </cell>
          <cell r="D2714" t="str">
            <v>RM100</v>
          </cell>
          <cell r="E2714">
            <v>89</v>
          </cell>
          <cell r="G2714" t="str">
            <v>207560-CCA-OP</v>
          </cell>
        </row>
        <row r="2715">
          <cell r="A2715">
            <v>207561</v>
          </cell>
          <cell r="B2715" t="str">
            <v>SKIN,RF SHLD,SLDG DR,PN,AL,77.625x60.375</v>
          </cell>
          <cell r="C2715" t="str">
            <v>EA</v>
          </cell>
          <cell r="D2715" t="str">
            <v>RM100</v>
          </cell>
          <cell r="E2715">
            <v>590.27</v>
          </cell>
          <cell r="G2715">
            <v>207561</v>
          </cell>
        </row>
        <row r="2716">
          <cell r="A2716">
            <v>207562</v>
          </cell>
          <cell r="B2716" t="str">
            <v>SKIN,NON-RF,SLDG DR,ALUM,83.625"x60.375"</v>
          </cell>
          <cell r="C2716" t="str">
            <v>EA</v>
          </cell>
          <cell r="D2716" t="str">
            <v>RM100</v>
          </cell>
          <cell r="E2716">
            <v>476.52</v>
          </cell>
          <cell r="G2716">
            <v>207562</v>
          </cell>
        </row>
        <row r="2717">
          <cell r="A2717" t="str">
            <v>207562-L-4SS</v>
          </cell>
          <cell r="B2717" t="str">
            <v>SKIN,NON-RF,SLDG DR,SS #4 FINISH,LH</v>
          </cell>
          <cell r="C2717" t="str">
            <v>EA</v>
          </cell>
          <cell r="D2717" t="str">
            <v>RM100</v>
          </cell>
          <cell r="E2717">
            <v>561.4</v>
          </cell>
          <cell r="G2717" t="str">
            <v>207562-L-4SS</v>
          </cell>
        </row>
        <row r="2718">
          <cell r="A2718" t="str">
            <v>207562-R-4SS</v>
          </cell>
          <cell r="B2718" t="str">
            <v>SKIN,NON-RF,SLDG DR,SS #4 FINISH,RH</v>
          </cell>
          <cell r="C2718" t="str">
            <v>EA</v>
          </cell>
          <cell r="D2718" t="str">
            <v>RM100</v>
          </cell>
          <cell r="E2718">
            <v>289.39999999999998</v>
          </cell>
          <cell r="G2718" t="str">
            <v>207562-R-4SS</v>
          </cell>
        </row>
        <row r="2719">
          <cell r="A2719" t="str">
            <v>207562-R-SS</v>
          </cell>
          <cell r="B2719" t="str">
            <v>SKIN,NON-RF,SLDG DR,STAINLESS,RH</v>
          </cell>
          <cell r="C2719" t="str">
            <v>EA</v>
          </cell>
          <cell r="D2719" t="str">
            <v>RM100</v>
          </cell>
          <cell r="E2719">
            <v>449.54</v>
          </cell>
          <cell r="G2719" t="str">
            <v>207562-R-SS</v>
          </cell>
        </row>
        <row r="2720">
          <cell r="A2720">
            <v>207563</v>
          </cell>
          <cell r="B2720" t="str">
            <v>CVR,DR MNT,MOBILE.ALUM,FOLDED</v>
          </cell>
          <cell r="C2720" t="str">
            <v>EA</v>
          </cell>
          <cell r="D2720" t="str">
            <v>RM100</v>
          </cell>
          <cell r="E2720">
            <v>1</v>
          </cell>
          <cell r="G2720">
            <v>207563</v>
          </cell>
        </row>
        <row r="2721">
          <cell r="A2721" t="str">
            <v>207563-4SS</v>
          </cell>
          <cell r="B2721" t="str">
            <v>CVR,DR MNT,MOBILE,# 4 FINISH,SS,FOLDED</v>
          </cell>
          <cell r="C2721" t="str">
            <v>EA</v>
          </cell>
          <cell r="D2721" t="str">
            <v>MA100</v>
          </cell>
          <cell r="E2721">
            <v>75.373000000000005</v>
          </cell>
          <cell r="G2721" t="str">
            <v>207563-4SS</v>
          </cell>
        </row>
        <row r="2722">
          <cell r="A2722" t="str">
            <v>207564-L-4SS</v>
          </cell>
          <cell r="B2722" t="str">
            <v>CVR,LEFT STATIONARY,SS #4 FINISH,FOLDED</v>
          </cell>
          <cell r="C2722" t="str">
            <v>EA</v>
          </cell>
          <cell r="D2722" t="str">
            <v>MA100</v>
          </cell>
          <cell r="E2722">
            <v>122.83028</v>
          </cell>
          <cell r="G2722" t="str">
            <v>207564-L-4SS</v>
          </cell>
        </row>
        <row r="2723">
          <cell r="A2723" t="str">
            <v>207564-R-4SS</v>
          </cell>
          <cell r="B2723" t="str">
            <v>CVR,RGHT,STATIONARY,SS # 4 FINISH,FOLDED</v>
          </cell>
          <cell r="C2723" t="str">
            <v>EA</v>
          </cell>
          <cell r="D2723" t="str">
            <v>MA100</v>
          </cell>
          <cell r="E2723">
            <v>122.83028</v>
          </cell>
          <cell r="G2723" t="str">
            <v>207564-R-4SS</v>
          </cell>
        </row>
        <row r="2724">
          <cell r="A2724">
            <v>207566</v>
          </cell>
          <cell r="B2724" t="str">
            <v>ASSY,DR LEAF KIT,Maytec,77.425"x60.174"</v>
          </cell>
          <cell r="C2724" t="str">
            <v>EA</v>
          </cell>
          <cell r="D2724" t="str">
            <v>RM100</v>
          </cell>
          <cell r="E2724">
            <v>891.21</v>
          </cell>
          <cell r="G2724">
            <v>207566</v>
          </cell>
        </row>
        <row r="2725">
          <cell r="A2725">
            <v>207567</v>
          </cell>
          <cell r="B2725" t="str">
            <v>NUT,BAR,STL,53.5" LNG, 5/16-18 TH HOLES</v>
          </cell>
          <cell r="C2725" t="str">
            <v>EA</v>
          </cell>
          <cell r="D2725" t="str">
            <v>RM100</v>
          </cell>
          <cell r="E2725">
            <v>41.863770000000002</v>
          </cell>
          <cell r="G2725">
            <v>207567</v>
          </cell>
        </row>
        <row r="2726">
          <cell r="A2726">
            <v>207569</v>
          </cell>
          <cell r="B2726" t="str">
            <v>JAMB,SIDE RAIL-SUPPORT,SNGL DR.</v>
          </cell>
          <cell r="C2726" t="str">
            <v>EA</v>
          </cell>
          <cell r="D2726" t="str">
            <v>MA100</v>
          </cell>
          <cell r="E2726">
            <v>177.46</v>
          </cell>
          <cell r="G2726">
            <v>207569</v>
          </cell>
        </row>
        <row r="2727">
          <cell r="A2727" t="str">
            <v>207569-OP1</v>
          </cell>
          <cell r="B2727" t="str">
            <v>JAMB,SIDE RAIL-SUPPORT,FAB</v>
          </cell>
          <cell r="C2727" t="str">
            <v>EA</v>
          </cell>
          <cell r="D2727" t="str">
            <v>RM100</v>
          </cell>
          <cell r="E2727">
            <v>124.2</v>
          </cell>
          <cell r="G2727" t="str">
            <v>207569-OP1</v>
          </cell>
        </row>
        <row r="2728">
          <cell r="A2728" t="str">
            <v>207569-OP2</v>
          </cell>
          <cell r="B2728" t="str">
            <v>JAMB,SIDE RAIL-SUPPORT,ARC SPRAY</v>
          </cell>
          <cell r="C2728" t="str">
            <v>EA</v>
          </cell>
          <cell r="D2728" t="str">
            <v>RM100</v>
          </cell>
          <cell r="E2728">
            <v>36.79</v>
          </cell>
          <cell r="G2728" t="str">
            <v>207569-OP2</v>
          </cell>
        </row>
        <row r="2729">
          <cell r="A2729">
            <v>207570</v>
          </cell>
          <cell r="B2729" t="str">
            <v>NUT,BAR,STL,11.188",3.19" SPC,FOR 10-24</v>
          </cell>
          <cell r="C2729" t="str">
            <v>EA</v>
          </cell>
          <cell r="D2729" t="str">
            <v>RM100</v>
          </cell>
          <cell r="E2729">
            <v>17.983599999999999</v>
          </cell>
          <cell r="G2729">
            <v>207570</v>
          </cell>
        </row>
        <row r="2730">
          <cell r="A2730">
            <v>207571</v>
          </cell>
          <cell r="B2730" t="str">
            <v>NUT,BAR,STL,12.00",3.215" SPC,FOR 10-24</v>
          </cell>
          <cell r="C2730" t="str">
            <v>EA</v>
          </cell>
          <cell r="D2730" t="str">
            <v>RM100</v>
          </cell>
          <cell r="E2730">
            <v>19.678999999999998</v>
          </cell>
          <cell r="G2730">
            <v>207571</v>
          </cell>
        </row>
        <row r="2731">
          <cell r="A2731">
            <v>207572</v>
          </cell>
          <cell r="B2731" t="str">
            <v>NUT,BAR,STL,14.00",3.19" SPC,FOR 10-24</v>
          </cell>
          <cell r="C2731" t="str">
            <v>EA</v>
          </cell>
          <cell r="D2731" t="str">
            <v>RM100</v>
          </cell>
          <cell r="E2731">
            <v>20.329999999999998</v>
          </cell>
          <cell r="G2731">
            <v>207572</v>
          </cell>
        </row>
        <row r="2732">
          <cell r="A2732">
            <v>207573</v>
          </cell>
          <cell r="B2732" t="str">
            <v>PLT,SPCR,DR HNDL,1/4"x14.5'x14.5", 6061</v>
          </cell>
          <cell r="C2732" t="str">
            <v>EA</v>
          </cell>
          <cell r="D2732" t="str">
            <v>RM100</v>
          </cell>
          <cell r="E2732">
            <v>42.39</v>
          </cell>
          <cell r="G2732">
            <v>207573</v>
          </cell>
        </row>
        <row r="2733">
          <cell r="A2733">
            <v>207574</v>
          </cell>
          <cell r="B2733" t="str">
            <v>PLT,SPCR,DR HNDL,1/8"x14.5'x14.5", 6061</v>
          </cell>
          <cell r="C2733" t="str">
            <v>EA</v>
          </cell>
          <cell r="D2733" t="str">
            <v>RM100</v>
          </cell>
          <cell r="E2733">
            <v>42.39</v>
          </cell>
          <cell r="G2733">
            <v>207574</v>
          </cell>
        </row>
        <row r="2734">
          <cell r="A2734">
            <v>207575</v>
          </cell>
          <cell r="B2734" t="str">
            <v>PLT,SPCR,DR,HNDL,.090"x14.5'x14.5", 6061</v>
          </cell>
          <cell r="C2734" t="str">
            <v>EA</v>
          </cell>
          <cell r="D2734" t="str">
            <v>RM100</v>
          </cell>
          <cell r="E2734">
            <v>36.33</v>
          </cell>
          <cell r="G2734">
            <v>207575</v>
          </cell>
        </row>
        <row r="2735">
          <cell r="A2735">
            <v>207594</v>
          </cell>
          <cell r="B2735" t="str">
            <v>ACOUS,QUIET BARRIER FOAM,1 3/8X48"X54"</v>
          </cell>
          <cell r="C2735" t="str">
            <v>EA</v>
          </cell>
          <cell r="D2735" t="str">
            <v>RM100</v>
          </cell>
          <cell r="E2735">
            <v>84.96</v>
          </cell>
          <cell r="G2735">
            <v>207594</v>
          </cell>
        </row>
        <row r="2736">
          <cell r="A2736">
            <v>207599</v>
          </cell>
          <cell r="B2736" t="str">
            <v>ACOUS,FOAM,RIGID INSUL,48X96X1"THICK</v>
          </cell>
          <cell r="C2736" t="str">
            <v>SH</v>
          </cell>
          <cell r="D2736" t="str">
            <v>RM100</v>
          </cell>
          <cell r="E2736">
            <v>13.106999999999999</v>
          </cell>
          <cell r="G2736">
            <v>207599</v>
          </cell>
        </row>
        <row r="2737">
          <cell r="A2737">
            <v>207634</v>
          </cell>
          <cell r="B2737" t="str">
            <v>SHAFT,FLIP HANDLE</v>
          </cell>
          <cell r="C2737" t="str">
            <v>EA</v>
          </cell>
          <cell r="D2737" t="str">
            <v>RM100</v>
          </cell>
          <cell r="E2737">
            <v>27.75</v>
          </cell>
          <cell r="G2737">
            <v>207634</v>
          </cell>
        </row>
        <row r="2738">
          <cell r="A2738">
            <v>207635</v>
          </cell>
          <cell r="B2738" t="str">
            <v>ASSEM,ENCL,FLIP HANDLE</v>
          </cell>
          <cell r="C2738" t="str">
            <v>EA</v>
          </cell>
          <cell r="D2738" t="str">
            <v>RM100</v>
          </cell>
          <cell r="E2738">
            <v>123.59</v>
          </cell>
          <cell r="G2738">
            <v>207635</v>
          </cell>
        </row>
        <row r="2739">
          <cell r="A2739" t="str">
            <v>207635-CCA</v>
          </cell>
          <cell r="B2739" t="str">
            <v>ASSEM,ENCL,FLIP HANDLE,CLR CT ANODZ</v>
          </cell>
          <cell r="C2739" t="str">
            <v>EA</v>
          </cell>
          <cell r="D2739" t="str">
            <v>RM100</v>
          </cell>
          <cell r="E2739">
            <v>123.59</v>
          </cell>
          <cell r="G2739" t="str">
            <v>207635-CCA</v>
          </cell>
        </row>
        <row r="2740">
          <cell r="A2740">
            <v>207636</v>
          </cell>
          <cell r="B2740" t="str">
            <v>BLOCK,SWITCH MTG,FLIP HANDLE</v>
          </cell>
          <cell r="C2740" t="str">
            <v>EA</v>
          </cell>
          <cell r="D2740" t="str">
            <v>RM100</v>
          </cell>
          <cell r="E2740">
            <v>30.065000000000001</v>
          </cell>
          <cell r="G2740">
            <v>207636</v>
          </cell>
        </row>
        <row r="2741">
          <cell r="A2741">
            <v>207637</v>
          </cell>
          <cell r="B2741" t="str">
            <v>BAR,SWITCH PUSHER</v>
          </cell>
          <cell r="C2741" t="str">
            <v>EA</v>
          </cell>
          <cell r="D2741" t="str">
            <v>RM100</v>
          </cell>
          <cell r="E2741">
            <v>23.757999999999999</v>
          </cell>
          <cell r="G2741">
            <v>207637</v>
          </cell>
        </row>
        <row r="2742">
          <cell r="A2742">
            <v>207638</v>
          </cell>
          <cell r="B2742" t="str">
            <v>HANDLE,FLIP,SLDG DOOR</v>
          </cell>
          <cell r="C2742" t="str">
            <v>EA</v>
          </cell>
          <cell r="D2742" t="str">
            <v>MA100</v>
          </cell>
          <cell r="E2742">
            <v>347</v>
          </cell>
          <cell r="G2742">
            <v>207638</v>
          </cell>
        </row>
        <row r="2743">
          <cell r="A2743" t="str">
            <v>207638-CCA</v>
          </cell>
          <cell r="B2743" t="str">
            <v>HANDLE,FLIP,SLDG DOOR,CLR CT ANODIZE</v>
          </cell>
          <cell r="C2743" t="str">
            <v>EA</v>
          </cell>
          <cell r="D2743" t="str">
            <v>RM100</v>
          </cell>
          <cell r="E2743">
            <v>91.165000000000006</v>
          </cell>
          <cell r="G2743" t="str">
            <v>207638-CCA</v>
          </cell>
        </row>
        <row r="2744">
          <cell r="A2744" t="str">
            <v>207638-OP</v>
          </cell>
          <cell r="B2744" t="str">
            <v>HANDLE,FLIP,SLDG DOOR,MACHNG</v>
          </cell>
          <cell r="C2744" t="str">
            <v>EA</v>
          </cell>
          <cell r="D2744" t="str">
            <v>RM100</v>
          </cell>
          <cell r="E2744">
            <v>272</v>
          </cell>
          <cell r="G2744" t="str">
            <v>207638-OP</v>
          </cell>
        </row>
        <row r="2745">
          <cell r="A2745" t="str">
            <v>207638-OP2</v>
          </cell>
          <cell r="B2745" t="str">
            <v>HANDLE,FLIP,SLDG DOOR,PWDR CT</v>
          </cell>
          <cell r="C2745" t="str">
            <v>EA</v>
          </cell>
          <cell r="D2745" t="str">
            <v>RM100</v>
          </cell>
          <cell r="E2745">
            <v>75</v>
          </cell>
          <cell r="G2745" t="str">
            <v>207638-OP2</v>
          </cell>
        </row>
        <row r="2746">
          <cell r="A2746">
            <v>207642</v>
          </cell>
          <cell r="B2746" t="str">
            <v>SWITCH,PNEU,SMC VM1110-4NU-00</v>
          </cell>
          <cell r="C2746" t="str">
            <v>EA</v>
          </cell>
          <cell r="D2746" t="str">
            <v>RM100</v>
          </cell>
          <cell r="E2746">
            <v>13.05</v>
          </cell>
          <cell r="G2746">
            <v>207642</v>
          </cell>
        </row>
        <row r="2747">
          <cell r="A2747">
            <v>207645</v>
          </cell>
          <cell r="B2747" t="str">
            <v>BLOCK,CLAMP,SWITCH PIPE</v>
          </cell>
          <cell r="C2747" t="str">
            <v>EA</v>
          </cell>
          <cell r="D2747" t="str">
            <v>RM100</v>
          </cell>
          <cell r="E2747">
            <v>44.1</v>
          </cell>
          <cell r="G2747">
            <v>207645</v>
          </cell>
        </row>
        <row r="2748">
          <cell r="A2748">
            <v>207646</v>
          </cell>
          <cell r="B2748" t="str">
            <v>BLOCK,SWITCH MTG</v>
          </cell>
          <cell r="C2748" t="str">
            <v>EA</v>
          </cell>
          <cell r="D2748" t="str">
            <v>RM100</v>
          </cell>
          <cell r="E2748">
            <v>69.034000000000006</v>
          </cell>
          <cell r="G2748">
            <v>207646</v>
          </cell>
        </row>
        <row r="2749">
          <cell r="A2749">
            <v>207648</v>
          </cell>
          <cell r="B2749" t="str">
            <v>SEAL EDGE,VERT,SNGL SLD DR,7ft</v>
          </cell>
          <cell r="C2749" t="str">
            <v>EA</v>
          </cell>
          <cell r="D2749" t="str">
            <v>FG055</v>
          </cell>
          <cell r="E2749">
            <v>65.358940000000004</v>
          </cell>
          <cell r="G2749">
            <v>207648</v>
          </cell>
        </row>
        <row r="2750">
          <cell r="A2750" t="str">
            <v>207648-OP</v>
          </cell>
          <cell r="B2750" t="str">
            <v>SEAL EDGE,VERT,SNGL SLD DR,7ft,MACHG</v>
          </cell>
          <cell r="C2750" t="str">
            <v>EA</v>
          </cell>
          <cell r="D2750" t="str">
            <v>FG055</v>
          </cell>
          <cell r="E2750">
            <v>57.5</v>
          </cell>
          <cell r="G2750" t="str">
            <v>207648-OP</v>
          </cell>
        </row>
        <row r="2751">
          <cell r="A2751" t="str">
            <v>207649-L</v>
          </cell>
          <cell r="B2751" t="str">
            <v>JAMB ADPTR,SNGL SLD DR,LH</v>
          </cell>
          <cell r="C2751" t="str">
            <v>EA</v>
          </cell>
          <cell r="D2751" t="str">
            <v>MA100</v>
          </cell>
          <cell r="E2751">
            <v>448.07</v>
          </cell>
          <cell r="G2751" t="str">
            <v>207649-L</v>
          </cell>
        </row>
        <row r="2752">
          <cell r="A2752" t="str">
            <v>207649-L-OP</v>
          </cell>
          <cell r="B2752" t="str">
            <v>JAMB ADPTR,SNGL SLD DR,LH,MACH/SO*</v>
          </cell>
          <cell r="C2752" t="str">
            <v>EA</v>
          </cell>
          <cell r="D2752" t="str">
            <v>FG055</v>
          </cell>
          <cell r="E2752">
            <v>411.49</v>
          </cell>
          <cell r="G2752" t="str">
            <v>207649-L-OP</v>
          </cell>
        </row>
        <row r="2753">
          <cell r="A2753" t="str">
            <v>207649-R</v>
          </cell>
          <cell r="B2753" t="str">
            <v>JAMB ADPTR,SNGL SLD DR,RH</v>
          </cell>
          <cell r="C2753" t="str">
            <v>EA</v>
          </cell>
          <cell r="D2753" t="str">
            <v>FG055</v>
          </cell>
          <cell r="E2753">
            <v>320.81</v>
          </cell>
          <cell r="G2753" t="str">
            <v>207649-R</v>
          </cell>
        </row>
        <row r="2754">
          <cell r="A2754" t="str">
            <v>207649-R-OP</v>
          </cell>
          <cell r="B2754" t="str">
            <v>JAMB ADPTR,SNGL SLD DR,RH,MACHG</v>
          </cell>
          <cell r="C2754" t="str">
            <v>EA</v>
          </cell>
          <cell r="D2754" t="str">
            <v>FG055</v>
          </cell>
          <cell r="E2754">
            <v>411.49</v>
          </cell>
          <cell r="G2754" t="str">
            <v>207649-R-OP</v>
          </cell>
        </row>
        <row r="2755">
          <cell r="A2755">
            <v>207650</v>
          </cell>
          <cell r="B2755" t="str">
            <v>EXTRU,HEADER,SNGL,SLIDE DOOR 136" LONG</v>
          </cell>
          <cell r="C2755" t="str">
            <v>EA</v>
          </cell>
          <cell r="D2755" t="str">
            <v>RM100</v>
          </cell>
          <cell r="E2755">
            <v>174.03299999999999</v>
          </cell>
          <cell r="G2755">
            <v>207650</v>
          </cell>
        </row>
        <row r="2756">
          <cell r="A2756">
            <v>207651</v>
          </cell>
          <cell r="B2756" t="str">
            <v>SWITCH,PNEU,SMC VM1000-4NU-00</v>
          </cell>
          <cell r="C2756" t="str">
            <v>EA</v>
          </cell>
          <cell r="D2756" t="str">
            <v>RM100</v>
          </cell>
          <cell r="E2756">
            <v>11.23</v>
          </cell>
          <cell r="G2756">
            <v>207651</v>
          </cell>
        </row>
        <row r="2757">
          <cell r="A2757">
            <v>207655</v>
          </cell>
          <cell r="B2757" t="str">
            <v>SEAL,RF,TOP&amp;BTM,PHS-BRNZ,with TIN PLATE</v>
          </cell>
          <cell r="C2757" t="str">
            <v>EA</v>
          </cell>
          <cell r="D2757" t="str">
            <v>RM100</v>
          </cell>
          <cell r="E2757">
            <v>73.37</v>
          </cell>
          <cell r="G2757">
            <v>207655</v>
          </cell>
        </row>
        <row r="2758">
          <cell r="A2758" t="str">
            <v>207659-4SS</v>
          </cell>
          <cell r="B2758" t="str">
            <v>SKIN,RF SIDE,5' SLDG DR,4B-FIN,SS,LAM</v>
          </cell>
          <cell r="C2758" t="str">
            <v>EA</v>
          </cell>
          <cell r="D2758" t="str">
            <v>RM100</v>
          </cell>
          <cell r="E2758">
            <v>429.8</v>
          </cell>
          <cell r="G2758" t="str">
            <v>207659-4SS</v>
          </cell>
        </row>
        <row r="2759">
          <cell r="A2759">
            <v>207660</v>
          </cell>
          <cell r="B2759" t="str">
            <v>ANGLE, LIMIT SWITCH TRIP BAR</v>
          </cell>
          <cell r="C2759" t="str">
            <v>EA</v>
          </cell>
          <cell r="D2759" t="str">
            <v>MA100</v>
          </cell>
          <cell r="E2759">
            <v>19.201460000000001</v>
          </cell>
          <cell r="G2759">
            <v>207660</v>
          </cell>
        </row>
        <row r="2760">
          <cell r="A2760" t="str">
            <v>207661-L</v>
          </cell>
          <cell r="B2760" t="str">
            <v>SUPPORT,CABLE CARRIER,LH</v>
          </cell>
          <cell r="C2760" t="str">
            <v>EA</v>
          </cell>
          <cell r="D2760" t="str">
            <v>MA100</v>
          </cell>
          <cell r="E2760">
            <v>40.820210000000003</v>
          </cell>
          <cell r="G2760" t="str">
            <v>207661-L</v>
          </cell>
        </row>
        <row r="2761">
          <cell r="A2761" t="str">
            <v>207661-R</v>
          </cell>
          <cell r="B2761" t="str">
            <v>SUPPORT,CABLE CARRIER,RH</v>
          </cell>
          <cell r="C2761" t="str">
            <v>EA</v>
          </cell>
          <cell r="D2761" t="str">
            <v>MA100</v>
          </cell>
          <cell r="E2761">
            <v>40.820210000000003</v>
          </cell>
          <cell r="G2761" t="str">
            <v>207661-R</v>
          </cell>
        </row>
        <row r="2762">
          <cell r="A2762">
            <v>207662</v>
          </cell>
          <cell r="B2762" t="str">
            <v>SPACER, ANGLE MTG</v>
          </cell>
          <cell r="C2762" t="str">
            <v>EA</v>
          </cell>
          <cell r="D2762" t="str">
            <v>RM100</v>
          </cell>
          <cell r="E2762">
            <v>49.16</v>
          </cell>
          <cell r="G2762">
            <v>207662</v>
          </cell>
        </row>
        <row r="2763">
          <cell r="A2763">
            <v>207663</v>
          </cell>
          <cell r="B2763" t="str">
            <v>SPACER,MTG BRACKET</v>
          </cell>
          <cell r="C2763" t="str">
            <v>EA</v>
          </cell>
          <cell r="D2763" t="str">
            <v>MA100</v>
          </cell>
          <cell r="E2763">
            <v>14.46204</v>
          </cell>
          <cell r="G2763">
            <v>207663</v>
          </cell>
        </row>
        <row r="2764">
          <cell r="A2764">
            <v>207664</v>
          </cell>
          <cell r="B2764" t="str">
            <v>GUSSET, ALUM, 1/4"x1"x5"</v>
          </cell>
          <cell r="C2764" t="str">
            <v>EA</v>
          </cell>
          <cell r="D2764" t="str">
            <v>MA100</v>
          </cell>
          <cell r="E2764">
            <v>14.989000000000001</v>
          </cell>
          <cell r="G2764">
            <v>207664</v>
          </cell>
        </row>
        <row r="2765">
          <cell r="A2765">
            <v>207667</v>
          </cell>
          <cell r="B2765" t="str">
            <v>PLATE,FILLER,LEAD SHADE</v>
          </cell>
          <cell r="C2765" t="str">
            <v>EA</v>
          </cell>
          <cell r="D2765" t="str">
            <v>MA100</v>
          </cell>
          <cell r="E2765">
            <v>112.80625000000001</v>
          </cell>
          <cell r="G2765">
            <v>207667</v>
          </cell>
        </row>
        <row r="2766">
          <cell r="A2766">
            <v>207670</v>
          </cell>
          <cell r="B2766" t="str">
            <v>ANGLE, ZEE, JAMB</v>
          </cell>
          <cell r="C2766" t="str">
            <v>EA</v>
          </cell>
          <cell r="D2766" t="str">
            <v>RM100</v>
          </cell>
          <cell r="E2766">
            <v>354.9</v>
          </cell>
          <cell r="G2766">
            <v>207670</v>
          </cell>
        </row>
        <row r="2767">
          <cell r="A2767">
            <v>207671</v>
          </cell>
          <cell r="B2767" t="str">
            <v>TUBING,SPACER</v>
          </cell>
          <cell r="C2767" t="str">
            <v>EA</v>
          </cell>
          <cell r="D2767" t="str">
            <v>RM100</v>
          </cell>
          <cell r="E2767">
            <v>170</v>
          </cell>
          <cell r="G2767">
            <v>207671</v>
          </cell>
        </row>
        <row r="2768">
          <cell r="A2768">
            <v>207672</v>
          </cell>
          <cell r="B2768" t="str">
            <v>BAR,SPACER,LIGHT CURTAIN MTG</v>
          </cell>
          <cell r="C2768" t="str">
            <v>EA</v>
          </cell>
          <cell r="D2768" t="str">
            <v>RM100</v>
          </cell>
          <cell r="E2768">
            <v>64</v>
          </cell>
          <cell r="G2768">
            <v>207672</v>
          </cell>
        </row>
        <row r="2769">
          <cell r="A2769">
            <v>207673</v>
          </cell>
          <cell r="B2769" t="str">
            <v>SENSNG EDGE,TAPESWITCH # TS-47, 82.62"</v>
          </cell>
          <cell r="C2769" t="str">
            <v>EA</v>
          </cell>
          <cell r="D2769" t="str">
            <v>RM100</v>
          </cell>
          <cell r="E2769">
            <v>335</v>
          </cell>
          <cell r="G2769">
            <v>207673</v>
          </cell>
        </row>
        <row r="2770">
          <cell r="A2770">
            <v>207674</v>
          </cell>
          <cell r="B2770" t="str">
            <v>PLATE,FILLER,ALUM</v>
          </cell>
          <cell r="C2770" t="str">
            <v>EA</v>
          </cell>
          <cell r="D2770" t="str">
            <v>MA100</v>
          </cell>
          <cell r="E2770">
            <v>27.0975</v>
          </cell>
          <cell r="G2770">
            <v>207674</v>
          </cell>
        </row>
        <row r="2771">
          <cell r="A2771">
            <v>207675</v>
          </cell>
          <cell r="B2771" t="str">
            <v>SENSNG EDGE,TAPESWITCH # TS-47, 116.38"</v>
          </cell>
          <cell r="C2771" t="str">
            <v>EA</v>
          </cell>
          <cell r="D2771" t="str">
            <v>RM100</v>
          </cell>
          <cell r="E2771">
            <v>373</v>
          </cell>
          <cell r="G2771">
            <v>207675</v>
          </cell>
        </row>
        <row r="2772">
          <cell r="A2772">
            <v>207678</v>
          </cell>
          <cell r="B2772" t="str">
            <v>SHOE,ALIGNMENT BLOCK MTG</v>
          </cell>
          <cell r="C2772" t="str">
            <v>EA</v>
          </cell>
          <cell r="D2772" t="str">
            <v>RM100</v>
          </cell>
          <cell r="E2772">
            <v>59.8</v>
          </cell>
          <cell r="G2772">
            <v>207678</v>
          </cell>
        </row>
        <row r="2773">
          <cell r="A2773">
            <v>207679</v>
          </cell>
          <cell r="B2773" t="str">
            <v>BRKT, ALUM, 1/8", QUICK-EXH MNT</v>
          </cell>
          <cell r="C2773" t="str">
            <v>EA</v>
          </cell>
          <cell r="D2773" t="str">
            <v>MA100</v>
          </cell>
          <cell r="E2773">
            <v>13.552479999999999</v>
          </cell>
          <cell r="G2773">
            <v>207679</v>
          </cell>
        </row>
        <row r="2774">
          <cell r="A2774">
            <v>207692</v>
          </cell>
          <cell r="B2774" t="str">
            <v>TOP INSIDE LEAD SUPPORT BRKT</v>
          </cell>
          <cell r="C2774" t="str">
            <v>EA</v>
          </cell>
          <cell r="D2774" t="str">
            <v>MA100</v>
          </cell>
          <cell r="E2774">
            <v>22.074829999999999</v>
          </cell>
          <cell r="G2774">
            <v>207692</v>
          </cell>
        </row>
        <row r="2775">
          <cell r="A2775">
            <v>207693</v>
          </cell>
          <cell r="B2775" t="str">
            <v>SIDE INSIDE LEAD SUPPORT BRKT</v>
          </cell>
          <cell r="C2775" t="str">
            <v>EA</v>
          </cell>
          <cell r="D2775" t="str">
            <v>MA100</v>
          </cell>
          <cell r="E2775">
            <v>22.074829999999999</v>
          </cell>
          <cell r="G2775">
            <v>207693</v>
          </cell>
        </row>
        <row r="2776">
          <cell r="A2776">
            <v>207695</v>
          </cell>
          <cell r="B2776" t="str">
            <v>AS2 COVER ASSY Pb TOP 4'</v>
          </cell>
          <cell r="C2776" t="str">
            <v>EA</v>
          </cell>
          <cell r="D2776" t="str">
            <v>MA100</v>
          </cell>
          <cell r="E2776">
            <v>78.225970000000004</v>
          </cell>
          <cell r="G2776">
            <v>207695</v>
          </cell>
        </row>
        <row r="2777">
          <cell r="A2777" t="str">
            <v>207695-1</v>
          </cell>
          <cell r="B2777" t="str">
            <v>AS2, 4' SM TOP BRKT  Pb</v>
          </cell>
          <cell r="C2777" t="str">
            <v>EA</v>
          </cell>
          <cell r="D2777" t="str">
            <v>MA100</v>
          </cell>
          <cell r="E2777">
            <v>20.15925</v>
          </cell>
          <cell r="G2777" t="str">
            <v>207695-1</v>
          </cell>
        </row>
        <row r="2778">
          <cell r="A2778" t="str">
            <v>207695-2</v>
          </cell>
          <cell r="B2778" t="str">
            <v>AS2, 4' LG TOP BRKT  Pb</v>
          </cell>
          <cell r="C2778" t="str">
            <v>EA</v>
          </cell>
          <cell r="D2778" t="str">
            <v>MA100</v>
          </cell>
          <cell r="E2778">
            <v>20.15925</v>
          </cell>
          <cell r="G2778" t="str">
            <v>207695-2</v>
          </cell>
        </row>
        <row r="2779">
          <cell r="A2779">
            <v>207696</v>
          </cell>
          <cell r="B2779" t="str">
            <v>AS2, LEFT COVER ASSY Pb SIDE 7'</v>
          </cell>
          <cell r="C2779" t="str">
            <v>EA</v>
          </cell>
          <cell r="D2779" t="str">
            <v>MA100</v>
          </cell>
          <cell r="E2779">
            <v>73.101249999999993</v>
          </cell>
          <cell r="G2779">
            <v>207696</v>
          </cell>
        </row>
        <row r="2780">
          <cell r="A2780" t="str">
            <v>207696-1</v>
          </cell>
          <cell r="B2780" t="str">
            <v>AS2, 7' LEFT SM SIDE BRKT Pb</v>
          </cell>
          <cell r="C2780" t="str">
            <v>EA</v>
          </cell>
          <cell r="D2780" t="str">
            <v>MA100</v>
          </cell>
          <cell r="E2780">
            <v>14.39425</v>
          </cell>
          <cell r="G2780" t="str">
            <v>207696-1</v>
          </cell>
        </row>
        <row r="2781">
          <cell r="A2781" t="str">
            <v>207696-2</v>
          </cell>
          <cell r="B2781" t="str">
            <v>AS2, 7' LEFT LG SIDE BRKT Pb</v>
          </cell>
          <cell r="C2781" t="str">
            <v>EA</v>
          </cell>
          <cell r="D2781" t="str">
            <v>MA100</v>
          </cell>
          <cell r="E2781">
            <v>14.39425</v>
          </cell>
          <cell r="G2781" t="str">
            <v>207696-2</v>
          </cell>
        </row>
        <row r="2782">
          <cell r="A2782">
            <v>207697</v>
          </cell>
          <cell r="B2782" t="str">
            <v>AS2, RIGHT SIDE COVER ASSY Pb 7'</v>
          </cell>
          <cell r="C2782" t="str">
            <v>EA</v>
          </cell>
          <cell r="D2782" t="str">
            <v>MA100</v>
          </cell>
          <cell r="E2782">
            <v>229.16803999999999</v>
          </cell>
          <cell r="G2782">
            <v>207697</v>
          </cell>
        </row>
        <row r="2783">
          <cell r="A2783" t="str">
            <v>207697-1</v>
          </cell>
          <cell r="B2783" t="str">
            <v>AS2, 7' RIGHT SM SIDE BRKT Pb</v>
          </cell>
          <cell r="C2783" t="str">
            <v>EA</v>
          </cell>
          <cell r="D2783" t="str">
            <v>MA100</v>
          </cell>
          <cell r="E2783">
            <v>20.15925</v>
          </cell>
          <cell r="G2783" t="str">
            <v>207697-1</v>
          </cell>
        </row>
        <row r="2784">
          <cell r="A2784" t="str">
            <v>207697-2</v>
          </cell>
          <cell r="B2784" t="str">
            <v>AS2, 7' RIGHT LG SIDE BRKT Pb</v>
          </cell>
          <cell r="C2784" t="str">
            <v>EA</v>
          </cell>
          <cell r="D2784" t="str">
            <v>MA100</v>
          </cell>
          <cell r="E2784">
            <v>20.15925</v>
          </cell>
          <cell r="G2784" t="str">
            <v>207697-2</v>
          </cell>
        </row>
        <row r="2785">
          <cell r="A2785">
            <v>207723</v>
          </cell>
          <cell r="B2785" t="str">
            <v>ASSY,RELAY,TAPESWITCH/LIGHT CURTAIN</v>
          </cell>
          <cell r="C2785" t="str">
            <v>EA</v>
          </cell>
          <cell r="D2785" t="str">
            <v>FG055</v>
          </cell>
          <cell r="E2785">
            <v>477.30687</v>
          </cell>
          <cell r="G2785">
            <v>207723</v>
          </cell>
        </row>
        <row r="2786">
          <cell r="A2786">
            <v>207724</v>
          </cell>
          <cell r="B2786" t="str">
            <v>ASSY,PLC/PNEU,CNTRL,NON-ACCOU,SSD</v>
          </cell>
          <cell r="C2786" t="str">
            <v>EA</v>
          </cell>
          <cell r="D2786" t="str">
            <v>MA100</v>
          </cell>
          <cell r="E2786">
            <v>4633.2833700000001</v>
          </cell>
          <cell r="G2786">
            <v>207724</v>
          </cell>
        </row>
        <row r="2787">
          <cell r="A2787">
            <v>207725</v>
          </cell>
          <cell r="B2787" t="str">
            <v>ASSY,PLC/PNEU CONT SYS,SSD, 2 DOOR USE</v>
          </cell>
          <cell r="C2787" t="str">
            <v>EA</v>
          </cell>
          <cell r="D2787" t="str">
            <v>MA100</v>
          </cell>
          <cell r="E2787">
            <v>3545.0843300000001</v>
          </cell>
          <cell r="G2787">
            <v>207725</v>
          </cell>
        </row>
        <row r="2788">
          <cell r="A2788">
            <v>207726</v>
          </cell>
          <cell r="B2788" t="str">
            <v>ASSY,PLC/PNEU,CNTRL,ACCOU,SSD</v>
          </cell>
          <cell r="C2788" t="str">
            <v>EA</v>
          </cell>
          <cell r="D2788" t="str">
            <v>MA100</v>
          </cell>
          <cell r="E2788">
            <v>4565.7500700000001</v>
          </cell>
          <cell r="G2788">
            <v>207726</v>
          </cell>
        </row>
        <row r="2789">
          <cell r="A2789">
            <v>207735</v>
          </cell>
          <cell r="B2789" t="str">
            <v>COVER, RF SEAL, SLIDE DOOR</v>
          </cell>
          <cell r="C2789" t="str">
            <v>EA</v>
          </cell>
          <cell r="D2789" t="str">
            <v>RM100</v>
          </cell>
          <cell r="E2789">
            <v>160.43</v>
          </cell>
          <cell r="G2789">
            <v>207735</v>
          </cell>
        </row>
        <row r="2790">
          <cell r="A2790">
            <v>207747</v>
          </cell>
          <cell r="B2790" t="str">
            <v>SEAL,RF,TOP&amp;BTM,PHS-BRNZ,with TIN PLATE</v>
          </cell>
          <cell r="C2790" t="str">
            <v>EA</v>
          </cell>
          <cell r="D2790" t="str">
            <v>RM100</v>
          </cell>
          <cell r="E2790">
            <v>111.16</v>
          </cell>
          <cell r="G2790">
            <v>207747</v>
          </cell>
        </row>
        <row r="2791">
          <cell r="A2791">
            <v>207750</v>
          </cell>
          <cell r="B2791" t="str">
            <v>PLATE,SPACER,SWNG DR.</v>
          </cell>
          <cell r="C2791" t="str">
            <v>EA</v>
          </cell>
          <cell r="D2791" t="str">
            <v>RM100</v>
          </cell>
          <cell r="E2791">
            <v>195</v>
          </cell>
          <cell r="G2791">
            <v>207750</v>
          </cell>
        </row>
        <row r="2792">
          <cell r="A2792">
            <v>207751</v>
          </cell>
          <cell r="B2792" t="str">
            <v>EXTRU,ALUM,BLDDR HSG,CNTR SEAL,10',MILL*</v>
          </cell>
          <cell r="C2792" t="str">
            <v>EA</v>
          </cell>
          <cell r="D2792" t="str">
            <v>RM100</v>
          </cell>
          <cell r="E2792">
            <v>14.62</v>
          </cell>
          <cell r="G2792">
            <v>207751</v>
          </cell>
        </row>
        <row r="2793">
          <cell r="A2793" t="str">
            <v>207777-8</v>
          </cell>
          <cell r="B2793" t="str">
            <v>ADAPTER, SHAFT</v>
          </cell>
          <cell r="C2793" t="str">
            <v>EA</v>
          </cell>
          <cell r="D2793" t="str">
            <v>RM100</v>
          </cell>
          <cell r="E2793">
            <v>38</v>
          </cell>
          <cell r="G2793" t="str">
            <v>207777-8</v>
          </cell>
        </row>
        <row r="2794">
          <cell r="A2794">
            <v>207790</v>
          </cell>
          <cell r="B2794" t="str">
            <v>FOAM CORD, SANTOPRENE,1/2" DIA, 50 FT</v>
          </cell>
          <cell r="C2794" t="str">
            <v>EA</v>
          </cell>
          <cell r="D2794" t="str">
            <v>RM100</v>
          </cell>
          <cell r="E2794">
            <v>62</v>
          </cell>
          <cell r="G2794">
            <v>207790</v>
          </cell>
        </row>
        <row r="2795">
          <cell r="A2795" t="str">
            <v>207800-10</v>
          </cell>
          <cell r="B2795" t="str">
            <v>CYLINDER, SMC, NCQ8B106-100T</v>
          </cell>
          <cell r="C2795" t="str">
            <v>EA</v>
          </cell>
          <cell r="D2795" t="str">
            <v>RM100</v>
          </cell>
          <cell r="E2795">
            <v>193</v>
          </cell>
          <cell r="G2795" t="str">
            <v>207800-10</v>
          </cell>
        </row>
        <row r="2796">
          <cell r="A2796" t="str">
            <v>207800-4</v>
          </cell>
          <cell r="B2796" t="str">
            <v>PIN, LOCKING PIN</v>
          </cell>
          <cell r="C2796" t="str">
            <v>EA</v>
          </cell>
          <cell r="D2796" t="str">
            <v>RM100</v>
          </cell>
          <cell r="E2796">
            <v>66</v>
          </cell>
          <cell r="G2796" t="str">
            <v>207800-4</v>
          </cell>
        </row>
        <row r="2797">
          <cell r="A2797">
            <v>207804</v>
          </cell>
          <cell r="B2797" t="str">
            <v>BRK, ACOUSTIC, BOTTOM RIGHT</v>
          </cell>
          <cell r="C2797" t="str">
            <v>EA</v>
          </cell>
          <cell r="D2797" t="str">
            <v>RM100</v>
          </cell>
          <cell r="E2797">
            <v>121.39</v>
          </cell>
          <cell r="G2797">
            <v>207804</v>
          </cell>
        </row>
        <row r="2798">
          <cell r="A2798">
            <v>207805</v>
          </cell>
          <cell r="B2798" t="str">
            <v>BRKT,EXTRU,ACOUS,BTM SEAL,IOSD</v>
          </cell>
          <cell r="C2798" t="str">
            <v>EA</v>
          </cell>
          <cell r="D2798" t="str">
            <v>MA100</v>
          </cell>
          <cell r="E2798">
            <v>151.61875000000001</v>
          </cell>
          <cell r="G2798">
            <v>207805</v>
          </cell>
        </row>
        <row r="2799">
          <cell r="A2799" t="str">
            <v>207805-op</v>
          </cell>
          <cell r="B2799" t="str">
            <v>BRKT,EXTRU,ACOUS,BTM SEAL,IOSD,MACH</v>
          </cell>
          <cell r="C2799" t="str">
            <v>EA</v>
          </cell>
          <cell r="D2799" t="str">
            <v>MA100</v>
          </cell>
          <cell r="E2799">
            <v>316.25</v>
          </cell>
          <cell r="G2799" t="str">
            <v>207805-op</v>
          </cell>
        </row>
        <row r="2800">
          <cell r="A2800">
            <v>207807</v>
          </cell>
          <cell r="B2800" t="str">
            <v>SEAL, ACOUSTIC, TRAILING EDGE TOP</v>
          </cell>
          <cell r="C2800" t="str">
            <v>EA</v>
          </cell>
          <cell r="D2800" t="str">
            <v>RM100</v>
          </cell>
          <cell r="E2800">
            <v>86.05</v>
          </cell>
          <cell r="G2800">
            <v>207807</v>
          </cell>
        </row>
        <row r="2801">
          <cell r="A2801">
            <v>207808</v>
          </cell>
          <cell r="B2801" t="str">
            <v>SEAL, ACOUSTIC, TRAILING EDGE BOTTOM</v>
          </cell>
          <cell r="C2801" t="str">
            <v>EA</v>
          </cell>
          <cell r="D2801" t="str">
            <v>RM100</v>
          </cell>
          <cell r="E2801">
            <v>93.3</v>
          </cell>
          <cell r="G2801">
            <v>207808</v>
          </cell>
        </row>
        <row r="2802">
          <cell r="A2802" t="str">
            <v>207808-OP</v>
          </cell>
          <cell r="B2802" t="str">
            <v>Cut/Form 207808 Seal</v>
          </cell>
          <cell r="C2802" t="str">
            <v>EA</v>
          </cell>
          <cell r="D2802" t="str">
            <v>MA100</v>
          </cell>
          <cell r="E2802">
            <v>86.05</v>
          </cell>
          <cell r="G2802" t="str">
            <v>207808-OP</v>
          </cell>
        </row>
        <row r="2803">
          <cell r="A2803" t="str">
            <v>207808-OP1</v>
          </cell>
          <cell r="B2803" t="str">
            <v>Tin Plate 207808 Seal</v>
          </cell>
          <cell r="C2803" t="str">
            <v>EA</v>
          </cell>
          <cell r="D2803" t="str">
            <v>MA100</v>
          </cell>
          <cell r="E2803">
            <v>7.25</v>
          </cell>
          <cell r="G2803" t="str">
            <v>207808-OP1</v>
          </cell>
        </row>
        <row r="2804">
          <cell r="A2804">
            <v>207811</v>
          </cell>
          <cell r="B2804" t="str">
            <v>BRK, TRAILING EDGE SEAL, MIDDLE</v>
          </cell>
          <cell r="C2804" t="str">
            <v>EA</v>
          </cell>
          <cell r="D2804" t="str">
            <v>MA100</v>
          </cell>
          <cell r="E2804">
            <v>30.88993</v>
          </cell>
          <cell r="G2804">
            <v>207811</v>
          </cell>
        </row>
        <row r="2805">
          <cell r="A2805" t="str">
            <v>207812-L-OP</v>
          </cell>
          <cell r="B2805" t="str">
            <v>EXT. TRAILING EDGE SEAL, MAIN LEFT,MACH</v>
          </cell>
          <cell r="C2805" t="str">
            <v>EA</v>
          </cell>
          <cell r="D2805" t="str">
            <v>RM100</v>
          </cell>
          <cell r="E2805">
            <v>287</v>
          </cell>
          <cell r="G2805" t="str">
            <v>207812-L-OP</v>
          </cell>
        </row>
        <row r="2806">
          <cell r="A2806" t="str">
            <v>207812-R-OP</v>
          </cell>
          <cell r="B2806" t="str">
            <v>EXT. TRAILING EDGE SEAL, MAIN RIGHT,MACH</v>
          </cell>
          <cell r="C2806" t="str">
            <v>EA</v>
          </cell>
          <cell r="D2806" t="str">
            <v>RM100</v>
          </cell>
          <cell r="E2806">
            <v>287</v>
          </cell>
          <cell r="G2806" t="str">
            <v>207812-R-OP</v>
          </cell>
        </row>
        <row r="2807">
          <cell r="A2807">
            <v>207813</v>
          </cell>
          <cell r="B2807" t="str">
            <v>BRKT,EXTRU,ACOUS SEAL,TOP RT,IOSD</v>
          </cell>
          <cell r="C2807" t="str">
            <v>EA</v>
          </cell>
          <cell r="D2807" t="str">
            <v>MA100</v>
          </cell>
          <cell r="E2807">
            <v>253.69499999999999</v>
          </cell>
          <cell r="G2807">
            <v>207813</v>
          </cell>
        </row>
        <row r="2808">
          <cell r="A2808" t="str">
            <v>207813-OP</v>
          </cell>
          <cell r="B2808" t="str">
            <v>BRKT,EXTRU,ACOUS SEAL,TOP RT,IOSD,MACH</v>
          </cell>
          <cell r="C2808" t="str">
            <v>EA</v>
          </cell>
          <cell r="D2808" t="str">
            <v>RM100</v>
          </cell>
          <cell r="E2808">
            <v>295</v>
          </cell>
          <cell r="G2808" t="str">
            <v>207813-OP</v>
          </cell>
        </row>
        <row r="2809">
          <cell r="A2809">
            <v>207815</v>
          </cell>
          <cell r="B2809" t="str">
            <v>PLATE,PRESS BAR,ACOUSTIC,TOP</v>
          </cell>
          <cell r="C2809" t="str">
            <v>EA</v>
          </cell>
          <cell r="D2809" t="str">
            <v>MA100</v>
          </cell>
          <cell r="E2809">
            <v>81.760000000000005</v>
          </cell>
          <cell r="G2809">
            <v>207815</v>
          </cell>
        </row>
        <row r="2810">
          <cell r="A2810">
            <v>207816</v>
          </cell>
          <cell r="B2810" t="str">
            <v>COVER,BLADDER SEAL,ACOUSTIC,TOP,RH</v>
          </cell>
          <cell r="C2810" t="str">
            <v>EA</v>
          </cell>
          <cell r="D2810" t="str">
            <v>RM100</v>
          </cell>
          <cell r="E2810">
            <v>20.05</v>
          </cell>
          <cell r="G2810">
            <v>207816</v>
          </cell>
        </row>
        <row r="2811">
          <cell r="A2811">
            <v>207819</v>
          </cell>
          <cell r="B2811" t="str">
            <v>ASSY,ACOUSTIC SEAL HOLDER,RH</v>
          </cell>
          <cell r="C2811" t="str">
            <v>EA</v>
          </cell>
          <cell r="D2811" t="str">
            <v>RM100</v>
          </cell>
          <cell r="E2811">
            <v>25.64</v>
          </cell>
          <cell r="G2811">
            <v>207819</v>
          </cell>
        </row>
        <row r="2812">
          <cell r="A2812">
            <v>207820</v>
          </cell>
          <cell r="B2812" t="str">
            <v>ASSY,ACOUS SEAL,TOP. RH, IOSD</v>
          </cell>
          <cell r="C2812" t="str">
            <v>EA</v>
          </cell>
          <cell r="D2812" t="str">
            <v>MA100</v>
          </cell>
          <cell r="E2812">
            <v>613.98689999999999</v>
          </cell>
          <cell r="G2812">
            <v>207820</v>
          </cell>
        </row>
        <row r="2813">
          <cell r="A2813">
            <v>207822</v>
          </cell>
          <cell r="B2813" t="str">
            <v>COVER,BLADDER SEAL,ACOUSTIC,TOP,LH</v>
          </cell>
          <cell r="C2813" t="str">
            <v>EA</v>
          </cell>
          <cell r="D2813" t="str">
            <v>RM100</v>
          </cell>
          <cell r="E2813">
            <v>20.05</v>
          </cell>
          <cell r="G2813">
            <v>207822</v>
          </cell>
        </row>
        <row r="2814">
          <cell r="A2814">
            <v>207823</v>
          </cell>
          <cell r="B2814" t="str">
            <v>BRKT,EXTRU,ACOUS SEAL,TOP LH,IOSD</v>
          </cell>
          <cell r="C2814" t="str">
            <v>EA</v>
          </cell>
          <cell r="D2814" t="str">
            <v>MA100</v>
          </cell>
          <cell r="E2814">
            <v>253.69499999999999</v>
          </cell>
          <cell r="G2814">
            <v>207823</v>
          </cell>
        </row>
        <row r="2815">
          <cell r="A2815" t="str">
            <v>207823-OP</v>
          </cell>
          <cell r="B2815" t="str">
            <v>BRKT,EXTRU,ACOUS SEAL,TOP LH,IOSD,MACH</v>
          </cell>
          <cell r="C2815" t="str">
            <v>EA</v>
          </cell>
          <cell r="D2815" t="str">
            <v>RM100</v>
          </cell>
          <cell r="E2815">
            <v>295</v>
          </cell>
          <cell r="G2815" t="str">
            <v>207823-OP</v>
          </cell>
        </row>
        <row r="2816">
          <cell r="A2816">
            <v>207825</v>
          </cell>
          <cell r="B2816" t="str">
            <v>NUT BAR, ACOUSTIC, BOTTOM EDGE</v>
          </cell>
          <cell r="C2816" t="str">
            <v>EA</v>
          </cell>
          <cell r="D2816" t="str">
            <v>RM100</v>
          </cell>
          <cell r="E2816">
            <v>25.97</v>
          </cell>
          <cell r="G2816">
            <v>207825</v>
          </cell>
        </row>
        <row r="2817">
          <cell r="A2817">
            <v>207826</v>
          </cell>
          <cell r="B2817" t="str">
            <v>ASSY, ACOUSTIC SEAL HOLDER,LH</v>
          </cell>
          <cell r="C2817" t="str">
            <v>EA</v>
          </cell>
          <cell r="D2817" t="str">
            <v>RM100</v>
          </cell>
          <cell r="E2817">
            <v>97.5</v>
          </cell>
          <cell r="G2817">
            <v>207826</v>
          </cell>
        </row>
        <row r="2818">
          <cell r="A2818">
            <v>207828</v>
          </cell>
          <cell r="B2818" t="str">
            <v>ASSY, IOSD ACOUSTIC BOTTOM SEAL</v>
          </cell>
          <cell r="C2818" t="str">
            <v>EA</v>
          </cell>
          <cell r="D2818" t="str">
            <v>MA100</v>
          </cell>
          <cell r="E2818">
            <v>619.37774999999999</v>
          </cell>
          <cell r="G2818">
            <v>207828</v>
          </cell>
        </row>
        <row r="2819">
          <cell r="A2819" t="str">
            <v>207834-SS-OP</v>
          </cell>
          <cell r="B2819" t="str">
            <v>PNL,ACOUS,SS304,115"X50.430",LFT,SS,MACH</v>
          </cell>
          <cell r="C2819" t="str">
            <v>EA</v>
          </cell>
          <cell r="D2819" t="str">
            <v>RM100</v>
          </cell>
          <cell r="E2819">
            <v>328.55</v>
          </cell>
          <cell r="G2819" t="str">
            <v>207834-SS-OP</v>
          </cell>
        </row>
        <row r="2820">
          <cell r="A2820">
            <v>207835</v>
          </cell>
          <cell r="B2820" t="str">
            <v>CVR,ACOUSTIC,MIDDLE,STATIONARY/SO</v>
          </cell>
          <cell r="C2820" t="str">
            <v>EA</v>
          </cell>
          <cell r="D2820" t="str">
            <v>RM100</v>
          </cell>
          <cell r="E2820">
            <v>33.595669999999998</v>
          </cell>
          <cell r="G2820">
            <v>207835</v>
          </cell>
        </row>
        <row r="2821">
          <cell r="A2821">
            <v>207836</v>
          </cell>
          <cell r="B2821" t="str">
            <v>CVR,ACOUSTIC,LEFT,STATIONARY</v>
          </cell>
          <cell r="C2821" t="str">
            <v>EA</v>
          </cell>
          <cell r="D2821" t="str">
            <v>MA100</v>
          </cell>
          <cell r="E2821">
            <v>39.6935</v>
          </cell>
          <cell r="G2821">
            <v>207836</v>
          </cell>
        </row>
        <row r="2822">
          <cell r="A2822" t="str">
            <v>207836-OP</v>
          </cell>
          <cell r="B2822" t="str">
            <v>CVR,ACOUSTIC,LEFT,STATIONARY,WELD</v>
          </cell>
          <cell r="C2822" t="str">
            <v>EA</v>
          </cell>
          <cell r="D2822" t="str">
            <v>MA100</v>
          </cell>
          <cell r="E2822">
            <v>0</v>
          </cell>
          <cell r="G2822" t="str">
            <v>207836-OP</v>
          </cell>
        </row>
        <row r="2823">
          <cell r="A2823" t="str">
            <v>207836-OP1</v>
          </cell>
          <cell r="B2823" t="str">
            <v>CVR, ACOUSTIC,LEFT,STATIONARY,PWD CT</v>
          </cell>
          <cell r="C2823" t="str">
            <v>EA</v>
          </cell>
          <cell r="D2823" t="str">
            <v>MA100</v>
          </cell>
          <cell r="E2823">
            <v>0</v>
          </cell>
          <cell r="G2823" t="str">
            <v>207836-OP1</v>
          </cell>
        </row>
        <row r="2824">
          <cell r="A2824">
            <v>207837</v>
          </cell>
          <cell r="B2824" t="str">
            <v>CVR,ACOUSTIC,RIGHT,STATIONARY</v>
          </cell>
          <cell r="C2824" t="str">
            <v>EA</v>
          </cell>
          <cell r="D2824" t="str">
            <v>MA100</v>
          </cell>
          <cell r="E2824">
            <v>39.6935</v>
          </cell>
          <cell r="G2824">
            <v>207837</v>
          </cell>
        </row>
        <row r="2825">
          <cell r="A2825" t="str">
            <v>207837-OP</v>
          </cell>
          <cell r="B2825" t="str">
            <v>CVR,ACOUSTIC,RIGHT,STATIONARY,WELD</v>
          </cell>
          <cell r="C2825" t="str">
            <v>EA</v>
          </cell>
          <cell r="D2825" t="str">
            <v>MA100</v>
          </cell>
          <cell r="E2825">
            <v>0</v>
          </cell>
          <cell r="G2825" t="str">
            <v>207837-OP</v>
          </cell>
        </row>
        <row r="2826">
          <cell r="A2826" t="str">
            <v>207837-OP1</v>
          </cell>
          <cell r="B2826" t="str">
            <v>CVR,ACOUSTIC,RIGHT,STATIONARY,PWD CT</v>
          </cell>
          <cell r="C2826" t="str">
            <v>EA</v>
          </cell>
          <cell r="D2826" t="str">
            <v>MA100</v>
          </cell>
          <cell r="E2826">
            <v>0</v>
          </cell>
          <cell r="G2826" t="str">
            <v>207837-OP1</v>
          </cell>
        </row>
        <row r="2827">
          <cell r="A2827">
            <v>207838</v>
          </cell>
          <cell r="B2827" t="str">
            <v>CHNL, ALUM,MDL SEAL, 2.0" X 117.375"</v>
          </cell>
          <cell r="C2827" t="str">
            <v>EA</v>
          </cell>
          <cell r="D2827" t="str">
            <v>RM100</v>
          </cell>
          <cell r="E2827">
            <v>133.94999999999999</v>
          </cell>
          <cell r="G2827">
            <v>207838</v>
          </cell>
        </row>
        <row r="2828">
          <cell r="A2828">
            <v>207839</v>
          </cell>
          <cell r="B2828" t="str">
            <v>CHNL, ALUM,MDL SEAL, 1.5" X 117.375"</v>
          </cell>
          <cell r="C2828" t="str">
            <v>EA</v>
          </cell>
          <cell r="D2828" t="str">
            <v>RM100</v>
          </cell>
          <cell r="E2828">
            <v>132.75</v>
          </cell>
          <cell r="G2828">
            <v>207839</v>
          </cell>
        </row>
        <row r="2829">
          <cell r="A2829">
            <v>207840</v>
          </cell>
          <cell r="B2829" t="str">
            <v>BRK, ACOUSTIC, BOTTOM, LEFT</v>
          </cell>
          <cell r="C2829" t="str">
            <v>EA</v>
          </cell>
          <cell r="D2829" t="str">
            <v>RM100</v>
          </cell>
          <cell r="E2829">
            <v>82.3</v>
          </cell>
          <cell r="G2829">
            <v>207840</v>
          </cell>
        </row>
        <row r="2830">
          <cell r="A2830">
            <v>207841</v>
          </cell>
          <cell r="B2830" t="str">
            <v>CVR, ACOUSTIC, BOTTOM EDGE SEAL</v>
          </cell>
          <cell r="C2830" t="str">
            <v>EA</v>
          </cell>
          <cell r="D2830" t="str">
            <v>RM100</v>
          </cell>
          <cell r="E2830">
            <v>103.5</v>
          </cell>
          <cell r="G2830">
            <v>207841</v>
          </cell>
        </row>
        <row r="2831">
          <cell r="A2831">
            <v>207842</v>
          </cell>
          <cell r="B2831" t="str">
            <v>ASSY,ACOUS SEAL,TOP. LH, IOSD</v>
          </cell>
          <cell r="C2831" t="str">
            <v>EA</v>
          </cell>
          <cell r="D2831" t="str">
            <v>MA100</v>
          </cell>
          <cell r="E2831">
            <v>801.14689999999996</v>
          </cell>
          <cell r="G2831">
            <v>207842</v>
          </cell>
        </row>
        <row r="2832">
          <cell r="A2832">
            <v>207843</v>
          </cell>
          <cell r="B2832" t="str">
            <v>SPCR, BOTTOM SLIDE RAIL ACOUSTIC</v>
          </cell>
          <cell r="C2832" t="str">
            <v>EA</v>
          </cell>
          <cell r="D2832" t="str">
            <v>MA100</v>
          </cell>
          <cell r="E2832">
            <v>31.858720000000002</v>
          </cell>
          <cell r="G2832">
            <v>207843</v>
          </cell>
        </row>
        <row r="2833">
          <cell r="A2833">
            <v>207844</v>
          </cell>
          <cell r="B2833" t="str">
            <v>BRK, BOTTOM ACOUSTIC PRESS BAR</v>
          </cell>
          <cell r="C2833" t="str">
            <v>EA</v>
          </cell>
          <cell r="D2833" t="str">
            <v>MA100</v>
          </cell>
          <cell r="E2833">
            <v>34.870579999999997</v>
          </cell>
          <cell r="G2833">
            <v>207844</v>
          </cell>
        </row>
        <row r="2834">
          <cell r="A2834">
            <v>207845</v>
          </cell>
          <cell r="B2834" t="str">
            <v>ASSY, BOTTOM ACOUSTIC PRESS BAR</v>
          </cell>
          <cell r="C2834" t="str">
            <v>EA</v>
          </cell>
          <cell r="D2834" t="str">
            <v>MA100</v>
          </cell>
          <cell r="E2834">
            <v>58.8</v>
          </cell>
          <cell r="G2834">
            <v>207845</v>
          </cell>
        </row>
        <row r="2835">
          <cell r="A2835">
            <v>207846</v>
          </cell>
          <cell r="B2835" t="str">
            <v>CLIP, GLIDE TOP ACOUS SEAL</v>
          </cell>
          <cell r="C2835" t="str">
            <v>EA</v>
          </cell>
          <cell r="D2835" t="str">
            <v>RM100</v>
          </cell>
          <cell r="E2835">
            <v>32.375999999999998</v>
          </cell>
          <cell r="G2835">
            <v>207846</v>
          </cell>
        </row>
        <row r="2836">
          <cell r="A2836">
            <v>207847</v>
          </cell>
          <cell r="B2836" t="str">
            <v>CHNL, ROLLER LATCH STOP</v>
          </cell>
          <cell r="C2836" t="str">
            <v>EA</v>
          </cell>
          <cell r="D2836" t="str">
            <v>RM100</v>
          </cell>
          <cell r="E2836">
            <v>62</v>
          </cell>
          <cell r="G2836">
            <v>207847</v>
          </cell>
        </row>
        <row r="2837">
          <cell r="A2837" t="str">
            <v>207849-L-SS</v>
          </cell>
          <cell r="B2837" t="str">
            <v>ASSY,5' SSD,LH,ACOUSTIC PKG,SS</v>
          </cell>
          <cell r="C2837" t="str">
            <v>EA</v>
          </cell>
          <cell r="D2837" t="str">
            <v>MA100</v>
          </cell>
          <cell r="E2837">
            <v>6887.4434099999999</v>
          </cell>
          <cell r="G2837" t="str">
            <v>207849-L-SS</v>
          </cell>
        </row>
        <row r="2838">
          <cell r="A2838" t="str">
            <v>207849-SS</v>
          </cell>
          <cell r="B2838" t="str">
            <v>ASSY,5' SSD,RH,ACOUSTIC PKG,SS</v>
          </cell>
          <cell r="C2838" t="str">
            <v>EA</v>
          </cell>
          <cell r="D2838" t="str">
            <v>MA100</v>
          </cell>
          <cell r="E2838">
            <v>6368.5561100000004</v>
          </cell>
          <cell r="G2838" t="str">
            <v>207849-SS</v>
          </cell>
        </row>
        <row r="2839">
          <cell r="A2839">
            <v>207850</v>
          </cell>
          <cell r="B2839" t="str">
            <v>KIT,ACOUS FRAME, 5' SSD,MAYTEC</v>
          </cell>
          <cell r="C2839" t="str">
            <v>EA</v>
          </cell>
          <cell r="D2839" t="str">
            <v>RM100</v>
          </cell>
          <cell r="E2839">
            <v>638.34</v>
          </cell>
          <cell r="G2839">
            <v>207850</v>
          </cell>
        </row>
        <row r="2840">
          <cell r="A2840">
            <v>207851</v>
          </cell>
          <cell r="B2840" t="str">
            <v>ACOUSTIC MAIN PAN 5', RIGHT, ALUM</v>
          </cell>
          <cell r="C2840" t="str">
            <v>EA</v>
          </cell>
          <cell r="D2840" t="str">
            <v>RM100</v>
          </cell>
          <cell r="E2840">
            <v>285.66000000000003</v>
          </cell>
          <cell r="G2840">
            <v>207851</v>
          </cell>
        </row>
        <row r="2841">
          <cell r="A2841">
            <v>207852</v>
          </cell>
          <cell r="B2841" t="str">
            <v>BRK, ACOUSTIC 5', BOTTOM RIGHT</v>
          </cell>
          <cell r="C2841" t="str">
            <v>EA</v>
          </cell>
          <cell r="D2841" t="str">
            <v>RM100</v>
          </cell>
          <cell r="E2841">
            <v>112.32</v>
          </cell>
          <cell r="G2841">
            <v>207852</v>
          </cell>
        </row>
        <row r="2842">
          <cell r="A2842">
            <v>207853</v>
          </cell>
          <cell r="B2842" t="str">
            <v>ASSY, SSD ACOUSTIC 5', BOTTOM SEAL</v>
          </cell>
          <cell r="C2842" t="str">
            <v>EA</v>
          </cell>
          <cell r="D2842" t="str">
            <v>MA100</v>
          </cell>
          <cell r="E2842">
            <v>781.36271999999997</v>
          </cell>
          <cell r="G2842">
            <v>207853</v>
          </cell>
        </row>
        <row r="2843">
          <cell r="A2843" t="str">
            <v>207853-op</v>
          </cell>
          <cell r="B2843" t="str">
            <v>MACHINING OF 207854</v>
          </cell>
          <cell r="C2843" t="str">
            <v>EA</v>
          </cell>
          <cell r="D2843" t="str">
            <v>MA100</v>
          </cell>
          <cell r="E2843">
            <v>446</v>
          </cell>
          <cell r="G2843" t="str">
            <v>207853-op</v>
          </cell>
        </row>
        <row r="2844">
          <cell r="A2844">
            <v>207854</v>
          </cell>
          <cell r="B2844" t="str">
            <v>BRKT,EXTRU,ACOUS 5',BTM SEAL,IOSD</v>
          </cell>
          <cell r="C2844" t="str">
            <v>EA</v>
          </cell>
          <cell r="D2844" t="str">
            <v>MA100</v>
          </cell>
          <cell r="E2844">
            <v>203.61</v>
          </cell>
          <cell r="G2844">
            <v>207854</v>
          </cell>
        </row>
        <row r="2845">
          <cell r="A2845">
            <v>207855</v>
          </cell>
          <cell r="B2845" t="str">
            <v>CVR, ACOUSTIC 5', BOTTOM EDGE SEAL</v>
          </cell>
          <cell r="C2845" t="str">
            <v>EA</v>
          </cell>
          <cell r="D2845" t="str">
            <v>RM100</v>
          </cell>
          <cell r="E2845">
            <v>100.42</v>
          </cell>
          <cell r="G2845">
            <v>207855</v>
          </cell>
        </row>
        <row r="2846">
          <cell r="A2846">
            <v>207856</v>
          </cell>
          <cell r="B2846" t="str">
            <v>ASSY, BOTTOM ACOUSTIC 5', PRESS BAR</v>
          </cell>
          <cell r="C2846" t="str">
            <v>EA</v>
          </cell>
          <cell r="D2846" t="str">
            <v>MA100</v>
          </cell>
          <cell r="E2846">
            <v>267.71791999999999</v>
          </cell>
          <cell r="G2846">
            <v>207856</v>
          </cell>
        </row>
        <row r="2847">
          <cell r="A2847">
            <v>207857</v>
          </cell>
          <cell r="B2847" t="str">
            <v>BRK, BOTTOM ACOUSTIC 5', PRESS BAR</v>
          </cell>
          <cell r="C2847" t="str">
            <v>EA</v>
          </cell>
          <cell r="D2847" t="str">
            <v>MA100</v>
          </cell>
          <cell r="E2847">
            <v>207.57</v>
          </cell>
          <cell r="G2847">
            <v>207857</v>
          </cell>
        </row>
        <row r="2848">
          <cell r="A2848">
            <v>207858</v>
          </cell>
          <cell r="B2848" t="str">
            <v>ACOUSTIC MAIN PAN 5', LEFT, ALUM</v>
          </cell>
          <cell r="C2848" t="str">
            <v>EA</v>
          </cell>
          <cell r="D2848" t="str">
            <v>RM100</v>
          </cell>
          <cell r="E2848">
            <v>603.82000000000005</v>
          </cell>
          <cell r="G2848">
            <v>207858</v>
          </cell>
        </row>
        <row r="2849">
          <cell r="A2849">
            <v>207859</v>
          </cell>
          <cell r="B2849" t="str">
            <v>BRK, ACOUSTIC 5', BOTTOM LEFT</v>
          </cell>
          <cell r="C2849" t="str">
            <v>EA</v>
          </cell>
          <cell r="D2849" t="str">
            <v>RM100</v>
          </cell>
          <cell r="E2849">
            <v>118.94</v>
          </cell>
          <cell r="G2849">
            <v>207859</v>
          </cell>
        </row>
        <row r="2850">
          <cell r="A2850">
            <v>207860</v>
          </cell>
          <cell r="B2850" t="str">
            <v>ASSY,ACOUS SEAL 5',TOP. RH, IOSD</v>
          </cell>
          <cell r="C2850" t="str">
            <v>EA</v>
          </cell>
          <cell r="D2850" t="str">
            <v>MA100</v>
          </cell>
          <cell r="E2850">
            <v>804.11109999999996</v>
          </cell>
          <cell r="G2850">
            <v>207860</v>
          </cell>
        </row>
        <row r="2851">
          <cell r="A2851" t="str">
            <v>207860-L</v>
          </cell>
          <cell r="B2851" t="str">
            <v>ASSY,ACOUS SEAL 5',TOP, LH, SSD</v>
          </cell>
          <cell r="C2851" t="str">
            <v>EA</v>
          </cell>
          <cell r="D2851" t="str">
            <v>MA100</v>
          </cell>
          <cell r="E2851">
            <v>624.56690000000003</v>
          </cell>
          <cell r="G2851" t="str">
            <v>207860-L</v>
          </cell>
        </row>
        <row r="2852">
          <cell r="A2852">
            <v>207861</v>
          </cell>
          <cell r="B2852" t="str">
            <v>BRKT,EXTRU,ACOUS SEAL 5',TOP RT,IOSD</v>
          </cell>
          <cell r="C2852" t="str">
            <v>EA</v>
          </cell>
          <cell r="D2852" t="str">
            <v>MA100</v>
          </cell>
          <cell r="E2852">
            <v>157.72</v>
          </cell>
          <cell r="G2852">
            <v>207861</v>
          </cell>
        </row>
        <row r="2853">
          <cell r="A2853" t="str">
            <v>207861-L</v>
          </cell>
          <cell r="B2853" t="str">
            <v>BRKT,EXTRU,ACOUS SEAL 5',TOP LH,IOSD</v>
          </cell>
          <cell r="C2853" t="str">
            <v>EA</v>
          </cell>
          <cell r="D2853" t="str">
            <v>MA100</v>
          </cell>
          <cell r="E2853">
            <v>15.5214</v>
          </cell>
          <cell r="G2853" t="str">
            <v>207861-L</v>
          </cell>
        </row>
        <row r="2854">
          <cell r="A2854" t="str">
            <v>207861-L-OP</v>
          </cell>
          <cell r="B2854" t="str">
            <v>MACHINING OF 207861-L</v>
          </cell>
          <cell r="C2854" t="str">
            <v>EA</v>
          </cell>
          <cell r="D2854" t="str">
            <v>MA100</v>
          </cell>
          <cell r="E2854">
            <v>0</v>
          </cell>
          <cell r="G2854" t="str">
            <v>207861-L-OP</v>
          </cell>
        </row>
        <row r="2855">
          <cell r="A2855" t="str">
            <v>207861-OP</v>
          </cell>
          <cell r="B2855" t="str">
            <v>BRKT,EXTRU,ACOUS SEAL 5',TOP,IOSD, OP</v>
          </cell>
          <cell r="C2855" t="str">
            <v>EA</v>
          </cell>
          <cell r="D2855" t="str">
            <v>MA100</v>
          </cell>
          <cell r="E2855">
            <v>392</v>
          </cell>
          <cell r="G2855" t="str">
            <v>207861-OP</v>
          </cell>
        </row>
        <row r="2856">
          <cell r="A2856">
            <v>207862</v>
          </cell>
          <cell r="B2856" t="str">
            <v>ASSY, PRESS BAR, ACOUSTIC 5', TOP SEAL</v>
          </cell>
          <cell r="C2856" t="str">
            <v>EA</v>
          </cell>
          <cell r="D2856" t="str">
            <v>MA100</v>
          </cell>
          <cell r="E2856">
            <v>178.3</v>
          </cell>
          <cell r="G2856">
            <v>207862</v>
          </cell>
        </row>
        <row r="2857">
          <cell r="A2857">
            <v>207863</v>
          </cell>
          <cell r="B2857" t="str">
            <v>PLATE,PRESS BAR,ACOUSTIC 5',TOP</v>
          </cell>
          <cell r="C2857" t="str">
            <v>EA</v>
          </cell>
          <cell r="D2857" t="str">
            <v>MA100</v>
          </cell>
          <cell r="E2857">
            <v>165.1</v>
          </cell>
          <cell r="G2857">
            <v>207863</v>
          </cell>
        </row>
        <row r="2858">
          <cell r="A2858">
            <v>207864</v>
          </cell>
          <cell r="B2858" t="str">
            <v>ASSY,ACOUSTIC 5' SEAL HOLDER</v>
          </cell>
          <cell r="C2858" t="str">
            <v>EA</v>
          </cell>
          <cell r="D2858" t="str">
            <v>RM100</v>
          </cell>
          <cell r="E2858">
            <v>87.27</v>
          </cell>
          <cell r="G2858">
            <v>207864</v>
          </cell>
        </row>
        <row r="2859">
          <cell r="A2859">
            <v>207867</v>
          </cell>
          <cell r="B2859" t="str">
            <v>COVER,BLADDER SEAL,ACOUSTIC 5',TOP,RH</v>
          </cell>
          <cell r="C2859" t="str">
            <v>EA</v>
          </cell>
          <cell r="D2859" t="str">
            <v>RM100</v>
          </cell>
          <cell r="E2859">
            <v>93.42</v>
          </cell>
          <cell r="G2859">
            <v>207867</v>
          </cell>
        </row>
        <row r="2860">
          <cell r="A2860" t="str">
            <v>207867-L</v>
          </cell>
          <cell r="B2860" t="str">
            <v>COVER,BLADDER SEAL,ACOUSTIC 5',TOP,LH</v>
          </cell>
          <cell r="C2860" t="str">
            <v>EA</v>
          </cell>
          <cell r="D2860" t="str">
            <v>RM100</v>
          </cell>
          <cell r="E2860">
            <v>54.14</v>
          </cell>
          <cell r="G2860" t="str">
            <v>207867-L</v>
          </cell>
        </row>
        <row r="2861">
          <cell r="A2861">
            <v>207869</v>
          </cell>
          <cell r="B2861" t="str">
            <v>WELDED ASSY, EMERG. COVER 5' SSD DOOR</v>
          </cell>
          <cell r="C2861" t="str">
            <v>EA</v>
          </cell>
          <cell r="D2861" t="str">
            <v>RM100</v>
          </cell>
          <cell r="E2861">
            <v>111.76</v>
          </cell>
          <cell r="G2861">
            <v>207869</v>
          </cell>
        </row>
        <row r="2862">
          <cell r="A2862" t="str">
            <v>207870-L</v>
          </cell>
          <cell r="B2862" t="str">
            <v>ASSY,SD ACOUS 7' TRLING EDGE SEAL,LH</v>
          </cell>
          <cell r="C2862" t="str">
            <v>EA</v>
          </cell>
          <cell r="D2862" t="str">
            <v>MA100</v>
          </cell>
          <cell r="E2862">
            <v>1039.9724000000001</v>
          </cell>
          <cell r="G2862" t="str">
            <v>207870-L</v>
          </cell>
        </row>
        <row r="2863">
          <cell r="A2863" t="str">
            <v>207870-R</v>
          </cell>
          <cell r="B2863" t="str">
            <v>ASSY,SD ACOUS 7' TRLING EDGE SEAL,RH</v>
          </cell>
          <cell r="C2863" t="str">
            <v>EA</v>
          </cell>
          <cell r="D2863" t="str">
            <v>MA100</v>
          </cell>
          <cell r="E2863">
            <v>958.02520000000004</v>
          </cell>
          <cell r="G2863" t="str">
            <v>207870-R</v>
          </cell>
        </row>
        <row r="2864">
          <cell r="A2864">
            <v>207872</v>
          </cell>
          <cell r="B2864" t="str">
            <v>CVR,BRKT,ACOUS,TRLING EDGE SL,7' SD</v>
          </cell>
          <cell r="C2864" t="str">
            <v>EA</v>
          </cell>
          <cell r="D2864" t="str">
            <v>RM100</v>
          </cell>
          <cell r="E2864">
            <v>77.377440000000007</v>
          </cell>
          <cell r="G2864">
            <v>207872</v>
          </cell>
        </row>
        <row r="2865">
          <cell r="A2865" t="str">
            <v>207873-L</v>
          </cell>
          <cell r="B2865" t="str">
            <v>BRKT,EXTRU,TRAILING EDGE SEAL,LH 7' SD</v>
          </cell>
          <cell r="C2865" t="str">
            <v>EA</v>
          </cell>
          <cell r="D2865" t="str">
            <v>MA100</v>
          </cell>
          <cell r="E2865">
            <v>407.91</v>
          </cell>
          <cell r="G2865" t="str">
            <v>207873-L</v>
          </cell>
        </row>
        <row r="2866">
          <cell r="A2866" t="str">
            <v>207873-L-OP</v>
          </cell>
          <cell r="B2866" t="str">
            <v>BRKT,EXTRU,TRLING EDGE SL,LH 7'SD,MACH</v>
          </cell>
          <cell r="C2866" t="str">
            <v>EA</v>
          </cell>
          <cell r="D2866" t="str">
            <v>RM100</v>
          </cell>
          <cell r="E2866">
            <v>254.59</v>
          </cell>
          <cell r="G2866" t="str">
            <v>207873-L-OP</v>
          </cell>
        </row>
        <row r="2867">
          <cell r="A2867" t="str">
            <v>207873-R</v>
          </cell>
          <cell r="B2867" t="str">
            <v>BRKT,EXTRU,TRAILING EDGE SEAL,RH 7' SD</v>
          </cell>
          <cell r="C2867" t="str">
            <v>EA</v>
          </cell>
          <cell r="D2867" t="str">
            <v>MA100</v>
          </cell>
          <cell r="E2867">
            <v>328.22500000000002</v>
          </cell>
          <cell r="G2867" t="str">
            <v>207873-R</v>
          </cell>
        </row>
        <row r="2868">
          <cell r="A2868" t="str">
            <v>207873-R-OP</v>
          </cell>
          <cell r="B2868" t="str">
            <v>BRKT,EXTRU,TRLING EDGE SL,RH 7'SD,MACH</v>
          </cell>
          <cell r="C2868" t="str">
            <v>EA</v>
          </cell>
          <cell r="D2868" t="str">
            <v>RM100</v>
          </cell>
          <cell r="E2868">
            <v>231.34</v>
          </cell>
          <cell r="G2868" t="str">
            <v>207873-R-OP</v>
          </cell>
        </row>
        <row r="2869">
          <cell r="A2869">
            <v>207874</v>
          </cell>
          <cell r="B2869" t="str">
            <v>BRK, TRAILING EDGE SEAL, BOTTOM 7' IOSD</v>
          </cell>
          <cell r="C2869" t="str">
            <v>EA</v>
          </cell>
          <cell r="D2869" t="str">
            <v>MA100</v>
          </cell>
          <cell r="E2869">
            <v>32.952080000000002</v>
          </cell>
          <cell r="G2869">
            <v>207874</v>
          </cell>
        </row>
        <row r="2870">
          <cell r="A2870">
            <v>207875</v>
          </cell>
          <cell r="B2870" t="str">
            <v>BRK, TRAILING EDGE SEAL, MIDDLE 7' IOSD</v>
          </cell>
          <cell r="C2870" t="str">
            <v>EA</v>
          </cell>
          <cell r="D2870" t="str">
            <v>MA100</v>
          </cell>
          <cell r="E2870">
            <v>32.952080000000002</v>
          </cell>
          <cell r="G2870">
            <v>207875</v>
          </cell>
        </row>
        <row r="2871">
          <cell r="A2871">
            <v>207876</v>
          </cell>
          <cell r="B2871" t="str">
            <v>BRK, TRAILING EDGE SEAL, TOP 7' IOSD</v>
          </cell>
          <cell r="C2871" t="str">
            <v>EA</v>
          </cell>
          <cell r="D2871" t="str">
            <v>MA100</v>
          </cell>
          <cell r="E2871">
            <v>32.952080000000002</v>
          </cell>
          <cell r="G2871">
            <v>207876</v>
          </cell>
        </row>
        <row r="2872">
          <cell r="A2872">
            <v>207877</v>
          </cell>
          <cell r="B2872" t="str">
            <v>ASSY, PRESS BAR, ACOUSTIC 7' BTM SEAL</v>
          </cell>
          <cell r="C2872" t="str">
            <v>EA</v>
          </cell>
          <cell r="D2872" t="str">
            <v>MA100</v>
          </cell>
          <cell r="E2872">
            <v>32.229999999999997</v>
          </cell>
          <cell r="G2872">
            <v>207877</v>
          </cell>
        </row>
        <row r="2873">
          <cell r="A2873">
            <v>207878</v>
          </cell>
          <cell r="B2873" t="str">
            <v>ASSY, PRESS BAR, ACOUSTIC 7' CTR SEAL</v>
          </cell>
          <cell r="C2873" t="str">
            <v>EA</v>
          </cell>
          <cell r="D2873" t="str">
            <v>MA100</v>
          </cell>
          <cell r="E2873">
            <v>51.425060000000002</v>
          </cell>
          <cell r="G2873">
            <v>207878</v>
          </cell>
        </row>
        <row r="2874">
          <cell r="A2874">
            <v>207879</v>
          </cell>
          <cell r="B2874" t="str">
            <v>ASSY, PRESS BAR, ACOUSTIC 7' TOP SEAL</v>
          </cell>
          <cell r="C2874" t="str">
            <v>EA</v>
          </cell>
          <cell r="D2874" t="str">
            <v>MA100</v>
          </cell>
          <cell r="E2874">
            <v>32.229999999999997</v>
          </cell>
          <cell r="G2874">
            <v>207879</v>
          </cell>
        </row>
        <row r="2875">
          <cell r="A2875" t="str">
            <v>207880-L-SS</v>
          </cell>
          <cell r="B2875" t="str">
            <v>PNL,ACOUSTIC,SS304,83.62" X 60.52",LH,SS</v>
          </cell>
          <cell r="C2875" t="str">
            <v>EA</v>
          </cell>
          <cell r="D2875" t="str">
            <v>RM100</v>
          </cell>
          <cell r="E2875">
            <v>1104.3499999999999</v>
          </cell>
          <cell r="G2875" t="str">
            <v>207880-L-SS</v>
          </cell>
        </row>
        <row r="2876">
          <cell r="A2876" t="str">
            <v>207880-SS</v>
          </cell>
          <cell r="B2876" t="str">
            <v>PNL,ACOUSTIC,SS304,83.62" X 60.52",RT,SS</v>
          </cell>
          <cell r="C2876" t="str">
            <v>EA</v>
          </cell>
          <cell r="D2876" t="str">
            <v>RM100</v>
          </cell>
          <cell r="E2876">
            <v>748.35</v>
          </cell>
          <cell r="G2876" t="str">
            <v>207880-SS</v>
          </cell>
        </row>
        <row r="2877">
          <cell r="A2877">
            <v>207881</v>
          </cell>
          <cell r="B2877" t="str">
            <v>SEAL, ACOUSTIC, TRAILING EDGE 7' TOP</v>
          </cell>
          <cell r="C2877" t="str">
            <v>EA</v>
          </cell>
          <cell r="D2877" t="str">
            <v>MA100</v>
          </cell>
          <cell r="E2877">
            <v>53.69</v>
          </cell>
          <cell r="G2877">
            <v>207881</v>
          </cell>
        </row>
        <row r="2878">
          <cell r="A2878" t="str">
            <v>207881-OP1</v>
          </cell>
          <cell r="B2878" t="str">
            <v>SEAL,ACOUS,TRLING 7' TOP,FAB S/O*</v>
          </cell>
          <cell r="C2878" t="str">
            <v>EA</v>
          </cell>
          <cell r="D2878" t="str">
            <v>MA100</v>
          </cell>
          <cell r="E2878">
            <v>58.15</v>
          </cell>
          <cell r="G2878" t="str">
            <v>207881-OP1</v>
          </cell>
        </row>
        <row r="2879">
          <cell r="A2879" t="str">
            <v>207881-TP</v>
          </cell>
          <cell r="B2879" t="str">
            <v>SEAL,ACOUS,TRLING 7' EDGE TOP,TIN-PLATE</v>
          </cell>
          <cell r="C2879" t="str">
            <v>EA</v>
          </cell>
          <cell r="D2879" t="str">
            <v>MA100</v>
          </cell>
          <cell r="E2879">
            <v>14.5</v>
          </cell>
          <cell r="G2879" t="str">
            <v>207881-TP</v>
          </cell>
        </row>
        <row r="2880">
          <cell r="A2880">
            <v>207882</v>
          </cell>
          <cell r="B2880" t="str">
            <v>SEAL, ACOUSTIC, TRAILING 7' EDGE BOTTOM</v>
          </cell>
          <cell r="C2880" t="str">
            <v>EA</v>
          </cell>
          <cell r="D2880" t="str">
            <v>RM100</v>
          </cell>
          <cell r="E2880">
            <v>53.69</v>
          </cell>
          <cell r="G2880">
            <v>207882</v>
          </cell>
        </row>
        <row r="2881">
          <cell r="A2881">
            <v>207883</v>
          </cell>
          <cell r="B2881" t="str">
            <v>NUT BAR, ACOUSTIC, 7' TRAILING EDGE</v>
          </cell>
          <cell r="C2881" t="str">
            <v>EA</v>
          </cell>
          <cell r="D2881" t="str">
            <v>RM100</v>
          </cell>
          <cell r="E2881">
            <v>90.54</v>
          </cell>
          <cell r="G2881">
            <v>207883</v>
          </cell>
        </row>
        <row r="2882">
          <cell r="A2882">
            <v>207887</v>
          </cell>
          <cell r="B2882" t="str">
            <v>CVR, EMER. DOOR HANDLE, 5' IOSD</v>
          </cell>
          <cell r="C2882" t="str">
            <v>EA</v>
          </cell>
          <cell r="D2882" t="str">
            <v>RM100</v>
          </cell>
          <cell r="E2882">
            <v>50.31</v>
          </cell>
          <cell r="G2882">
            <v>207887</v>
          </cell>
        </row>
        <row r="2883">
          <cell r="A2883">
            <v>207888</v>
          </cell>
          <cell r="B2883" t="str">
            <v>CVR,ALUM,END CAP, TOP&amp;BTM, NO HOLE</v>
          </cell>
          <cell r="C2883" t="str">
            <v>EA</v>
          </cell>
          <cell r="D2883" t="str">
            <v>RM100</v>
          </cell>
          <cell r="E2883">
            <v>17.18</v>
          </cell>
          <cell r="G2883">
            <v>207888</v>
          </cell>
        </row>
        <row r="2884">
          <cell r="A2884">
            <v>207889</v>
          </cell>
          <cell r="B2884" t="str">
            <v>ASSY, EMERG. COVER 5' SSD DOOR</v>
          </cell>
          <cell r="C2884" t="str">
            <v>EA</v>
          </cell>
          <cell r="D2884" t="str">
            <v>MA100</v>
          </cell>
          <cell r="E2884">
            <v>332.80779999999999</v>
          </cell>
          <cell r="G2884">
            <v>207889</v>
          </cell>
        </row>
        <row r="2885">
          <cell r="A2885">
            <v>207891</v>
          </cell>
          <cell r="B2885" t="str">
            <v>C CHANNEL, 7' LEAD WALL SUPPORT SEAL</v>
          </cell>
          <cell r="C2885" t="str">
            <v>EA</v>
          </cell>
          <cell r="D2885" t="str">
            <v>RM100</v>
          </cell>
          <cell r="E2885">
            <v>344.14</v>
          </cell>
          <cell r="G2885">
            <v>207891</v>
          </cell>
        </row>
        <row r="2886">
          <cell r="A2886">
            <v>207892</v>
          </cell>
          <cell r="B2886" t="str">
            <v>BRKT, 7' LIGHT CRTN/ACOUS SEAL SSD JAMB</v>
          </cell>
          <cell r="C2886" t="str">
            <v>EA</v>
          </cell>
          <cell r="D2886" t="str">
            <v>RM100</v>
          </cell>
          <cell r="E2886">
            <v>248</v>
          </cell>
          <cell r="G2886">
            <v>207892</v>
          </cell>
        </row>
        <row r="2887">
          <cell r="A2887">
            <v>207893</v>
          </cell>
          <cell r="B2887" t="str">
            <v>SEAL, LEGACY#770AA, 84.00" 7' SSD</v>
          </cell>
          <cell r="C2887" t="str">
            <v>EA</v>
          </cell>
          <cell r="D2887" t="str">
            <v>RM100</v>
          </cell>
          <cell r="E2887">
            <v>91.594999999999999</v>
          </cell>
          <cell r="G2887">
            <v>207893</v>
          </cell>
        </row>
        <row r="2888">
          <cell r="A2888" t="str">
            <v>207894-L</v>
          </cell>
          <cell r="B2888" t="str">
            <v>CVR, SINGLE IOSD DOOR, LH, SS</v>
          </cell>
          <cell r="C2888" t="str">
            <v>EA</v>
          </cell>
          <cell r="D2888" t="str">
            <v>MA100</v>
          </cell>
          <cell r="E2888">
            <v>135.22999999999999</v>
          </cell>
          <cell r="G2888" t="str">
            <v>207894-L</v>
          </cell>
        </row>
        <row r="2889">
          <cell r="A2889" t="str">
            <v>207894-R</v>
          </cell>
          <cell r="B2889" t="str">
            <v>CVR, SINGLE IOSD DOOR, RH, SS</v>
          </cell>
          <cell r="C2889" t="str">
            <v>EA</v>
          </cell>
          <cell r="D2889" t="str">
            <v>MA100</v>
          </cell>
          <cell r="E2889">
            <v>135.22999999999999</v>
          </cell>
          <cell r="G2889" t="str">
            <v>207894-R</v>
          </cell>
        </row>
        <row r="2890">
          <cell r="A2890">
            <v>207895</v>
          </cell>
          <cell r="B2890" t="str">
            <v>PNL,ACOUSTIC,SS304,13.75"X8.345"HND CVR</v>
          </cell>
          <cell r="C2890" t="str">
            <v>EA</v>
          </cell>
          <cell r="D2890" t="str">
            <v>RM100</v>
          </cell>
          <cell r="E2890">
            <v>73.459999999999994</v>
          </cell>
          <cell r="G2890">
            <v>207895</v>
          </cell>
        </row>
        <row r="2891">
          <cell r="A2891">
            <v>207896</v>
          </cell>
          <cell r="B2891" t="str">
            <v>MNT PLATE FOR ROLLER LATCH</v>
          </cell>
          <cell r="C2891" t="str">
            <v>EA</v>
          </cell>
          <cell r="D2891" t="str">
            <v>RM100</v>
          </cell>
          <cell r="E2891">
            <v>48</v>
          </cell>
          <cell r="G2891">
            <v>207896</v>
          </cell>
        </row>
        <row r="2892">
          <cell r="A2892">
            <v>207897</v>
          </cell>
          <cell r="B2892" t="str">
            <v>HINGE, SS 304, 8-32 TAPPED HOLES</v>
          </cell>
          <cell r="C2892" t="str">
            <v>EA</v>
          </cell>
          <cell r="D2892" t="str">
            <v>RM100</v>
          </cell>
          <cell r="E2892">
            <v>7.69</v>
          </cell>
          <cell r="G2892">
            <v>207897</v>
          </cell>
        </row>
        <row r="2893">
          <cell r="A2893">
            <v>207898</v>
          </cell>
          <cell r="B2893" t="str">
            <v>HANDLE, SOUTHCO FLUSH PULL P1-30-103-11</v>
          </cell>
          <cell r="C2893" t="str">
            <v>EA</v>
          </cell>
          <cell r="D2893" t="str">
            <v>RM100</v>
          </cell>
          <cell r="E2893">
            <v>8.7899999999999991</v>
          </cell>
          <cell r="G2893">
            <v>207898</v>
          </cell>
        </row>
        <row r="2894">
          <cell r="A2894">
            <v>207899</v>
          </cell>
          <cell r="B2894" t="str">
            <v>CLOSER,OPENER,EXTRU,51"RH-IN</v>
          </cell>
          <cell r="C2894" t="str">
            <v>EA</v>
          </cell>
          <cell r="D2894" t="str">
            <v>RM100</v>
          </cell>
          <cell r="E2894">
            <v>193.2</v>
          </cell>
          <cell r="G2894">
            <v>207899</v>
          </cell>
        </row>
        <row r="2895">
          <cell r="A2895">
            <v>207919</v>
          </cell>
          <cell r="B2895" t="str">
            <v>NUT,BAR,HRS .243X.625X91.125 (15 HOLE)</v>
          </cell>
          <cell r="C2895" t="str">
            <v>EA</v>
          </cell>
          <cell r="D2895" t="str">
            <v>RM100</v>
          </cell>
          <cell r="E2895">
            <v>84.37</v>
          </cell>
          <cell r="G2895">
            <v>207919</v>
          </cell>
        </row>
        <row r="2896">
          <cell r="A2896">
            <v>207954</v>
          </cell>
          <cell r="B2896" t="str">
            <v>NUT,BAR,HRS .243X.625X5.000 (1 HOLE)</v>
          </cell>
          <cell r="C2896" t="str">
            <v>EA</v>
          </cell>
          <cell r="D2896" t="str">
            <v>RM100</v>
          </cell>
          <cell r="E2896">
            <v>5.9</v>
          </cell>
          <cell r="G2896">
            <v>207954</v>
          </cell>
        </row>
        <row r="2897">
          <cell r="A2897">
            <v>207956</v>
          </cell>
          <cell r="B2897" t="str">
            <v>NUT,BAR,HRS .243X.625X5.00 (1 HOLE CNTR)</v>
          </cell>
          <cell r="C2897" t="str">
            <v>EA</v>
          </cell>
          <cell r="D2897" t="str">
            <v>RM100</v>
          </cell>
          <cell r="E2897">
            <v>11.85</v>
          </cell>
          <cell r="G2897">
            <v>207956</v>
          </cell>
        </row>
        <row r="2898">
          <cell r="A2898">
            <v>208000</v>
          </cell>
          <cell r="B2898" t="str">
            <v>RUBBER,TUBE LATEX 1/4"ODX25' MCM#5234K96</v>
          </cell>
          <cell r="C2898" t="str">
            <v>EA</v>
          </cell>
          <cell r="D2898" t="str">
            <v>RM100</v>
          </cell>
          <cell r="E2898">
            <v>21.5</v>
          </cell>
          <cell r="G2898">
            <v>208000</v>
          </cell>
        </row>
        <row r="2899">
          <cell r="A2899">
            <v>208002</v>
          </cell>
          <cell r="B2899" t="str">
            <v>SEAL,VERTICAL 26.844 LG (TIN PLATED)</v>
          </cell>
          <cell r="C2899" t="str">
            <v>EA</v>
          </cell>
          <cell r="D2899" t="str">
            <v>RM100</v>
          </cell>
          <cell r="E2899">
            <v>97.44</v>
          </cell>
          <cell r="G2899">
            <v>208002</v>
          </cell>
        </row>
        <row r="2900">
          <cell r="A2900">
            <v>208019</v>
          </cell>
          <cell r="B2900" t="str">
            <v>ROLLER,JAW,CNTR SEAL,DELRIN,0.25"DIA</v>
          </cell>
          <cell r="C2900" t="str">
            <v>EA</v>
          </cell>
          <cell r="D2900" t="str">
            <v>RM100</v>
          </cell>
          <cell r="E2900">
            <v>6.98</v>
          </cell>
          <cell r="G2900">
            <v>208019</v>
          </cell>
        </row>
        <row r="2901">
          <cell r="A2901">
            <v>208020</v>
          </cell>
          <cell r="B2901" t="str">
            <v>PIN,ROLLER</v>
          </cell>
          <cell r="C2901" t="str">
            <v>EA</v>
          </cell>
          <cell r="D2901" t="str">
            <v>RM100</v>
          </cell>
          <cell r="E2901">
            <v>2.95</v>
          </cell>
          <cell r="G2901">
            <v>208020</v>
          </cell>
        </row>
        <row r="2902">
          <cell r="A2902">
            <v>208021</v>
          </cell>
          <cell r="B2902" t="str">
            <v>BUTTON,SPRNG,CNTR SEAL,SS,1/8x0.221"</v>
          </cell>
          <cell r="C2902" t="str">
            <v>EA</v>
          </cell>
          <cell r="D2902" t="str">
            <v>RM100</v>
          </cell>
          <cell r="E2902">
            <v>2.98</v>
          </cell>
          <cell r="G2902">
            <v>208021</v>
          </cell>
        </row>
        <row r="2903">
          <cell r="A2903">
            <v>208023</v>
          </cell>
          <cell r="B2903" t="str">
            <v>ROD,PIVOT,JAW,CNTR SEAL,0.109DIAx4"</v>
          </cell>
          <cell r="C2903" t="str">
            <v>EA</v>
          </cell>
          <cell r="D2903" t="str">
            <v>RM100</v>
          </cell>
          <cell r="E2903">
            <v>3.15</v>
          </cell>
          <cell r="G2903">
            <v>208023</v>
          </cell>
        </row>
        <row r="2904">
          <cell r="A2904">
            <v>208024</v>
          </cell>
          <cell r="B2904" t="str">
            <v>SEAL,BRZ,FINGER 53.143 LG FAB/SO</v>
          </cell>
          <cell r="C2904" t="str">
            <v>EA</v>
          </cell>
          <cell r="D2904" t="str">
            <v>RM100</v>
          </cell>
          <cell r="E2904">
            <v>49.85</v>
          </cell>
          <cell r="G2904">
            <v>208024</v>
          </cell>
        </row>
        <row r="2905">
          <cell r="A2905" t="str">
            <v>208024-TP</v>
          </cell>
          <cell r="B2905" t="str">
            <v>SEAL,BRZ,FINGER 53.143 LG (TIN PLATED)</v>
          </cell>
          <cell r="C2905" t="str">
            <v>EA</v>
          </cell>
          <cell r="D2905" t="str">
            <v>RM100</v>
          </cell>
          <cell r="E2905">
            <v>60</v>
          </cell>
          <cell r="G2905" t="str">
            <v>208024-TP</v>
          </cell>
        </row>
        <row r="2906">
          <cell r="A2906">
            <v>208026</v>
          </cell>
          <cell r="B2906" t="str">
            <v>SPRG,COMP,SS,WIRE (LEE SPRG#LC020CD070S)</v>
          </cell>
          <cell r="C2906" t="str">
            <v>EA</v>
          </cell>
          <cell r="D2906" t="str">
            <v>RM100</v>
          </cell>
          <cell r="E2906">
            <v>3.21</v>
          </cell>
          <cell r="G2906">
            <v>208026</v>
          </cell>
        </row>
        <row r="2907">
          <cell r="A2907">
            <v>208027</v>
          </cell>
          <cell r="B2907" t="str">
            <v>SPRG,COMP,SS,WIRE (LEE SPRG #LC014B05S)</v>
          </cell>
          <cell r="C2907" t="str">
            <v>EA</v>
          </cell>
          <cell r="D2907" t="str">
            <v>RM100</v>
          </cell>
          <cell r="E2907">
            <v>3.21</v>
          </cell>
          <cell r="G2907">
            <v>208027</v>
          </cell>
        </row>
        <row r="2908">
          <cell r="A2908">
            <v>208047</v>
          </cell>
          <cell r="B2908" t="str">
            <v>PIN,PIVOT .109X2.25</v>
          </cell>
          <cell r="C2908" t="str">
            <v>EA</v>
          </cell>
          <cell r="D2908" t="str">
            <v>RM100</v>
          </cell>
          <cell r="E2908">
            <v>11.78</v>
          </cell>
          <cell r="G2908">
            <v>208047</v>
          </cell>
        </row>
        <row r="2909">
          <cell r="A2909">
            <v>208061</v>
          </cell>
          <cell r="B2909" t="str">
            <v>CVR,SS,SWITCH 1.25X2.866X4.88</v>
          </cell>
          <cell r="C2909" t="str">
            <v>EA</v>
          </cell>
          <cell r="D2909" t="str">
            <v>RM100</v>
          </cell>
          <cell r="E2909">
            <v>42.24</v>
          </cell>
          <cell r="G2909">
            <v>208061</v>
          </cell>
        </row>
        <row r="2910">
          <cell r="A2910">
            <v>208065</v>
          </cell>
          <cell r="B2910" t="str">
            <v>ASSY,PRESS PLT,WELDED CLIPS (#2)</v>
          </cell>
          <cell r="C2910" t="str">
            <v>EA</v>
          </cell>
          <cell r="D2910" t="str">
            <v>MA100</v>
          </cell>
          <cell r="E2910">
            <v>48.03</v>
          </cell>
          <cell r="G2910">
            <v>208065</v>
          </cell>
        </row>
        <row r="2911">
          <cell r="A2911">
            <v>208072</v>
          </cell>
          <cell r="B2911" t="str">
            <v>STANDOFF,SS,#10-32 MALE/FEMALE</v>
          </cell>
          <cell r="C2911" t="str">
            <v>EA</v>
          </cell>
          <cell r="D2911" t="str">
            <v>RM100</v>
          </cell>
          <cell r="E2911">
            <v>6.5513000000000003</v>
          </cell>
          <cell r="G2911">
            <v>208072</v>
          </cell>
        </row>
        <row r="2912">
          <cell r="A2912">
            <v>208142</v>
          </cell>
          <cell r="B2912" t="str">
            <v>CLMP, RF SEAL, ALUM TOP&amp;BTM, 47.32"x1"</v>
          </cell>
          <cell r="C2912" t="str">
            <v>EA</v>
          </cell>
          <cell r="D2912" t="str">
            <v>RM100</v>
          </cell>
          <cell r="E2912">
            <v>12.58</v>
          </cell>
          <cell r="G2912">
            <v>208142</v>
          </cell>
        </row>
        <row r="2913">
          <cell r="A2913">
            <v>208151</v>
          </cell>
          <cell r="B2913" t="str">
            <v>MICROSWITCH,OMRON-Z-15GQ21-B</v>
          </cell>
          <cell r="C2913" t="str">
            <v>EA</v>
          </cell>
          <cell r="D2913" t="str">
            <v>RM100</v>
          </cell>
          <cell r="E2913">
            <v>14.12</v>
          </cell>
          <cell r="G2913">
            <v>208151</v>
          </cell>
        </row>
        <row r="2914">
          <cell r="A2914">
            <v>208158</v>
          </cell>
          <cell r="B2914" t="str">
            <v>BRKT,CABLE/HOSE MNTG. #55835K122 (PAIR)</v>
          </cell>
          <cell r="C2914" t="str">
            <v>EA</v>
          </cell>
          <cell r="D2914" t="str">
            <v>RM100</v>
          </cell>
          <cell r="E2914">
            <v>9.4600000000000009</v>
          </cell>
          <cell r="G2914">
            <v>208158</v>
          </cell>
        </row>
        <row r="2915">
          <cell r="A2915">
            <v>208164</v>
          </cell>
          <cell r="B2915" t="str">
            <v>ASSY,IV-HOUSING,AS-II DR,SS,5-1/4" LG</v>
          </cell>
          <cell r="C2915" t="str">
            <v>EA</v>
          </cell>
          <cell r="D2915" t="str">
            <v>RM100</v>
          </cell>
          <cell r="E2915">
            <v>649.83000000000004</v>
          </cell>
          <cell r="G2915">
            <v>208164</v>
          </cell>
        </row>
        <row r="2916">
          <cell r="A2916" t="str">
            <v>208164-L</v>
          </cell>
          <cell r="B2916" t="str">
            <v>ASSY,IV-HOUSING,AS-II DR,SS,5-1/4" LG,LH</v>
          </cell>
          <cell r="C2916" t="str">
            <v>EA</v>
          </cell>
          <cell r="D2916" t="str">
            <v>RM100</v>
          </cell>
          <cell r="E2916">
            <v>649.83000000000004</v>
          </cell>
          <cell r="G2916" t="str">
            <v>208164-L</v>
          </cell>
        </row>
        <row r="2917">
          <cell r="A2917" t="str">
            <v>208164-R</v>
          </cell>
          <cell r="B2917" t="str">
            <v>ASSY,IV-HOUSING,AS-II DR,SS,5-1/4" LG,RH</v>
          </cell>
          <cell r="C2917" t="str">
            <v>EA</v>
          </cell>
          <cell r="D2917" t="str">
            <v>RM100</v>
          </cell>
          <cell r="E2917">
            <v>649.83000000000004</v>
          </cell>
          <cell r="G2917" t="str">
            <v>208164-R</v>
          </cell>
        </row>
        <row r="2918">
          <cell r="A2918" t="str">
            <v>208165-L</v>
          </cell>
          <cell r="B2918" t="str">
            <v>ASSY,ROTATOR/HANDLE,LH,SS,5-13/16"LG</v>
          </cell>
          <cell r="C2918" t="str">
            <v>EA</v>
          </cell>
          <cell r="D2918" t="str">
            <v>FG055</v>
          </cell>
          <cell r="E2918">
            <v>274</v>
          </cell>
          <cell r="G2918" t="str">
            <v>208165-L</v>
          </cell>
        </row>
        <row r="2919">
          <cell r="A2919" t="str">
            <v>208165-R</v>
          </cell>
          <cell r="B2919" t="str">
            <v>ASSY,ROTATOR/HANDLE,RH,SS,5-13/16"LG</v>
          </cell>
          <cell r="C2919" t="str">
            <v>EA</v>
          </cell>
          <cell r="D2919" t="str">
            <v>FG055</v>
          </cell>
          <cell r="E2919">
            <v>274</v>
          </cell>
          <cell r="G2919" t="str">
            <v>208165-R</v>
          </cell>
        </row>
        <row r="2920">
          <cell r="A2920" t="str">
            <v>208166-L</v>
          </cell>
          <cell r="B2920" t="str">
            <v>CVR,END,LH,IV-FEEDTHRU,SS,2.5”ODx0.39”</v>
          </cell>
          <cell r="C2920" t="str">
            <v>EA</v>
          </cell>
          <cell r="D2920" t="str">
            <v>FG055</v>
          </cell>
          <cell r="E2920">
            <v>136.25</v>
          </cell>
          <cell r="G2920" t="str">
            <v>208166-L</v>
          </cell>
        </row>
        <row r="2921">
          <cell r="A2921" t="str">
            <v>208166-R</v>
          </cell>
          <cell r="B2921" t="str">
            <v>CVR,END,RH,IV-FEEDTHRU,SS,2.5"ODx0.39"</v>
          </cell>
          <cell r="C2921" t="str">
            <v>EA</v>
          </cell>
          <cell r="D2921" t="str">
            <v>FG055</v>
          </cell>
          <cell r="E2921">
            <v>136.25</v>
          </cell>
          <cell r="G2921" t="str">
            <v>208166-R</v>
          </cell>
        </row>
        <row r="2922">
          <cell r="A2922">
            <v>208191</v>
          </cell>
          <cell r="B2922" t="str">
            <v>ALIGNMENT COUPLER, SMC NJ10-32</v>
          </cell>
          <cell r="C2922" t="str">
            <v>EA</v>
          </cell>
          <cell r="D2922" t="str">
            <v>RM100</v>
          </cell>
          <cell r="E2922">
            <v>14</v>
          </cell>
          <cell r="G2922">
            <v>208191</v>
          </cell>
        </row>
        <row r="2923">
          <cell r="A2923">
            <v>208197</v>
          </cell>
          <cell r="B2923" t="str">
            <v>SEAL,RF,TOP&amp;BTM,PHS-BRNZ,with TIN PLATE</v>
          </cell>
          <cell r="C2923" t="str">
            <v>EA</v>
          </cell>
          <cell r="D2923" t="str">
            <v>RM100</v>
          </cell>
          <cell r="E2923">
            <v>111.16</v>
          </cell>
          <cell r="G2923">
            <v>208197</v>
          </cell>
        </row>
        <row r="2924">
          <cell r="A2924">
            <v>208212</v>
          </cell>
          <cell r="B2924" t="str">
            <v>RD,7/16DIAx48.5LG,304SS,AS2 CYL TOP</v>
          </cell>
          <cell r="C2924" t="str">
            <v>EA</v>
          </cell>
          <cell r="D2924" t="str">
            <v>RM100</v>
          </cell>
          <cell r="E2924">
            <v>31.6</v>
          </cell>
          <cell r="G2924">
            <v>208212</v>
          </cell>
        </row>
        <row r="2925">
          <cell r="A2925">
            <v>208213</v>
          </cell>
          <cell r="B2925" t="str">
            <v>SEAL,A/F DR, 49-3/8"LG LH TOP/TIN</v>
          </cell>
          <cell r="C2925" t="str">
            <v>EA</v>
          </cell>
          <cell r="D2925" t="str">
            <v>MA100</v>
          </cell>
          <cell r="E2925">
            <v>33.113900000000001</v>
          </cell>
          <cell r="G2925">
            <v>208213</v>
          </cell>
        </row>
        <row r="2926">
          <cell r="A2926">
            <v>208214</v>
          </cell>
          <cell r="B2926" t="str">
            <v>FINGER SUPP,1/8X3/4X49 3/8"L 304SS</v>
          </cell>
          <cell r="C2926" t="str">
            <v>EA</v>
          </cell>
          <cell r="D2926" t="str">
            <v>RM100</v>
          </cell>
          <cell r="E2926">
            <v>25.75</v>
          </cell>
          <cell r="G2926">
            <v>208214</v>
          </cell>
        </row>
        <row r="2927">
          <cell r="A2927">
            <v>208217</v>
          </cell>
          <cell r="B2927" t="str">
            <v>COVER,THRESHLD MECH, 4' INACTIVE DOOR</v>
          </cell>
          <cell r="C2927" t="str">
            <v>EA</v>
          </cell>
          <cell r="D2927" t="str">
            <v>MA100</v>
          </cell>
          <cell r="E2927">
            <v>18.250969999999999</v>
          </cell>
          <cell r="G2927">
            <v>208217</v>
          </cell>
        </row>
        <row r="2928">
          <cell r="A2928">
            <v>208219</v>
          </cell>
          <cell r="B2928" t="str">
            <v>MECHANISM SUPPORT BODY,4'INACTIVE,DBL DO</v>
          </cell>
          <cell r="C2928" t="str">
            <v>EA</v>
          </cell>
          <cell r="D2928" t="str">
            <v>MA100</v>
          </cell>
          <cell r="E2928">
            <v>33.38935</v>
          </cell>
          <cell r="G2928">
            <v>208219</v>
          </cell>
        </row>
        <row r="2929">
          <cell r="A2929">
            <v>208220</v>
          </cell>
          <cell r="B2929" t="str">
            <v>RD,7/16DIAx46.5LG,304SS,AS2 CYL</v>
          </cell>
          <cell r="C2929" t="str">
            <v>EA</v>
          </cell>
          <cell r="D2929" t="str">
            <v>RM100</v>
          </cell>
          <cell r="E2929">
            <v>31.6</v>
          </cell>
          <cell r="G2929">
            <v>208220</v>
          </cell>
        </row>
        <row r="2930">
          <cell r="A2930">
            <v>208224</v>
          </cell>
          <cell r="B2930" t="str">
            <v>FINGER SUPP,1/8X3/4X46"L 304SS</v>
          </cell>
          <cell r="C2930" t="str">
            <v>EA</v>
          </cell>
          <cell r="D2930" t="str">
            <v>RM100</v>
          </cell>
          <cell r="E2930">
            <v>54.6</v>
          </cell>
          <cell r="G2930">
            <v>208224</v>
          </cell>
        </row>
        <row r="2931">
          <cell r="A2931">
            <v>208225</v>
          </cell>
          <cell r="B2931" t="str">
            <v>CVR,ASII TOP,8' DR</v>
          </cell>
          <cell r="C2931" t="str">
            <v>EA</v>
          </cell>
          <cell r="D2931" t="str">
            <v>MA100</v>
          </cell>
          <cell r="E2931">
            <v>40.953130000000002</v>
          </cell>
          <cell r="G2931">
            <v>208225</v>
          </cell>
        </row>
        <row r="2932">
          <cell r="A2932">
            <v>208226</v>
          </cell>
          <cell r="B2932" t="str">
            <v>SEAL,A/F DR, 49-3/8"LG RH TOP/TIN</v>
          </cell>
          <cell r="C2932" t="str">
            <v>EA</v>
          </cell>
          <cell r="D2932" t="str">
            <v>MA100</v>
          </cell>
          <cell r="E2932">
            <v>33.113900000000001</v>
          </cell>
          <cell r="G2932">
            <v>208226</v>
          </cell>
        </row>
        <row r="2933">
          <cell r="A2933">
            <v>208232</v>
          </cell>
          <cell r="B2933" t="str">
            <v>ISOLATOR,PHN,1/2X4 7/8X102 7/8,AS2,8'DBL</v>
          </cell>
          <cell r="C2933" t="str">
            <v>EA</v>
          </cell>
          <cell r="D2933" t="str">
            <v>RM100</v>
          </cell>
          <cell r="E2933">
            <v>309.25</v>
          </cell>
          <cell r="G2933">
            <v>208232</v>
          </cell>
        </row>
        <row r="2934">
          <cell r="A2934">
            <v>208237</v>
          </cell>
          <cell r="B2934" t="str">
            <v>COVER, RF SEAL, SLIDE DOOR</v>
          </cell>
          <cell r="C2934" t="str">
            <v>EA</v>
          </cell>
          <cell r="D2934" t="str">
            <v>RM100</v>
          </cell>
          <cell r="E2934">
            <v>160.43</v>
          </cell>
          <cell r="G2934">
            <v>208237</v>
          </cell>
        </row>
        <row r="2935">
          <cell r="A2935">
            <v>208239</v>
          </cell>
          <cell r="B2935" t="str">
            <v>CVR,AS2 TOP COVER 3'/2' DBL DR</v>
          </cell>
          <cell r="C2935" t="str">
            <v>EA</v>
          </cell>
          <cell r="D2935" t="str">
            <v>RM100</v>
          </cell>
          <cell r="E2935">
            <v>165</v>
          </cell>
          <cell r="G2935">
            <v>208239</v>
          </cell>
        </row>
        <row r="2936">
          <cell r="A2936">
            <v>208257</v>
          </cell>
          <cell r="B2936" t="str">
            <v>FNGR,SUP,AS2 JB TOP,1/8X3/4X62.69",304SS</v>
          </cell>
          <cell r="C2936" t="str">
            <v>EA</v>
          </cell>
          <cell r="D2936" t="str">
            <v>RM100</v>
          </cell>
          <cell r="E2936">
            <v>178.75</v>
          </cell>
          <cell r="G2936">
            <v>208257</v>
          </cell>
        </row>
        <row r="2937">
          <cell r="A2937">
            <v>208267</v>
          </cell>
          <cell r="B2937" t="str">
            <v>SHIM,.080 ALUM X 1.25 X 3.00</v>
          </cell>
          <cell r="C2937" t="str">
            <v>EA</v>
          </cell>
          <cell r="D2937" t="str">
            <v>FG055</v>
          </cell>
          <cell r="E2937">
            <v>1.24</v>
          </cell>
          <cell r="G2937">
            <v>208267</v>
          </cell>
        </row>
        <row r="2938">
          <cell r="A2938" t="str">
            <v>208268-L</v>
          </cell>
          <cell r="B2938" t="str">
            <v>RD,7/16DIA,304SS,AS2,LATCH,LH,IV-FEEDTHR</v>
          </cell>
          <cell r="C2938" t="str">
            <v>EA</v>
          </cell>
          <cell r="D2938" t="str">
            <v>RM100</v>
          </cell>
          <cell r="E2938">
            <v>62.5</v>
          </cell>
          <cell r="G2938" t="str">
            <v>208268-L</v>
          </cell>
        </row>
        <row r="2939">
          <cell r="A2939" t="str">
            <v>208268-R</v>
          </cell>
          <cell r="B2939" t="str">
            <v>RD,7/16DIA,304SS,AS2,LATCH,RH,IV-FEEDTHR</v>
          </cell>
          <cell r="C2939" t="str">
            <v>EA</v>
          </cell>
          <cell r="D2939" t="str">
            <v>RM100</v>
          </cell>
          <cell r="E2939">
            <v>62.5</v>
          </cell>
          <cell r="G2939" t="str">
            <v>208268-R</v>
          </cell>
        </row>
        <row r="2940">
          <cell r="A2940" t="str">
            <v>208269-R</v>
          </cell>
          <cell r="B2940" t="str">
            <v>JB,AS2,LATCH,JB,7'DR,BEND,RH,IV-FEEDTHRU</v>
          </cell>
          <cell r="C2940" t="str">
            <v>EA</v>
          </cell>
          <cell r="D2940" t="str">
            <v>MA100</v>
          </cell>
          <cell r="E2940">
            <v>0</v>
          </cell>
          <cell r="G2940" t="str">
            <v>208269-R</v>
          </cell>
        </row>
        <row r="2941">
          <cell r="A2941" t="str">
            <v>208270-L</v>
          </cell>
          <cell r="B2941" t="str">
            <v>CVR,AS2,LATCH CVR,7'DR,LH,IV-FEEDTHRU</v>
          </cell>
          <cell r="C2941" t="str">
            <v>EA</v>
          </cell>
          <cell r="D2941" t="str">
            <v>RM100</v>
          </cell>
          <cell r="E2941">
            <v>126.8</v>
          </cell>
          <cell r="G2941" t="str">
            <v>208270-L</v>
          </cell>
        </row>
        <row r="2942">
          <cell r="A2942" t="str">
            <v>208270-R</v>
          </cell>
          <cell r="B2942" t="str">
            <v>CVR,AS2,LATCH CVR,7'DR,RH,IV-FEEDTHRU</v>
          </cell>
          <cell r="C2942" t="str">
            <v>EA</v>
          </cell>
          <cell r="D2942" t="str">
            <v>RM100</v>
          </cell>
          <cell r="E2942">
            <v>126.8</v>
          </cell>
          <cell r="G2942" t="str">
            <v>208270-R</v>
          </cell>
        </row>
        <row r="2943">
          <cell r="A2943">
            <v>208285</v>
          </cell>
          <cell r="B2943" t="str">
            <v>CVR,BACKUP PLATE,IV-FEEDTHRU,AS-II,SS</v>
          </cell>
          <cell r="C2943" t="str">
            <v>EA</v>
          </cell>
          <cell r="D2943" t="str">
            <v>RM100</v>
          </cell>
          <cell r="E2943">
            <v>20.68</v>
          </cell>
          <cell r="G2943">
            <v>208285</v>
          </cell>
        </row>
        <row r="2944">
          <cell r="A2944">
            <v>208297</v>
          </cell>
          <cell r="B2944" t="str">
            <v>PNL,DR,3'6" DBL DR,RF,LH</v>
          </cell>
          <cell r="C2944" t="str">
            <v>EA</v>
          </cell>
          <cell r="D2944" t="str">
            <v>FG055</v>
          </cell>
          <cell r="E2944">
            <v>330.01</v>
          </cell>
          <cell r="G2944">
            <v>208297</v>
          </cell>
        </row>
        <row r="2945">
          <cell r="A2945">
            <v>208298</v>
          </cell>
          <cell r="B2945" t="str">
            <v>PNL,DR,3'6" DBL DR,NON-RF,LH</v>
          </cell>
          <cell r="C2945" t="str">
            <v>EA</v>
          </cell>
          <cell r="D2945" t="str">
            <v>FG055</v>
          </cell>
          <cell r="E2945">
            <v>330.41</v>
          </cell>
          <cell r="G2945">
            <v>208298</v>
          </cell>
        </row>
        <row r="2946">
          <cell r="A2946" t="str">
            <v>208300-SS</v>
          </cell>
          <cell r="B2946" t="str">
            <v>ASSY, IOSD ACOUSTIC DBL 7', STNLS STL</v>
          </cell>
          <cell r="C2946" t="str">
            <v>EA</v>
          </cell>
          <cell r="D2946" t="str">
            <v>MA100</v>
          </cell>
          <cell r="E2946">
            <v>9086.1570400000001</v>
          </cell>
          <cell r="G2946" t="str">
            <v>208300-SS</v>
          </cell>
        </row>
        <row r="2947">
          <cell r="A2947">
            <v>208301</v>
          </cell>
          <cell r="B2947" t="str">
            <v>KIT,ACOUS FRAME, 7' IOSD,MAYTEC</v>
          </cell>
          <cell r="C2947" t="str">
            <v>EA</v>
          </cell>
          <cell r="D2947" t="str">
            <v>RM100</v>
          </cell>
          <cell r="E2947">
            <v>647.9</v>
          </cell>
          <cell r="G2947">
            <v>208301</v>
          </cell>
        </row>
        <row r="2948">
          <cell r="A2948">
            <v>208302</v>
          </cell>
          <cell r="B2948" t="str">
            <v>CVR,MAIN 7' X 4' ACOUSTIC,RH</v>
          </cell>
          <cell r="C2948" t="str">
            <v>EA</v>
          </cell>
          <cell r="D2948" t="str">
            <v>RM100</v>
          </cell>
          <cell r="E2948">
            <v>279.98</v>
          </cell>
          <cell r="G2948">
            <v>208302</v>
          </cell>
        </row>
        <row r="2949">
          <cell r="A2949">
            <v>208303</v>
          </cell>
          <cell r="B2949" t="str">
            <v>PNL,ACOUSTIC,SS304,83.625"X50.150",RH,SS</v>
          </cell>
          <cell r="C2949" t="str">
            <v>EA</v>
          </cell>
          <cell r="D2949" t="str">
            <v>MA100</v>
          </cell>
          <cell r="E2949">
            <v>275</v>
          </cell>
          <cell r="G2949">
            <v>208303</v>
          </cell>
        </row>
        <row r="2950">
          <cell r="A2950" t="str">
            <v>208304-L-SS</v>
          </cell>
          <cell r="B2950" t="str">
            <v>CVR,END LEFT, STATIONARY, SS,FOLDED</v>
          </cell>
          <cell r="C2950" t="str">
            <v>EA</v>
          </cell>
          <cell r="D2950" t="str">
            <v>MA100</v>
          </cell>
          <cell r="E2950">
            <v>260</v>
          </cell>
          <cell r="G2950" t="str">
            <v>208304-L-SS</v>
          </cell>
        </row>
        <row r="2951">
          <cell r="A2951" t="str">
            <v>208304-R-SS</v>
          </cell>
          <cell r="B2951" t="str">
            <v>CVR,END RIGHT, STATIONARY, SS,FOLDED</v>
          </cell>
          <cell r="C2951" t="str">
            <v>EA</v>
          </cell>
          <cell r="D2951" t="str">
            <v>MA100</v>
          </cell>
          <cell r="E2951">
            <v>260</v>
          </cell>
          <cell r="G2951" t="str">
            <v>208304-R-SS</v>
          </cell>
        </row>
        <row r="2952">
          <cell r="A2952" t="str">
            <v>208305-L-SS</v>
          </cell>
          <cell r="B2952" t="str">
            <v>CVR, MID LEFT, STATIONARY, SS, FOLDED</v>
          </cell>
          <cell r="C2952" t="str">
            <v>EA</v>
          </cell>
          <cell r="D2952" t="str">
            <v>MA100</v>
          </cell>
          <cell r="E2952">
            <v>143</v>
          </cell>
          <cell r="G2952" t="str">
            <v>208305-L-SS</v>
          </cell>
        </row>
        <row r="2953">
          <cell r="A2953" t="str">
            <v>208305-R-SS</v>
          </cell>
          <cell r="B2953" t="str">
            <v>CVR, MID RIGHT, STATIONARY, SS, FOLDED</v>
          </cell>
          <cell r="C2953" t="str">
            <v>EA</v>
          </cell>
          <cell r="D2953" t="str">
            <v>MA100</v>
          </cell>
          <cell r="E2953">
            <v>143</v>
          </cell>
          <cell r="G2953" t="str">
            <v>208305-R-SS</v>
          </cell>
        </row>
        <row r="2954">
          <cell r="A2954">
            <v>208306</v>
          </cell>
          <cell r="B2954" t="str">
            <v>CVR,MAIN 7' X 4' ACOUSTIC,LH</v>
          </cell>
          <cell r="C2954" t="str">
            <v>EA</v>
          </cell>
          <cell r="D2954" t="str">
            <v>RM100</v>
          </cell>
          <cell r="E2954">
            <v>279.98</v>
          </cell>
          <cell r="G2954">
            <v>208306</v>
          </cell>
        </row>
        <row r="2955">
          <cell r="A2955">
            <v>208308</v>
          </cell>
          <cell r="B2955" t="str">
            <v>PNL,ACOUSTIC,SS304,83.625"X50.150",LH,SS</v>
          </cell>
          <cell r="C2955" t="str">
            <v>EA</v>
          </cell>
          <cell r="D2955" t="str">
            <v>MA100</v>
          </cell>
          <cell r="E2955">
            <v>275</v>
          </cell>
          <cell r="G2955">
            <v>208308</v>
          </cell>
        </row>
        <row r="2956">
          <cell r="A2956">
            <v>208309</v>
          </cell>
          <cell r="B2956" t="str">
            <v>2.0" X 83.625" C CHANNEL MIDDLE SEAL</v>
          </cell>
          <cell r="C2956" t="str">
            <v>EA</v>
          </cell>
          <cell r="D2956" t="str">
            <v>RM100</v>
          </cell>
          <cell r="E2956">
            <v>163.5</v>
          </cell>
          <cell r="G2956">
            <v>208309</v>
          </cell>
        </row>
        <row r="2957">
          <cell r="A2957">
            <v>208310</v>
          </cell>
          <cell r="B2957" t="str">
            <v>1.5" X 83.625" C CHANNEL MIDDLE SEAL</v>
          </cell>
          <cell r="C2957" t="str">
            <v>EA</v>
          </cell>
          <cell r="D2957" t="str">
            <v>RM100</v>
          </cell>
          <cell r="E2957">
            <v>163.5</v>
          </cell>
          <cell r="G2957">
            <v>208310</v>
          </cell>
        </row>
        <row r="2958">
          <cell r="A2958">
            <v>208311</v>
          </cell>
          <cell r="B2958" t="str">
            <v>ASSY,IV-COVER,AS-II DR,SS</v>
          </cell>
          <cell r="C2958" t="str">
            <v>EA</v>
          </cell>
          <cell r="D2958" t="str">
            <v>RM100</v>
          </cell>
          <cell r="E2958">
            <v>31.46</v>
          </cell>
          <cell r="G2958">
            <v>208311</v>
          </cell>
        </row>
        <row r="2959">
          <cell r="A2959">
            <v>208312</v>
          </cell>
          <cell r="B2959" t="str">
            <v>GSKT,SPIRA #TNI-11,TIN-PLT SS,0.172"DIA</v>
          </cell>
          <cell r="C2959" t="str">
            <v>FT</v>
          </cell>
          <cell r="D2959" t="str">
            <v>RM100</v>
          </cell>
          <cell r="E2959">
            <v>2.65</v>
          </cell>
          <cell r="G2959">
            <v>208312</v>
          </cell>
        </row>
        <row r="2960">
          <cell r="A2960">
            <v>208313</v>
          </cell>
          <cell r="B2960" t="str">
            <v>PLT,NUT BAR,MNTG,IV-FEEDTHRU</v>
          </cell>
          <cell r="C2960" t="str">
            <v>EA</v>
          </cell>
          <cell r="D2960" t="str">
            <v>FG055</v>
          </cell>
          <cell r="E2960">
            <v>9.26</v>
          </cell>
          <cell r="G2960">
            <v>208313</v>
          </cell>
        </row>
        <row r="2961">
          <cell r="A2961">
            <v>208320</v>
          </cell>
          <cell r="B2961" t="str">
            <v>CVR,3'6" DR,BTM MECH,AS-II DBL,RH</v>
          </cell>
          <cell r="C2961" t="str">
            <v>EA</v>
          </cell>
          <cell r="D2961" t="str">
            <v>FG055</v>
          </cell>
          <cell r="E2961">
            <v>29.9285</v>
          </cell>
          <cell r="G2961">
            <v>208320</v>
          </cell>
        </row>
        <row r="2962">
          <cell r="A2962">
            <v>208321</v>
          </cell>
          <cell r="B2962" t="str">
            <v>CVR,3'6" DR,BTM MECH,AS-II DBL,LH</v>
          </cell>
          <cell r="C2962" t="str">
            <v>EA</v>
          </cell>
          <cell r="D2962" t="str">
            <v>FG055</v>
          </cell>
          <cell r="E2962">
            <v>29.9285</v>
          </cell>
          <cell r="G2962">
            <v>208321</v>
          </cell>
        </row>
        <row r="2963">
          <cell r="A2963">
            <v>208329</v>
          </cell>
          <cell r="B2963" t="str">
            <v>SEAL,A/F DR,3'6"LG BENT DR BOTTOM/TIN*</v>
          </cell>
          <cell r="C2963" t="str">
            <v>EA</v>
          </cell>
          <cell r="D2963" t="str">
            <v>RM100</v>
          </cell>
          <cell r="E2963">
            <v>37.729999999999997</v>
          </cell>
          <cell r="G2963">
            <v>208329</v>
          </cell>
        </row>
        <row r="2964">
          <cell r="A2964" t="str">
            <v>208329-OP</v>
          </cell>
          <cell r="B2964" t="str">
            <v>SEAL,RF,3'6" DOOR, BTM, TIN PLATE</v>
          </cell>
          <cell r="C2964" t="str">
            <v>EA</v>
          </cell>
          <cell r="D2964" t="str">
            <v>MA100</v>
          </cell>
          <cell r="E2964">
            <v>7.77</v>
          </cell>
          <cell r="G2964" t="str">
            <v>208329-OP</v>
          </cell>
        </row>
        <row r="2965">
          <cell r="A2965" t="str">
            <v>208329-OP1</v>
          </cell>
          <cell r="B2965" t="str">
            <v>SEAL,RF,3'6"BTM,FORMING PHOS-BRNZ</v>
          </cell>
          <cell r="C2965" t="str">
            <v>EA</v>
          </cell>
          <cell r="D2965" t="str">
            <v>MA100</v>
          </cell>
          <cell r="E2965">
            <v>29.96</v>
          </cell>
          <cell r="G2965" t="str">
            <v>208329-OP1</v>
          </cell>
        </row>
        <row r="2966">
          <cell r="A2966">
            <v>208330</v>
          </cell>
          <cell r="B2966" t="str">
            <v>PNL,DR,3' 6"DBL DR,RF</v>
          </cell>
          <cell r="C2966" t="str">
            <v>EA</v>
          </cell>
          <cell r="D2966" t="str">
            <v>FG055</v>
          </cell>
          <cell r="E2966">
            <v>329.19</v>
          </cell>
          <cell r="G2966">
            <v>208330</v>
          </cell>
        </row>
        <row r="2967">
          <cell r="A2967">
            <v>208331</v>
          </cell>
          <cell r="B2967" t="str">
            <v>PNL,DR,3'6" DBL DR,NON-RF</v>
          </cell>
          <cell r="C2967" t="str">
            <v>EA</v>
          </cell>
          <cell r="D2967" t="str">
            <v>FG055</v>
          </cell>
          <cell r="E2967">
            <v>426.4</v>
          </cell>
          <cell r="G2967">
            <v>208331</v>
          </cell>
        </row>
        <row r="2968">
          <cell r="A2968">
            <v>208333</v>
          </cell>
          <cell r="B2968" t="str">
            <v>BRACE, UPPER DOOR</v>
          </cell>
          <cell r="C2968" t="str">
            <v>EA</v>
          </cell>
          <cell r="D2968" t="str">
            <v>FG055</v>
          </cell>
          <cell r="E2968">
            <v>131.6</v>
          </cell>
          <cell r="G2968">
            <v>208333</v>
          </cell>
        </row>
        <row r="2969">
          <cell r="A2969">
            <v>208336</v>
          </cell>
          <cell r="B2969" t="str">
            <v>SEAL,A/F DR, LG BENT DOOR TOP/TIN</v>
          </cell>
          <cell r="C2969" t="str">
            <v>EA</v>
          </cell>
          <cell r="D2969" t="str">
            <v>MA100</v>
          </cell>
          <cell r="E2969">
            <v>43.63</v>
          </cell>
          <cell r="G2969">
            <v>208336</v>
          </cell>
        </row>
        <row r="2970">
          <cell r="A2970" t="str">
            <v>208336-OP</v>
          </cell>
          <cell r="B2970" t="str">
            <v>SEAL,RF,7' WIDE DBL DOOR, TOP,TIN PLATE</v>
          </cell>
          <cell r="C2970" t="str">
            <v>EA</v>
          </cell>
          <cell r="D2970" t="str">
            <v>MA100</v>
          </cell>
          <cell r="E2970">
            <v>7</v>
          </cell>
          <cell r="G2970" t="str">
            <v>208336-OP</v>
          </cell>
        </row>
        <row r="2971">
          <cell r="A2971" t="str">
            <v>208336-OP1</v>
          </cell>
          <cell r="B2971" t="str">
            <v>SEAL,RF,7' TOP,FORMING PHOS-BRNZ</v>
          </cell>
          <cell r="C2971" t="str">
            <v>EA</v>
          </cell>
          <cell r="D2971" t="str">
            <v>MA100</v>
          </cell>
          <cell r="E2971">
            <v>36.630000000000003</v>
          </cell>
          <cell r="G2971" t="str">
            <v>208336-OP1</v>
          </cell>
        </row>
        <row r="2972">
          <cell r="A2972">
            <v>208337</v>
          </cell>
          <cell r="B2972" t="str">
            <v>FNGR,SUP,AS2 JB TOP,1/8X3/4X86.50",304SS</v>
          </cell>
          <cell r="C2972" t="str">
            <v>EA</v>
          </cell>
          <cell r="D2972" t="str">
            <v>RM100</v>
          </cell>
          <cell r="E2972">
            <v>93.82</v>
          </cell>
          <cell r="G2972">
            <v>208337</v>
          </cell>
        </row>
        <row r="2973">
          <cell r="A2973">
            <v>208339</v>
          </cell>
          <cell r="B2973" t="str">
            <v>COVER,JB-RM INTERFACE, TOP 7' DR</v>
          </cell>
          <cell r="C2973" t="str">
            <v>EA</v>
          </cell>
          <cell r="D2973" t="str">
            <v>MA100</v>
          </cell>
          <cell r="E2973">
            <v>45.444499999999998</v>
          </cell>
          <cell r="G2973">
            <v>208339</v>
          </cell>
        </row>
        <row r="2974">
          <cell r="A2974">
            <v>208349</v>
          </cell>
          <cell r="B2974" t="str">
            <v>CLSR,OPNR,EXTRU ASSY,7' DUAL SWING</v>
          </cell>
          <cell r="C2974" t="str">
            <v>EA</v>
          </cell>
          <cell r="D2974" t="str">
            <v>MA100</v>
          </cell>
          <cell r="E2974">
            <v>262.5</v>
          </cell>
          <cell r="G2974">
            <v>208349</v>
          </cell>
        </row>
        <row r="2975">
          <cell r="A2975" t="str">
            <v>208350-L</v>
          </cell>
          <cell r="B2975" t="str">
            <v>CVR, TOP TRAILING EDGE LEFT</v>
          </cell>
          <cell r="C2975" t="str">
            <v>EA</v>
          </cell>
          <cell r="D2975" t="str">
            <v>MA100</v>
          </cell>
          <cell r="E2975">
            <v>1.0112399999999999</v>
          </cell>
          <cell r="G2975" t="str">
            <v>208350-L</v>
          </cell>
        </row>
        <row r="2976">
          <cell r="A2976" t="str">
            <v>208350-R</v>
          </cell>
          <cell r="B2976" t="str">
            <v>CVR, TOP TRAILING EDGE RIGHT</v>
          </cell>
          <cell r="C2976" t="str">
            <v>EA</v>
          </cell>
          <cell r="D2976" t="str">
            <v>MA100</v>
          </cell>
          <cell r="E2976">
            <v>1.0112399999999999</v>
          </cell>
          <cell r="G2976" t="str">
            <v>208350-R</v>
          </cell>
        </row>
        <row r="2977">
          <cell r="A2977" t="str">
            <v>208351-L</v>
          </cell>
          <cell r="B2977" t="str">
            <v>CVR, SIDE ACOUSTIC SEAL,LEFT</v>
          </cell>
          <cell r="C2977" t="str">
            <v>EA</v>
          </cell>
          <cell r="D2977" t="str">
            <v>MA100</v>
          </cell>
          <cell r="E2977">
            <v>9.75</v>
          </cell>
          <cell r="G2977" t="str">
            <v>208351-L</v>
          </cell>
        </row>
        <row r="2978">
          <cell r="A2978" t="str">
            <v>208351-R</v>
          </cell>
          <cell r="B2978" t="str">
            <v>CVR, SIDE ACOUSTIC SEAL,RIGHT</v>
          </cell>
          <cell r="C2978" t="str">
            <v>EA</v>
          </cell>
          <cell r="D2978" t="str">
            <v>MA100</v>
          </cell>
          <cell r="E2978">
            <v>7</v>
          </cell>
          <cell r="G2978" t="str">
            <v>208351-R</v>
          </cell>
        </row>
        <row r="2979">
          <cell r="A2979">
            <v>208376</v>
          </cell>
          <cell r="B2979" t="str">
            <v>NUTBAR,STL,1/4"x5/8"x5",w/1.5" HOLE SPC</v>
          </cell>
          <cell r="C2979" t="str">
            <v>EA</v>
          </cell>
          <cell r="D2979" t="str">
            <v>RM100</v>
          </cell>
          <cell r="E2979">
            <v>9.1300000000000008</v>
          </cell>
          <cell r="G2979">
            <v>208376</v>
          </cell>
        </row>
        <row r="2980">
          <cell r="A2980">
            <v>208392</v>
          </cell>
          <cell r="B2980" t="str">
            <v>SUPORT,TIMING BELT</v>
          </cell>
          <cell r="C2980" t="str">
            <v>EA</v>
          </cell>
          <cell r="D2980" t="str">
            <v>RM100</v>
          </cell>
          <cell r="E2980">
            <v>37.5</v>
          </cell>
          <cell r="G2980">
            <v>208392</v>
          </cell>
        </row>
        <row r="2981">
          <cell r="A2981">
            <v>208395</v>
          </cell>
          <cell r="B2981" t="str">
            <v>STANDOFF,HEX,SS,#10-32 MALE/FEMALE</v>
          </cell>
          <cell r="C2981" t="str">
            <v>EA</v>
          </cell>
          <cell r="D2981" t="str">
            <v>RM100</v>
          </cell>
          <cell r="E2981">
            <v>3.49</v>
          </cell>
          <cell r="G2981">
            <v>208395</v>
          </cell>
        </row>
        <row r="2982">
          <cell r="A2982">
            <v>208397</v>
          </cell>
          <cell r="B2982" t="str">
            <v>SPACER, TIMING BELT</v>
          </cell>
          <cell r="C2982" t="str">
            <v>EA</v>
          </cell>
          <cell r="D2982" t="str">
            <v>RM100</v>
          </cell>
          <cell r="E2982">
            <v>14.62</v>
          </cell>
          <cell r="G2982">
            <v>208397</v>
          </cell>
        </row>
        <row r="2983">
          <cell r="A2983">
            <v>208410</v>
          </cell>
          <cell r="B2983" t="str">
            <v>EXTRU,EVO-LITE,DR,SIDE SPACER,6063-T6</v>
          </cell>
          <cell r="C2983" t="str">
            <v>EA</v>
          </cell>
          <cell r="D2983" t="str">
            <v>FG055</v>
          </cell>
          <cell r="E2983">
            <v>40</v>
          </cell>
          <cell r="G2983">
            <v>208410</v>
          </cell>
        </row>
        <row r="2984">
          <cell r="A2984">
            <v>208413</v>
          </cell>
          <cell r="B2984" t="str">
            <v>SEAL,RF,JAMB,EVO,PH-BRNZ w/TIN PLT</v>
          </cell>
          <cell r="C2984" t="str">
            <v>EA</v>
          </cell>
          <cell r="D2984" t="str">
            <v>FG055</v>
          </cell>
          <cell r="E2984">
            <v>40.25</v>
          </cell>
          <cell r="G2984">
            <v>208413</v>
          </cell>
        </row>
        <row r="2985">
          <cell r="A2985">
            <v>208414</v>
          </cell>
          <cell r="B2985" t="str">
            <v>SEAL,RF,BOTTOM/TOP 4FT DR,EVO</v>
          </cell>
          <cell r="C2985" t="str">
            <v>EA</v>
          </cell>
          <cell r="D2985" t="str">
            <v>FG055</v>
          </cell>
          <cell r="E2985">
            <v>85.41</v>
          </cell>
          <cell r="G2985">
            <v>208414</v>
          </cell>
        </row>
        <row r="2986">
          <cell r="A2986">
            <v>208415</v>
          </cell>
          <cell r="B2986" t="str">
            <v>SEAL,RF,BOTTOM/TOP 35" DR,EVO</v>
          </cell>
          <cell r="C2986" t="str">
            <v>EA</v>
          </cell>
          <cell r="D2986" t="str">
            <v>FG055</v>
          </cell>
          <cell r="E2986">
            <v>48.35</v>
          </cell>
          <cell r="G2986">
            <v>208415</v>
          </cell>
        </row>
        <row r="2987">
          <cell r="A2987">
            <v>208417</v>
          </cell>
          <cell r="B2987" t="str">
            <v>SEAL,RF,BOTTOM/TOP 4FT DR,EVO</v>
          </cell>
          <cell r="C2987" t="str">
            <v>EA</v>
          </cell>
          <cell r="D2987" t="str">
            <v>FG055</v>
          </cell>
          <cell r="E2987">
            <v>45.155000000000001</v>
          </cell>
          <cell r="G2987">
            <v>208417</v>
          </cell>
        </row>
        <row r="2988">
          <cell r="A2988">
            <v>208468</v>
          </cell>
          <cell r="B2988" t="str">
            <v>SILL SWEEP, LEGACY#8149-AA, NO MTG HOLES</v>
          </cell>
          <cell r="C2988" t="str">
            <v>EA</v>
          </cell>
          <cell r="D2988" t="str">
            <v>RM100</v>
          </cell>
          <cell r="E2988">
            <v>5.6180000000000003</v>
          </cell>
          <cell r="G2988">
            <v>208468</v>
          </cell>
        </row>
        <row r="2989">
          <cell r="A2989">
            <v>208469</v>
          </cell>
          <cell r="B2989" t="str">
            <v>SILL SWEEP, LEGACY#8149-AA, NO MTG HOLES</v>
          </cell>
          <cell r="C2989" t="str">
            <v>EA</v>
          </cell>
          <cell r="D2989" t="str">
            <v>RM100</v>
          </cell>
          <cell r="E2989">
            <v>5.6180000000000003</v>
          </cell>
          <cell r="G2989">
            <v>208469</v>
          </cell>
        </row>
        <row r="2990">
          <cell r="A2990">
            <v>208488</v>
          </cell>
          <cell r="B2990" t="str">
            <v>FINISH,LAM,#4 SS,iCT DR,LH Notched Hangr</v>
          </cell>
          <cell r="C2990" t="str">
            <v>EA</v>
          </cell>
          <cell r="D2990" t="str">
            <v>RM100</v>
          </cell>
          <cell r="E2990">
            <v>363.37</v>
          </cell>
          <cell r="G2990">
            <v>208488</v>
          </cell>
        </row>
        <row r="2991">
          <cell r="A2991">
            <v>208496</v>
          </cell>
          <cell r="B2991" t="str">
            <v>GSKT, SELF-ADHESIVE TEAR DROP</v>
          </cell>
          <cell r="C2991" t="str">
            <v>FT</v>
          </cell>
          <cell r="D2991" t="str">
            <v>RM100</v>
          </cell>
          <cell r="E2991">
            <v>1.1919999999999999</v>
          </cell>
          <cell r="G2991">
            <v>208496</v>
          </cell>
        </row>
        <row r="2992">
          <cell r="A2992">
            <v>208499</v>
          </cell>
          <cell r="B2992" t="str">
            <v>BLOCK, MICROSWITCH MOUNTING</v>
          </cell>
          <cell r="C2992" t="str">
            <v>EA</v>
          </cell>
          <cell r="D2992" t="str">
            <v>RM100</v>
          </cell>
          <cell r="E2992">
            <v>35.25</v>
          </cell>
          <cell r="G2992">
            <v>208499</v>
          </cell>
        </row>
        <row r="2993">
          <cell r="A2993" t="str">
            <v>208507-LH</v>
          </cell>
          <cell r="B2993" t="str">
            <v>ISOLATOR,THRESHOLD,CELL ROOM,LH</v>
          </cell>
          <cell r="C2993" t="str">
            <v>EA</v>
          </cell>
          <cell r="D2993" t="str">
            <v>RM100</v>
          </cell>
          <cell r="E2993">
            <v>391.54</v>
          </cell>
          <cell r="G2993" t="str">
            <v>208507-LH</v>
          </cell>
        </row>
        <row r="2994">
          <cell r="A2994" t="str">
            <v>208507-RH</v>
          </cell>
          <cell r="B2994" t="str">
            <v>ISOLATOR,THRESHOLD,CELL ROOM,RH</v>
          </cell>
          <cell r="C2994" t="str">
            <v>EA</v>
          </cell>
          <cell r="D2994" t="str">
            <v>RM100</v>
          </cell>
          <cell r="E2994">
            <v>371.1</v>
          </cell>
          <cell r="G2994" t="str">
            <v>208507-RH</v>
          </cell>
        </row>
        <row r="2995">
          <cell r="A2995">
            <v>208508</v>
          </cell>
          <cell r="B2995" t="str">
            <v>BRKT,FIXED DR CVRS(see drawing list)</v>
          </cell>
          <cell r="C2995" t="str">
            <v>EA</v>
          </cell>
          <cell r="D2995" t="str">
            <v>MA100</v>
          </cell>
          <cell r="E2995">
            <v>30.198899999999998</v>
          </cell>
          <cell r="G2995">
            <v>208508</v>
          </cell>
        </row>
        <row r="2996">
          <cell r="A2996">
            <v>208520</v>
          </cell>
          <cell r="B2996" t="str">
            <v>SEAL,RF,HINGE SIDE,EVO, TIN PLATED,7-FT</v>
          </cell>
          <cell r="C2996" t="str">
            <v>EA</v>
          </cell>
          <cell r="D2996" t="str">
            <v>FG055</v>
          </cell>
          <cell r="E2996">
            <v>31.25</v>
          </cell>
          <cell r="G2996">
            <v>208520</v>
          </cell>
        </row>
        <row r="2997">
          <cell r="A2997">
            <v>208521</v>
          </cell>
          <cell r="B2997" t="str">
            <v>ALUM,PLT,CLOSER BACKING, EVO .25X3.25X18</v>
          </cell>
          <cell r="C2997" t="str">
            <v>EA</v>
          </cell>
          <cell r="D2997" t="str">
            <v>RM100</v>
          </cell>
          <cell r="E2997">
            <v>21.9</v>
          </cell>
          <cell r="G2997">
            <v>208521</v>
          </cell>
        </row>
        <row r="2998">
          <cell r="A2998">
            <v>208522</v>
          </cell>
          <cell r="B2998" t="str">
            <v>ALUM,PLT,CLOSER HEADER, EVO .31X6.5X55.0</v>
          </cell>
          <cell r="C2998" t="str">
            <v>EA</v>
          </cell>
          <cell r="D2998" t="str">
            <v>RM100</v>
          </cell>
          <cell r="E2998">
            <v>79.290000000000006</v>
          </cell>
          <cell r="G2998">
            <v>208522</v>
          </cell>
        </row>
        <row r="2999">
          <cell r="A2999" t="str">
            <v>208523-L</v>
          </cell>
          <cell r="B2999" t="str">
            <v>RD,7/16DIA,304SS,AS2,LATCH,LH,IV-FEED DU</v>
          </cell>
          <cell r="C2999" t="str">
            <v>EA</v>
          </cell>
          <cell r="D2999" t="str">
            <v>RM100</v>
          </cell>
          <cell r="E2999">
            <v>87.5</v>
          </cell>
          <cell r="G2999" t="str">
            <v>208523-L</v>
          </cell>
        </row>
        <row r="3000">
          <cell r="A3000" t="str">
            <v>208523-R</v>
          </cell>
          <cell r="B3000" t="str">
            <v>RD,7/16DIA,304SS,AS2,LATCH,RH,IV-FEED DU</v>
          </cell>
          <cell r="C3000" t="str">
            <v>EA</v>
          </cell>
          <cell r="D3000" t="str">
            <v>RM100</v>
          </cell>
          <cell r="E3000">
            <v>87.5</v>
          </cell>
          <cell r="G3000" t="str">
            <v>208523-R</v>
          </cell>
        </row>
        <row r="3001">
          <cell r="A3001" t="str">
            <v>208524-L</v>
          </cell>
          <cell r="B3001" t="str">
            <v>CVR,AS2,LATCH CVR,7'DR,LH,IV-FEED DUAL</v>
          </cell>
          <cell r="C3001" t="str">
            <v>EA</v>
          </cell>
          <cell r="D3001" t="str">
            <v>RM100</v>
          </cell>
          <cell r="E3001">
            <v>69.489999999999995</v>
          </cell>
          <cell r="G3001" t="str">
            <v>208524-L</v>
          </cell>
        </row>
        <row r="3002">
          <cell r="A3002" t="str">
            <v>208524-R</v>
          </cell>
          <cell r="B3002" t="str">
            <v>CVR,AS2,LATCH CVR,7'DR,RH,IV-FEED DUAL</v>
          </cell>
          <cell r="C3002" t="str">
            <v>EA</v>
          </cell>
          <cell r="D3002" t="str">
            <v>RM100</v>
          </cell>
          <cell r="E3002">
            <v>69.489999999999995</v>
          </cell>
          <cell r="G3002" t="str">
            <v>208524-R</v>
          </cell>
        </row>
        <row r="3003">
          <cell r="A3003">
            <v>208525</v>
          </cell>
          <cell r="B3003" t="str">
            <v>ALUM,PLT, 1/8X1X6 SANDED</v>
          </cell>
          <cell r="C3003" t="str">
            <v>EA</v>
          </cell>
          <cell r="D3003" t="str">
            <v>MA100</v>
          </cell>
          <cell r="E3003">
            <v>3.0152100000000002</v>
          </cell>
          <cell r="G3003">
            <v>208525</v>
          </cell>
        </row>
        <row r="3004">
          <cell r="A3004">
            <v>208530</v>
          </cell>
          <cell r="B3004" t="str">
            <v>COVER, JAMB HEADER,EVO, 48"</v>
          </cell>
          <cell r="C3004" t="str">
            <v>EA</v>
          </cell>
          <cell r="D3004" t="str">
            <v>RM100</v>
          </cell>
          <cell r="E3004">
            <v>42.04</v>
          </cell>
          <cell r="G3004">
            <v>208530</v>
          </cell>
        </row>
        <row r="3005">
          <cell r="A3005" t="str">
            <v>208600-INSTL</v>
          </cell>
          <cell r="B3005" t="str">
            <v>IOSD INSTALL KIT</v>
          </cell>
          <cell r="C3005" t="str">
            <v>EA</v>
          </cell>
          <cell r="D3005" t="str">
            <v>MA100</v>
          </cell>
          <cell r="E3005">
            <v>256.49709999999999</v>
          </cell>
          <cell r="G3005" t="str">
            <v>208600-INSTL</v>
          </cell>
        </row>
        <row r="3006">
          <cell r="A3006" t="str">
            <v>208600-SS-AC</v>
          </cell>
          <cell r="B3006" t="str">
            <v>ASSY,DBL SLDG INTERV DOOR,SS W/ACOUSTIC</v>
          </cell>
          <cell r="C3006" t="str">
            <v>EA</v>
          </cell>
          <cell r="D3006" t="str">
            <v>MA100</v>
          </cell>
          <cell r="E3006">
            <v>28773.276969999999</v>
          </cell>
          <cell r="G3006" t="str">
            <v>208600-SS-AC</v>
          </cell>
        </row>
        <row r="3007">
          <cell r="A3007" t="str">
            <v>208600-SS-AC-PB</v>
          </cell>
          <cell r="B3007" t="str">
            <v>ASSY,DBL SLDG INTERV DOOR,SS W/ACOU/LEAD</v>
          </cell>
          <cell r="C3007" t="str">
            <v>EA</v>
          </cell>
          <cell r="D3007" t="str">
            <v>MA100</v>
          </cell>
          <cell r="E3007">
            <v>30529.65048</v>
          </cell>
          <cell r="G3007" t="str">
            <v>208600-SS-AC-PB</v>
          </cell>
        </row>
        <row r="3008">
          <cell r="A3008">
            <v>208601</v>
          </cell>
          <cell r="B3008" t="str">
            <v>ASSY,JAMB,DBL SLDG INTERV</v>
          </cell>
          <cell r="C3008" t="str">
            <v>EA</v>
          </cell>
          <cell r="D3008" t="str">
            <v>MA100</v>
          </cell>
          <cell r="E3008">
            <v>9050.7060299999994</v>
          </cell>
          <cell r="G3008">
            <v>208601</v>
          </cell>
        </row>
        <row r="3009">
          <cell r="A3009" t="str">
            <v>208602-SS-AC</v>
          </cell>
          <cell r="B3009" t="str">
            <v>ASSY,RH DR,DBL SLDG INTERV,STNLS STL</v>
          </cell>
          <cell r="C3009" t="str">
            <v>EA</v>
          </cell>
          <cell r="D3009" t="str">
            <v>MA100</v>
          </cell>
          <cell r="E3009">
            <v>9207.1505699999998</v>
          </cell>
          <cell r="G3009" t="str">
            <v>208602-SS-AC</v>
          </cell>
        </row>
        <row r="3010">
          <cell r="A3010" t="str">
            <v>208602-SS-AC-PB</v>
          </cell>
          <cell r="B3010" t="str">
            <v>ASSY,RH DR,DBL SLDG INTERV,SS</v>
          </cell>
          <cell r="C3010" t="str">
            <v>EA</v>
          </cell>
          <cell r="D3010" t="str">
            <v>MA100</v>
          </cell>
          <cell r="E3010">
            <v>9441.8255100000006</v>
          </cell>
          <cell r="G3010" t="str">
            <v>208602-SS-AC-PB</v>
          </cell>
        </row>
        <row r="3011">
          <cell r="A3011" t="str">
            <v>208603-SS-AC</v>
          </cell>
          <cell r="B3011" t="str">
            <v>ASSY,LH DR,DBL SLDG INTERV,STNLS STL</v>
          </cell>
          <cell r="C3011" t="str">
            <v>EA</v>
          </cell>
          <cell r="D3011" t="str">
            <v>MA100</v>
          </cell>
          <cell r="E3011">
            <v>9161.8474700000006</v>
          </cell>
          <cell r="G3011" t="str">
            <v>208603-SS-AC</v>
          </cell>
        </row>
        <row r="3012">
          <cell r="A3012" t="str">
            <v>208603-SS-AC-PB</v>
          </cell>
          <cell r="B3012" t="str">
            <v>ASSY,LH DR,DBL SLDG INTERV,STNLS STL</v>
          </cell>
          <cell r="C3012" t="str">
            <v>EA</v>
          </cell>
          <cell r="D3012" t="str">
            <v>MA100</v>
          </cell>
          <cell r="E3012">
            <v>9195.3482399999994</v>
          </cell>
          <cell r="G3012" t="str">
            <v>208603-SS-AC-PB</v>
          </cell>
        </row>
        <row r="3013">
          <cell r="A3013">
            <v>208604</v>
          </cell>
          <cell r="B3013" t="str">
            <v>ASSY,PRESSURE BAR PLT,TOP&amp;BTM,SLDG DR</v>
          </cell>
          <cell r="C3013" t="str">
            <v>EA</v>
          </cell>
          <cell r="D3013" t="str">
            <v>MA100</v>
          </cell>
          <cell r="E3013">
            <v>84.495599999999996</v>
          </cell>
          <cell r="G3013">
            <v>208604</v>
          </cell>
        </row>
        <row r="3014">
          <cell r="A3014">
            <v>208605</v>
          </cell>
          <cell r="B3014" t="str">
            <v>CVR,ALUM,BLDR MECH ASSY</v>
          </cell>
          <cell r="C3014" t="str">
            <v>EA</v>
          </cell>
          <cell r="D3014" t="str">
            <v>RM100</v>
          </cell>
          <cell r="E3014">
            <v>29.19</v>
          </cell>
          <cell r="G3014">
            <v>208605</v>
          </cell>
        </row>
        <row r="3015">
          <cell r="A3015">
            <v>208606</v>
          </cell>
          <cell r="B3015" t="str">
            <v>PLT,RF CONTACT,BK EDGE DR,MIDDLE</v>
          </cell>
          <cell r="C3015" t="str">
            <v>EA</v>
          </cell>
          <cell r="D3015" t="str">
            <v>RM100</v>
          </cell>
          <cell r="E3015">
            <v>21</v>
          </cell>
          <cell r="G3015">
            <v>208606</v>
          </cell>
        </row>
        <row r="3016">
          <cell r="A3016">
            <v>208607</v>
          </cell>
          <cell r="B3016" t="str">
            <v>JAMB,SIDE RAIL, 119.000</v>
          </cell>
          <cell r="C3016" t="str">
            <v>EA</v>
          </cell>
          <cell r="D3016" t="str">
            <v>MA100</v>
          </cell>
          <cell r="E3016">
            <v>192.935</v>
          </cell>
          <cell r="G3016">
            <v>208607</v>
          </cell>
        </row>
        <row r="3017">
          <cell r="A3017" t="str">
            <v>208607-OP</v>
          </cell>
          <cell r="B3017" t="str">
            <v>SIDE RAIL,JAMB (OP FOR MACHINING)</v>
          </cell>
          <cell r="C3017" t="str">
            <v>EA</v>
          </cell>
          <cell r="D3017" t="str">
            <v>RM100</v>
          </cell>
          <cell r="E3017">
            <v>114.04</v>
          </cell>
          <cell r="G3017" t="str">
            <v>208607-OP</v>
          </cell>
        </row>
        <row r="3018">
          <cell r="A3018" t="str">
            <v>208607-OP2</v>
          </cell>
          <cell r="B3018" t="str">
            <v>JAMB, SIDE RAIL SUPP, 84" w/ARC SPRY</v>
          </cell>
          <cell r="C3018" t="str">
            <v>EA</v>
          </cell>
          <cell r="D3018" t="str">
            <v>RM100</v>
          </cell>
          <cell r="E3018">
            <v>36.79</v>
          </cell>
          <cell r="G3018" t="str">
            <v>208607-OP2</v>
          </cell>
        </row>
        <row r="3019">
          <cell r="A3019">
            <v>208608</v>
          </cell>
          <cell r="B3019" t="str">
            <v>HEADER,SLDG DR,LEFT,MACHINED</v>
          </cell>
          <cell r="C3019" t="str">
            <v>EA</v>
          </cell>
          <cell r="D3019" t="str">
            <v>MA100</v>
          </cell>
          <cell r="E3019">
            <v>557.01099999999997</v>
          </cell>
          <cell r="G3019">
            <v>208608</v>
          </cell>
        </row>
        <row r="3020">
          <cell r="A3020" t="str">
            <v>208608-OP</v>
          </cell>
          <cell r="B3020" t="str">
            <v>HEADER, SLDG DR LEFT OP for MACHINING</v>
          </cell>
          <cell r="C3020" t="str">
            <v>EA</v>
          </cell>
          <cell r="D3020" t="str">
            <v>RM100</v>
          </cell>
          <cell r="E3020">
            <v>485.83</v>
          </cell>
          <cell r="G3020" t="str">
            <v>208608-OP</v>
          </cell>
        </row>
        <row r="3021">
          <cell r="A3021">
            <v>208609</v>
          </cell>
          <cell r="B3021" t="str">
            <v>HEADER,SLDG DR,RIGHT,MACHINED</v>
          </cell>
          <cell r="C3021" t="str">
            <v>EA</v>
          </cell>
          <cell r="D3021" t="str">
            <v>MA100</v>
          </cell>
          <cell r="E3021">
            <v>566.76</v>
          </cell>
          <cell r="G3021">
            <v>208609</v>
          </cell>
        </row>
        <row r="3022">
          <cell r="A3022" t="str">
            <v>208609-OP</v>
          </cell>
          <cell r="B3022" t="str">
            <v>HEADER, SLDG DR RIGHT OP for MACHINING</v>
          </cell>
          <cell r="C3022" t="str">
            <v>EA</v>
          </cell>
          <cell r="D3022" t="str">
            <v>RM100</v>
          </cell>
          <cell r="E3022">
            <v>485.83</v>
          </cell>
          <cell r="G3022" t="str">
            <v>208609-OP</v>
          </cell>
        </row>
        <row r="3023">
          <cell r="A3023">
            <v>208610</v>
          </cell>
          <cell r="B3023" t="str">
            <v>CYLINDER, RODLESS, ORIGA</v>
          </cell>
          <cell r="C3023" t="str">
            <v>EA</v>
          </cell>
          <cell r="D3023" t="str">
            <v>RM100</v>
          </cell>
          <cell r="E3023">
            <v>1297.22</v>
          </cell>
          <cell r="G3023">
            <v>208610</v>
          </cell>
        </row>
        <row r="3024">
          <cell r="A3024" t="str">
            <v>208612-SS</v>
          </cell>
          <cell r="B3024" t="str">
            <v>CLMP,TRIM,NON-RF,BEAD BLAST W/CLEAR DIP*</v>
          </cell>
          <cell r="C3024" t="str">
            <v>EA</v>
          </cell>
          <cell r="D3024" t="str">
            <v>MA100</v>
          </cell>
          <cell r="E3024">
            <v>85.245040000000003</v>
          </cell>
          <cell r="G3024" t="str">
            <v>208612-SS</v>
          </cell>
        </row>
        <row r="3025">
          <cell r="A3025" t="str">
            <v>208612-SS-OP</v>
          </cell>
          <cell r="B3025" t="str">
            <v>CLMP,TRIM,NON-RF,117.375"LNG,MACH/SO*</v>
          </cell>
          <cell r="C3025" t="str">
            <v>EA</v>
          </cell>
          <cell r="D3025" t="str">
            <v>RM100</v>
          </cell>
          <cell r="E3025">
            <v>77</v>
          </cell>
          <cell r="G3025" t="str">
            <v>208612-SS-OP</v>
          </cell>
        </row>
        <row r="3026">
          <cell r="A3026" t="str">
            <v>208613-SS</v>
          </cell>
          <cell r="B3026" t="str">
            <v>CLMP,TRIM,NON-RF,116.125"LG W/AIR HOLE</v>
          </cell>
          <cell r="C3026" t="str">
            <v>EA</v>
          </cell>
          <cell r="D3026" t="str">
            <v>RM100</v>
          </cell>
          <cell r="E3026">
            <v>99.5</v>
          </cell>
          <cell r="G3026" t="str">
            <v>208613-SS</v>
          </cell>
        </row>
        <row r="3027">
          <cell r="A3027">
            <v>208614</v>
          </cell>
          <cell r="B3027" t="str">
            <v>FRAME,DOOR</v>
          </cell>
          <cell r="C3027" t="str">
            <v>EA</v>
          </cell>
          <cell r="D3027" t="str">
            <v>RM100</v>
          </cell>
          <cell r="E3027">
            <v>1078.45</v>
          </cell>
          <cell r="G3027">
            <v>208614</v>
          </cell>
        </row>
        <row r="3028">
          <cell r="A3028">
            <v>208615</v>
          </cell>
          <cell r="B3028" t="str">
            <v>SKIN,RF,SHLD,SLDG DR,ALUM</v>
          </cell>
          <cell r="C3028" t="str">
            <v>EA</v>
          </cell>
          <cell r="D3028" t="str">
            <v>RM100</v>
          </cell>
          <cell r="E3028">
            <v>218.36</v>
          </cell>
          <cell r="G3028">
            <v>208615</v>
          </cell>
        </row>
        <row r="3029">
          <cell r="A3029" t="str">
            <v>208616-SS</v>
          </cell>
          <cell r="B3029" t="str">
            <v>SKIN,NON-RF,SLDG DR,SS</v>
          </cell>
          <cell r="C3029" t="str">
            <v>EA</v>
          </cell>
          <cell r="D3029" t="str">
            <v>RM100</v>
          </cell>
          <cell r="E3029">
            <v>292.62</v>
          </cell>
          <cell r="G3029" t="str">
            <v>208616-SS</v>
          </cell>
        </row>
        <row r="3030">
          <cell r="A3030">
            <v>208617</v>
          </cell>
          <cell r="B3030" t="str">
            <v>DOOR-CYLINDER MTG PLATE</v>
          </cell>
          <cell r="C3030" t="str">
            <v>EA</v>
          </cell>
          <cell r="D3030" t="str">
            <v>RM100</v>
          </cell>
          <cell r="E3030">
            <v>98.05</v>
          </cell>
          <cell r="G3030">
            <v>208617</v>
          </cell>
        </row>
        <row r="3031">
          <cell r="A3031">
            <v>208618</v>
          </cell>
          <cell r="B3031" t="str">
            <v>PLT,ALUM,DR TO CYL CONNECTOR*</v>
          </cell>
          <cell r="C3031" t="str">
            <v>EA</v>
          </cell>
          <cell r="D3031" t="str">
            <v>RM100</v>
          </cell>
          <cell r="E3031">
            <v>42.53</v>
          </cell>
          <cell r="G3031">
            <v>208618</v>
          </cell>
        </row>
        <row r="3032">
          <cell r="A3032">
            <v>208620</v>
          </cell>
          <cell r="B3032" t="str">
            <v>THRESHOLD,IOSD</v>
          </cell>
          <cell r="C3032" t="str">
            <v>EA</v>
          </cell>
          <cell r="D3032" t="str">
            <v>RM100</v>
          </cell>
          <cell r="E3032">
            <v>358.72</v>
          </cell>
          <cell r="G3032">
            <v>208620</v>
          </cell>
        </row>
        <row r="3033">
          <cell r="A3033">
            <v>208621</v>
          </cell>
          <cell r="B3033" t="str">
            <v>CVR,ALUM,END CAP, TOP&amp;BTM</v>
          </cell>
          <cell r="C3033" t="str">
            <v>EA</v>
          </cell>
          <cell r="D3033" t="str">
            <v>RM100</v>
          </cell>
          <cell r="E3033">
            <v>12.31</v>
          </cell>
          <cell r="G3033">
            <v>208621</v>
          </cell>
        </row>
        <row r="3034">
          <cell r="A3034" t="str">
            <v>208621-LH</v>
          </cell>
          <cell r="B3034" t="str">
            <v>ISOLATOR,LH</v>
          </cell>
          <cell r="C3034" t="str">
            <v>EA</v>
          </cell>
          <cell r="D3034" t="str">
            <v>RM100</v>
          </cell>
          <cell r="E3034">
            <v>246.57</v>
          </cell>
          <cell r="G3034" t="str">
            <v>208621-LH</v>
          </cell>
        </row>
        <row r="3035">
          <cell r="A3035" t="str">
            <v>208621-RH</v>
          </cell>
          <cell r="B3035" t="str">
            <v>ISOLATOR,RH</v>
          </cell>
          <cell r="C3035" t="str">
            <v>EA</v>
          </cell>
          <cell r="D3035" t="str">
            <v>RM100</v>
          </cell>
          <cell r="E3035">
            <v>220.1</v>
          </cell>
          <cell r="G3035" t="str">
            <v>208621-RH</v>
          </cell>
        </row>
        <row r="3036">
          <cell r="A3036">
            <v>208622</v>
          </cell>
          <cell r="B3036" t="str">
            <v>PLT,RF CONTACT,BK EDGE DR,TOP-L,BTM-R</v>
          </cell>
          <cell r="C3036" t="str">
            <v>EA</v>
          </cell>
          <cell r="D3036" t="str">
            <v>RM100</v>
          </cell>
          <cell r="E3036">
            <v>14.77</v>
          </cell>
          <cell r="G3036">
            <v>208622</v>
          </cell>
        </row>
        <row r="3037">
          <cell r="A3037">
            <v>208623</v>
          </cell>
          <cell r="B3037" t="str">
            <v>PLT,RF CONTACT,BK EDGE DR,TOP-R,BTM-L</v>
          </cell>
          <cell r="C3037" t="str">
            <v>EA</v>
          </cell>
          <cell r="D3037" t="str">
            <v>RM100</v>
          </cell>
          <cell r="E3037">
            <v>14.77</v>
          </cell>
          <cell r="G3037">
            <v>208623</v>
          </cell>
        </row>
        <row r="3038">
          <cell r="A3038">
            <v>208624</v>
          </cell>
          <cell r="B3038" t="str">
            <v>NUT,BAR,STL,56.178,#8-32</v>
          </cell>
          <cell r="C3038" t="str">
            <v>EA</v>
          </cell>
          <cell r="D3038" t="str">
            <v>RM100</v>
          </cell>
          <cell r="E3038">
            <v>41.863770000000002</v>
          </cell>
          <cell r="G3038">
            <v>208624</v>
          </cell>
        </row>
        <row r="3039">
          <cell r="A3039">
            <v>208625</v>
          </cell>
          <cell r="B3039" t="str">
            <v>NUT,BAR,STL,56.178" #10-24</v>
          </cell>
          <cell r="C3039" t="str">
            <v>EA</v>
          </cell>
          <cell r="D3039" t="str">
            <v>RM100</v>
          </cell>
          <cell r="E3039">
            <v>52.22</v>
          </cell>
          <cell r="G3039">
            <v>208625</v>
          </cell>
        </row>
        <row r="3040">
          <cell r="A3040">
            <v>208627</v>
          </cell>
          <cell r="B3040" t="str">
            <v>FRAME,ACOUSTIC,IOSD</v>
          </cell>
          <cell r="C3040" t="str">
            <v>EA</v>
          </cell>
          <cell r="D3040" t="str">
            <v>RM100</v>
          </cell>
          <cell r="E3040">
            <v>680.58</v>
          </cell>
          <cell r="G3040">
            <v>208627</v>
          </cell>
        </row>
        <row r="3041">
          <cell r="A3041">
            <v>208628</v>
          </cell>
          <cell r="B3041" t="str">
            <v>NUT,BAR,STL,1/4"x5/8"x56.563w/6" HOLE SP</v>
          </cell>
          <cell r="C3041" t="str">
            <v>EA</v>
          </cell>
          <cell r="D3041" t="str">
            <v>RM100</v>
          </cell>
          <cell r="E3041">
            <v>43.25</v>
          </cell>
          <cell r="G3041">
            <v>208628</v>
          </cell>
        </row>
        <row r="3042">
          <cell r="A3042">
            <v>208629</v>
          </cell>
          <cell r="B3042" t="str">
            <v>ANGLE,ALUM,SLDG DR HDR ANGLE</v>
          </cell>
          <cell r="C3042" t="str">
            <v>EA</v>
          </cell>
          <cell r="D3042" t="str">
            <v>RM100</v>
          </cell>
          <cell r="E3042">
            <v>93.128399999999999</v>
          </cell>
          <cell r="G3042">
            <v>208629</v>
          </cell>
        </row>
        <row r="3043">
          <cell r="A3043">
            <v>208630</v>
          </cell>
          <cell r="B3043" t="str">
            <v>CLMP, RF SEAL, ALUM TOP&amp;BTM</v>
          </cell>
          <cell r="C3043" t="str">
            <v>EA</v>
          </cell>
          <cell r="D3043" t="str">
            <v>RM100</v>
          </cell>
          <cell r="E3043">
            <v>19.579999999999998</v>
          </cell>
          <cell r="G3043">
            <v>208630</v>
          </cell>
        </row>
        <row r="3044">
          <cell r="A3044">
            <v>208631</v>
          </cell>
          <cell r="B3044" t="str">
            <v>NUT,BAR,STL,1/4"x5/8"x40.25,w/6" HOLE SP</v>
          </cell>
          <cell r="C3044" t="str">
            <v>EA</v>
          </cell>
          <cell r="D3044" t="str">
            <v>RM100</v>
          </cell>
          <cell r="E3044">
            <v>26.53</v>
          </cell>
          <cell r="G3044">
            <v>208631</v>
          </cell>
        </row>
        <row r="3045">
          <cell r="A3045">
            <v>208632</v>
          </cell>
          <cell r="B3045" t="str">
            <v>SEAL, RF, TOP&amp;BTM, PHS-BRNZ/SO</v>
          </cell>
          <cell r="C3045" t="str">
            <v>EA</v>
          </cell>
          <cell r="D3045" t="str">
            <v>RM100</v>
          </cell>
          <cell r="E3045">
            <v>24.52</v>
          </cell>
          <cell r="G3045">
            <v>208632</v>
          </cell>
        </row>
        <row r="3046">
          <cell r="A3046" t="str">
            <v>208632-OP</v>
          </cell>
          <cell r="B3046" t="str">
            <v>SEAL, RF, TOP&amp;BTM,PHS-BRNZ,TIN PLATING</v>
          </cell>
          <cell r="C3046" t="str">
            <v>EA</v>
          </cell>
          <cell r="D3046" t="str">
            <v>RM100</v>
          </cell>
          <cell r="E3046">
            <v>17.5</v>
          </cell>
          <cell r="G3046" t="str">
            <v>208632-OP</v>
          </cell>
        </row>
        <row r="3047">
          <cell r="A3047">
            <v>208633</v>
          </cell>
          <cell r="B3047" t="str">
            <v>CVR,ALUM,END CAP, TOP&amp;BTM</v>
          </cell>
          <cell r="C3047" t="str">
            <v>EA</v>
          </cell>
          <cell r="D3047" t="str">
            <v>RM100</v>
          </cell>
          <cell r="E3047">
            <v>9.59</v>
          </cell>
          <cell r="G3047">
            <v>208633</v>
          </cell>
        </row>
        <row r="3048">
          <cell r="A3048">
            <v>208634</v>
          </cell>
          <cell r="B3048" t="str">
            <v>PLT,PRESSURE BAR,TOP&amp;BTM,SLDG DR</v>
          </cell>
          <cell r="C3048" t="str">
            <v>EA</v>
          </cell>
          <cell r="D3048" t="str">
            <v>MA100</v>
          </cell>
          <cell r="E3048">
            <v>18.71435</v>
          </cell>
          <cell r="G3048">
            <v>208634</v>
          </cell>
        </row>
        <row r="3049">
          <cell r="A3049">
            <v>208635</v>
          </cell>
          <cell r="B3049" t="str">
            <v>BRACKET, BELT MOUNTING</v>
          </cell>
          <cell r="C3049" t="str">
            <v>EA</v>
          </cell>
          <cell r="D3049" t="str">
            <v>RM100</v>
          </cell>
          <cell r="E3049">
            <v>14.98</v>
          </cell>
          <cell r="G3049">
            <v>208635</v>
          </cell>
        </row>
        <row r="3050">
          <cell r="A3050" t="str">
            <v>208636-LH</v>
          </cell>
          <cell r="B3050" t="str">
            <v>CVR,ALUM,MAIN FINISH ACOUSTIC,LH</v>
          </cell>
          <cell r="C3050" t="str">
            <v>EA</v>
          </cell>
          <cell r="D3050" t="str">
            <v>RM100</v>
          </cell>
          <cell r="E3050">
            <v>317.87</v>
          </cell>
          <cell r="G3050" t="str">
            <v>208636-LH</v>
          </cell>
        </row>
        <row r="3051">
          <cell r="A3051" t="str">
            <v>208636-LH-SS</v>
          </cell>
          <cell r="B3051" t="str">
            <v>OBS, CVR,STNLS STL ACOUSTIC,LH</v>
          </cell>
          <cell r="C3051" t="str">
            <v>EA</v>
          </cell>
          <cell r="D3051" t="str">
            <v>RM100</v>
          </cell>
          <cell r="E3051">
            <v>375.16</v>
          </cell>
          <cell r="G3051" t="str">
            <v>208636-LH-SS</v>
          </cell>
        </row>
        <row r="3052">
          <cell r="A3052" t="str">
            <v>208636-RH</v>
          </cell>
          <cell r="B3052" t="str">
            <v>CVR,ALUM,MAIN FINISH ACOUSTIC,RH</v>
          </cell>
          <cell r="C3052" t="str">
            <v>EA</v>
          </cell>
          <cell r="D3052" t="str">
            <v>RM100</v>
          </cell>
          <cell r="E3052">
            <v>377.35</v>
          </cell>
          <cell r="G3052" t="str">
            <v>208636-RH</v>
          </cell>
        </row>
        <row r="3053">
          <cell r="A3053" t="str">
            <v>208636-RH-SS</v>
          </cell>
          <cell r="B3053" t="str">
            <v>OBS, CVR,STNLS STL ACOUSTIC,RH</v>
          </cell>
          <cell r="C3053" t="str">
            <v>EA</v>
          </cell>
          <cell r="D3053" t="str">
            <v>RM100</v>
          </cell>
          <cell r="E3053">
            <v>375.16</v>
          </cell>
          <cell r="G3053" t="str">
            <v>208636-RH-SS</v>
          </cell>
        </row>
        <row r="3054">
          <cell r="A3054">
            <v>208637</v>
          </cell>
          <cell r="B3054" t="str">
            <v>ANGLE,BLK ADJ,S/S,IOSD</v>
          </cell>
          <cell r="C3054" t="str">
            <v>EA</v>
          </cell>
          <cell r="D3054" t="str">
            <v>RM100</v>
          </cell>
          <cell r="E3054">
            <v>176.75602000000001</v>
          </cell>
          <cell r="G3054">
            <v>208637</v>
          </cell>
        </row>
        <row r="3055">
          <cell r="A3055">
            <v>208638</v>
          </cell>
          <cell r="B3055" t="str">
            <v>ASSY, IOSD ACOUSTIC BOTTOM SEAL</v>
          </cell>
          <cell r="C3055" t="str">
            <v>EA</v>
          </cell>
          <cell r="D3055" t="str">
            <v>MA100</v>
          </cell>
          <cell r="E3055">
            <v>504.26639999999998</v>
          </cell>
          <cell r="G3055">
            <v>208638</v>
          </cell>
        </row>
        <row r="3056">
          <cell r="A3056">
            <v>208639</v>
          </cell>
          <cell r="B3056" t="str">
            <v>BRKT,ANGLE,BELT SLIDE,ALUM,5"x1.75"x1.5"</v>
          </cell>
          <cell r="C3056" t="str">
            <v>EA</v>
          </cell>
          <cell r="D3056" t="str">
            <v>FG055</v>
          </cell>
          <cell r="E3056">
            <v>1.5511200000000001</v>
          </cell>
          <cell r="G3056">
            <v>208639</v>
          </cell>
        </row>
        <row r="3057">
          <cell r="A3057" t="str">
            <v>208640-L-SS-AC</v>
          </cell>
          <cell r="B3057" t="str">
            <v>CVR,LEFT STATIONARY,STNLS STL,ACOUSTIC</v>
          </cell>
          <cell r="C3057" t="str">
            <v>EA</v>
          </cell>
          <cell r="D3057" t="str">
            <v>MA100</v>
          </cell>
          <cell r="E3057">
            <v>138</v>
          </cell>
          <cell r="G3057" t="str">
            <v>208640-L-SS-AC</v>
          </cell>
        </row>
        <row r="3058">
          <cell r="A3058" t="str">
            <v>208640-R-SS-AC</v>
          </cell>
          <cell r="B3058" t="str">
            <v>CVR,RIGHT STATIONARY,STNLS STL,ACOUSTIC</v>
          </cell>
          <cell r="C3058" t="str">
            <v>EA</v>
          </cell>
          <cell r="D3058" t="str">
            <v>MA100</v>
          </cell>
          <cell r="E3058">
            <v>138</v>
          </cell>
          <cell r="G3058" t="str">
            <v>208640-R-SS-AC</v>
          </cell>
        </row>
        <row r="3059">
          <cell r="A3059">
            <v>208641</v>
          </cell>
          <cell r="B3059" t="str">
            <v>CVR, ACOUSTIC, BOTTOM EDGE SEAL</v>
          </cell>
          <cell r="C3059" t="str">
            <v>EA</v>
          </cell>
          <cell r="D3059" t="str">
            <v>RM100</v>
          </cell>
          <cell r="E3059">
            <v>57.921599999999998</v>
          </cell>
          <cell r="G3059">
            <v>208641</v>
          </cell>
        </row>
        <row r="3060">
          <cell r="A3060" t="str">
            <v>208642-SS</v>
          </cell>
          <cell r="B3060" t="str">
            <v>CVR,DR MNT,MOBILE.SS</v>
          </cell>
          <cell r="C3060" t="str">
            <v>EA</v>
          </cell>
          <cell r="D3060" t="str">
            <v>MA100</v>
          </cell>
          <cell r="E3060">
            <v>134.69499999999999</v>
          </cell>
          <cell r="G3060" t="str">
            <v>208642-SS</v>
          </cell>
        </row>
        <row r="3061">
          <cell r="A3061">
            <v>208643</v>
          </cell>
          <cell r="B3061" t="str">
            <v>PANEL,TOP &amp; BTM, BLADDER,ALUM,3x1/8x51.8</v>
          </cell>
          <cell r="C3061" t="str">
            <v>EA</v>
          </cell>
          <cell r="D3061" t="str">
            <v>RM100</v>
          </cell>
          <cell r="E3061">
            <v>19.122</v>
          </cell>
          <cell r="G3061">
            <v>208643</v>
          </cell>
        </row>
        <row r="3062">
          <cell r="A3062">
            <v>208644</v>
          </cell>
          <cell r="B3062" t="str">
            <v>HOUSING,EXTRUSION,RF SEAL,IOSD</v>
          </cell>
          <cell r="C3062" t="str">
            <v>EA</v>
          </cell>
          <cell r="D3062" t="str">
            <v>MA100</v>
          </cell>
          <cell r="E3062">
            <v>165.41247999999999</v>
          </cell>
          <cell r="G3062">
            <v>208644</v>
          </cell>
        </row>
        <row r="3063">
          <cell r="A3063" t="str">
            <v>208644-OP</v>
          </cell>
          <cell r="B3063" t="str">
            <v>DR, HDR/FTR RF BLADDER,MACHINE / SO</v>
          </cell>
          <cell r="C3063" t="str">
            <v>EA</v>
          </cell>
          <cell r="D3063" t="str">
            <v>RM100</v>
          </cell>
          <cell r="E3063">
            <v>149.81</v>
          </cell>
          <cell r="G3063" t="str">
            <v>208644-OP</v>
          </cell>
        </row>
        <row r="3064">
          <cell r="A3064">
            <v>208645</v>
          </cell>
          <cell r="B3064" t="str">
            <v>BRKT,EXTRU,ACOUS,BTM SEAL,IOSD</v>
          </cell>
          <cell r="C3064" t="str">
            <v>EA</v>
          </cell>
          <cell r="D3064" t="str">
            <v>MA100</v>
          </cell>
          <cell r="E3064">
            <v>115.0984</v>
          </cell>
          <cell r="G3064">
            <v>208645</v>
          </cell>
        </row>
        <row r="3065">
          <cell r="A3065" t="str">
            <v>208645-OP</v>
          </cell>
          <cell r="B3065" t="str">
            <v>BRKT,EXTRU,ACOUS,SEAL,IOSD,MACH</v>
          </cell>
          <cell r="C3065" t="str">
            <v>EA</v>
          </cell>
          <cell r="D3065" t="str">
            <v>RM100</v>
          </cell>
          <cell r="E3065">
            <v>164.75</v>
          </cell>
          <cell r="G3065" t="str">
            <v>208645-OP</v>
          </cell>
        </row>
        <row r="3066">
          <cell r="A3066">
            <v>208646</v>
          </cell>
          <cell r="B3066" t="str">
            <v>PLT,PRESSURE BAR,BOTTOM, SLDG DR</v>
          </cell>
          <cell r="C3066" t="str">
            <v>EA</v>
          </cell>
          <cell r="D3066" t="str">
            <v>MA100</v>
          </cell>
          <cell r="E3066">
            <v>21.126169999999998</v>
          </cell>
          <cell r="G3066">
            <v>208646</v>
          </cell>
        </row>
        <row r="3067">
          <cell r="A3067">
            <v>208647</v>
          </cell>
          <cell r="B3067" t="str">
            <v>ASSY,PRESSURE BAR PLT,TOP&amp;BTM,SLDG DR</v>
          </cell>
          <cell r="C3067" t="str">
            <v>EA</v>
          </cell>
          <cell r="D3067" t="str">
            <v>FG054</v>
          </cell>
          <cell r="E3067">
            <v>67</v>
          </cell>
          <cell r="G3067">
            <v>208647</v>
          </cell>
        </row>
        <row r="3068">
          <cell r="A3068">
            <v>208648</v>
          </cell>
          <cell r="B3068" t="str">
            <v>SEAL,CNTR,MALE,,ALUM, 1.125"x1/4"</v>
          </cell>
          <cell r="C3068" t="str">
            <v>EA</v>
          </cell>
          <cell r="D3068" t="str">
            <v>MA100</v>
          </cell>
          <cell r="E3068">
            <v>30.75</v>
          </cell>
          <cell r="G3068">
            <v>208648</v>
          </cell>
        </row>
        <row r="3069">
          <cell r="A3069" t="str">
            <v>208648-OP</v>
          </cell>
          <cell r="B3069" t="str">
            <v>SEAL EDGE,VERT,SNGL SLD DR,MACHG</v>
          </cell>
          <cell r="C3069" t="str">
            <v>EA</v>
          </cell>
          <cell r="D3069" t="str">
            <v>MA100</v>
          </cell>
          <cell r="E3069">
            <v>68.75</v>
          </cell>
          <cell r="G3069" t="str">
            <v>208648-OP</v>
          </cell>
        </row>
        <row r="3070">
          <cell r="A3070" t="str">
            <v>208649-L</v>
          </cell>
          <cell r="B3070" t="str">
            <v>BRK, ACOUSTIC SEAL, BOTTOM LEFT</v>
          </cell>
          <cell r="C3070" t="str">
            <v>EA</v>
          </cell>
          <cell r="D3070" t="str">
            <v>RM100</v>
          </cell>
          <cell r="E3070">
            <v>71.349999999999994</v>
          </cell>
          <cell r="G3070" t="str">
            <v>208649-L</v>
          </cell>
        </row>
        <row r="3071">
          <cell r="A3071" t="str">
            <v>208649-R</v>
          </cell>
          <cell r="B3071" t="str">
            <v>BRK, ACOUSTIC SEAL, BOTTOM RIGHT</v>
          </cell>
          <cell r="C3071" t="str">
            <v>EA</v>
          </cell>
          <cell r="D3071" t="str">
            <v>RM100</v>
          </cell>
          <cell r="E3071">
            <v>71.349999999999994</v>
          </cell>
          <cell r="G3071" t="str">
            <v>208649-R</v>
          </cell>
        </row>
        <row r="3072">
          <cell r="A3072" t="str">
            <v>208649-R-PB</v>
          </cell>
          <cell r="B3072" t="str">
            <v>BRK, ACOUSTIC SEAL, BOTTOM RIGHT</v>
          </cell>
          <cell r="C3072" t="str">
            <v>EA</v>
          </cell>
          <cell r="D3072" t="str">
            <v>MA100</v>
          </cell>
          <cell r="E3072">
            <v>163.96</v>
          </cell>
          <cell r="G3072" t="str">
            <v>208649-R-PB</v>
          </cell>
        </row>
        <row r="3073">
          <cell r="A3073" t="str">
            <v>208650-LH</v>
          </cell>
          <cell r="B3073" t="str">
            <v>ASSY, ACOUSTIC SEAL,TRAILING EDGE,LH</v>
          </cell>
          <cell r="C3073" t="str">
            <v>EA</v>
          </cell>
          <cell r="D3073" t="str">
            <v>MA100</v>
          </cell>
          <cell r="E3073">
            <v>1128.79375</v>
          </cell>
          <cell r="G3073" t="str">
            <v>208650-LH</v>
          </cell>
        </row>
        <row r="3074">
          <cell r="A3074" t="str">
            <v>208650-LH-PB</v>
          </cell>
          <cell r="B3074" t="str">
            <v>ASSY, ACOUSTIC SEAL,TRAILING EDGE,LH</v>
          </cell>
          <cell r="C3074" t="str">
            <v>EA</v>
          </cell>
          <cell r="D3074" t="str">
            <v>MA100</v>
          </cell>
          <cell r="E3074">
            <v>1160.4537499999999</v>
          </cell>
          <cell r="G3074" t="str">
            <v>208650-LH-PB</v>
          </cell>
        </row>
        <row r="3075">
          <cell r="A3075" t="str">
            <v>208650-RH</v>
          </cell>
          <cell r="B3075" t="str">
            <v>ASSY, ACOUSTIC SEAL,TRAILING EDGE,RH</v>
          </cell>
          <cell r="C3075" t="str">
            <v>EA</v>
          </cell>
          <cell r="D3075" t="str">
            <v>MA100</v>
          </cell>
          <cell r="E3075">
            <v>1128.7927500000001</v>
          </cell>
          <cell r="G3075" t="str">
            <v>208650-RH</v>
          </cell>
        </row>
        <row r="3076">
          <cell r="A3076" t="str">
            <v>208650-RH-PB</v>
          </cell>
          <cell r="B3076" t="str">
            <v>ASSY, ACOUSTIC SEAL,TRAILING EDGE,RH</v>
          </cell>
          <cell r="C3076" t="str">
            <v>EA</v>
          </cell>
          <cell r="D3076" t="str">
            <v>MA100</v>
          </cell>
          <cell r="E3076">
            <v>1160.4527499999999</v>
          </cell>
          <cell r="G3076" t="str">
            <v>208650-RH-PB</v>
          </cell>
        </row>
        <row r="3077">
          <cell r="A3077" t="str">
            <v>208651-LH</v>
          </cell>
          <cell r="B3077" t="str">
            <v>EXTRU,TRAILING EDGE ACOUSTIC SEAL, IOSD</v>
          </cell>
          <cell r="C3077" t="str">
            <v>EA</v>
          </cell>
          <cell r="D3077" t="str">
            <v>MA100</v>
          </cell>
          <cell r="E3077">
            <v>276.49</v>
          </cell>
          <cell r="G3077" t="str">
            <v>208651-LH</v>
          </cell>
        </row>
        <row r="3078">
          <cell r="A3078" t="str">
            <v>208651-LH-OP</v>
          </cell>
          <cell r="B3078" t="str">
            <v>BRKT,EXTRU,ACOUS,SEAL,IOSD,MACH</v>
          </cell>
          <cell r="C3078" t="str">
            <v>EA</v>
          </cell>
          <cell r="D3078" t="str">
            <v>RM100</v>
          </cell>
          <cell r="E3078">
            <v>265.41000000000003</v>
          </cell>
          <cell r="G3078" t="str">
            <v>208651-LH-OP</v>
          </cell>
        </row>
        <row r="3079">
          <cell r="A3079" t="str">
            <v>208651-RH</v>
          </cell>
          <cell r="B3079" t="str">
            <v>EXTRU,TRAILING EDGE ACOUSTIC SEAL, IOSD</v>
          </cell>
          <cell r="C3079" t="str">
            <v>EA</v>
          </cell>
          <cell r="D3079" t="str">
            <v>MA100</v>
          </cell>
          <cell r="E3079">
            <v>276.48899999999998</v>
          </cell>
          <cell r="G3079" t="str">
            <v>208651-RH</v>
          </cell>
        </row>
        <row r="3080">
          <cell r="A3080" t="str">
            <v>208651-RH-OP</v>
          </cell>
          <cell r="B3080" t="str">
            <v>BRKT,EXTRU,ACOUS,SEAL,IOSD,MACH</v>
          </cell>
          <cell r="C3080" t="str">
            <v>EA</v>
          </cell>
          <cell r="D3080" t="str">
            <v>RM100</v>
          </cell>
          <cell r="E3080">
            <v>265.41000000000003</v>
          </cell>
          <cell r="G3080" t="str">
            <v>208651-RH-OP</v>
          </cell>
        </row>
        <row r="3081">
          <cell r="A3081">
            <v>208657</v>
          </cell>
          <cell r="B3081" t="str">
            <v>NUT,BAR,STL,1/4"x5/8"x54.500w/6" HOLE SP</v>
          </cell>
          <cell r="C3081" t="str">
            <v>EA</v>
          </cell>
          <cell r="D3081" t="str">
            <v>RM100</v>
          </cell>
          <cell r="E3081">
            <v>41.56</v>
          </cell>
          <cell r="G3081">
            <v>208657</v>
          </cell>
        </row>
        <row r="3082">
          <cell r="A3082">
            <v>208658</v>
          </cell>
          <cell r="B3082" t="str">
            <v>SEAL, RF, TOP&amp;BTM, PHS-BRNZ w/TIN-PLT</v>
          </cell>
          <cell r="C3082" t="str">
            <v>EA</v>
          </cell>
          <cell r="D3082" t="str">
            <v>MA100</v>
          </cell>
          <cell r="E3082">
            <v>36.159999999999997</v>
          </cell>
          <cell r="G3082">
            <v>208658</v>
          </cell>
        </row>
        <row r="3083">
          <cell r="A3083" t="str">
            <v>208659-LH</v>
          </cell>
          <cell r="B3083" t="str">
            <v>CVR,BRKT,ACOUS,TRLING EDGE,10' IOSD</v>
          </cell>
          <cell r="C3083" t="str">
            <v>EA</v>
          </cell>
          <cell r="D3083" t="str">
            <v>RM100</v>
          </cell>
          <cell r="E3083">
            <v>141.22</v>
          </cell>
          <cell r="G3083" t="str">
            <v>208659-LH</v>
          </cell>
        </row>
        <row r="3084">
          <cell r="A3084" t="str">
            <v>208659-RH</v>
          </cell>
          <cell r="B3084" t="str">
            <v>CVR,BRKT,ACOUS,TRLING EDGE,10' IOSD</v>
          </cell>
          <cell r="C3084" t="str">
            <v>EA</v>
          </cell>
          <cell r="D3084" t="str">
            <v>RM100</v>
          </cell>
          <cell r="E3084">
            <v>141.22</v>
          </cell>
          <cell r="G3084" t="str">
            <v>208659-RH</v>
          </cell>
        </row>
        <row r="3085">
          <cell r="A3085" t="str">
            <v>208660-LH</v>
          </cell>
          <cell r="B3085" t="str">
            <v>ASSY,ACOUS SEAL ,TOP. LH, IOSD</v>
          </cell>
          <cell r="C3085" t="str">
            <v>EA</v>
          </cell>
          <cell r="D3085" t="str">
            <v>MA100</v>
          </cell>
          <cell r="E3085">
            <v>638.05215999999996</v>
          </cell>
          <cell r="G3085" t="str">
            <v>208660-LH</v>
          </cell>
        </row>
        <row r="3086">
          <cell r="A3086" t="str">
            <v>208660-RH</v>
          </cell>
          <cell r="B3086" t="str">
            <v>ASSY,ACOUS SEAL ,TOP. RH, IOSD</v>
          </cell>
          <cell r="C3086" t="str">
            <v>EA</v>
          </cell>
          <cell r="D3086" t="str">
            <v>MA100</v>
          </cell>
          <cell r="E3086">
            <v>612.68625999999995</v>
          </cell>
          <cell r="G3086" t="str">
            <v>208660-RH</v>
          </cell>
        </row>
        <row r="3087">
          <cell r="A3087">
            <v>208661</v>
          </cell>
          <cell r="B3087" t="str">
            <v>SHIM , RAIL</v>
          </cell>
          <cell r="C3087" t="str">
            <v>EA</v>
          </cell>
          <cell r="D3087" t="str">
            <v>MA100</v>
          </cell>
          <cell r="E3087">
            <v>4.9049800000000001</v>
          </cell>
          <cell r="G3087">
            <v>208661</v>
          </cell>
        </row>
        <row r="3088">
          <cell r="A3088">
            <v>208662</v>
          </cell>
          <cell r="B3088" t="str">
            <v>BRK, TRAILING EDGE SEAL, BOTTOM</v>
          </cell>
          <cell r="C3088" t="str">
            <v>EA</v>
          </cell>
          <cell r="D3088" t="str">
            <v>MA100</v>
          </cell>
          <cell r="E3088">
            <v>29.19717</v>
          </cell>
          <cell r="G3088">
            <v>208662</v>
          </cell>
        </row>
        <row r="3089">
          <cell r="A3089">
            <v>208663</v>
          </cell>
          <cell r="B3089" t="str">
            <v>COVER,DR THRESHOLD ISOLATOR</v>
          </cell>
          <cell r="C3089" t="str">
            <v>EA</v>
          </cell>
          <cell r="D3089" t="str">
            <v>RM100</v>
          </cell>
          <cell r="E3089">
            <v>31.9</v>
          </cell>
          <cell r="G3089">
            <v>208663</v>
          </cell>
        </row>
        <row r="3090">
          <cell r="A3090">
            <v>208664</v>
          </cell>
          <cell r="B3090" t="str">
            <v>ASSY,PRESS PLT,WELDED CLIPS (#3)</v>
          </cell>
          <cell r="C3090" t="str">
            <v>EA</v>
          </cell>
          <cell r="D3090" t="str">
            <v>MA100</v>
          </cell>
          <cell r="E3090">
            <v>59.84545</v>
          </cell>
          <cell r="G3090">
            <v>208664</v>
          </cell>
        </row>
        <row r="3091">
          <cell r="A3091">
            <v>208665</v>
          </cell>
          <cell r="B3091" t="str">
            <v>BRK, TRAILING EDGE SEAL, TOP</v>
          </cell>
          <cell r="C3091" t="str">
            <v>EA</v>
          </cell>
          <cell r="D3091" t="str">
            <v>MA100</v>
          </cell>
          <cell r="E3091">
            <v>29.19717</v>
          </cell>
          <cell r="G3091">
            <v>208665</v>
          </cell>
        </row>
        <row r="3092">
          <cell r="A3092">
            <v>208666</v>
          </cell>
          <cell r="B3092" t="str">
            <v>ASSY,PRESS PLT,WELDED CLIPS</v>
          </cell>
          <cell r="C3092" t="str">
            <v>EA</v>
          </cell>
          <cell r="D3092" t="str">
            <v>MA100</v>
          </cell>
          <cell r="E3092">
            <v>42.232100000000003</v>
          </cell>
          <cell r="G3092">
            <v>208666</v>
          </cell>
        </row>
        <row r="3093">
          <cell r="A3093">
            <v>208667</v>
          </cell>
          <cell r="B3093" t="str">
            <v>SPACER, THRESHOLD CAM BRACKET</v>
          </cell>
          <cell r="C3093" t="str">
            <v>EA</v>
          </cell>
          <cell r="D3093" t="str">
            <v>RM100</v>
          </cell>
          <cell r="E3093">
            <v>78</v>
          </cell>
          <cell r="G3093">
            <v>208667</v>
          </cell>
        </row>
        <row r="3094">
          <cell r="A3094" t="str">
            <v>208668-LH</v>
          </cell>
          <cell r="B3094" t="str">
            <v>BRKT,EXTRU,ACOUS SEAL,TOP LH,IOSD</v>
          </cell>
          <cell r="C3094" t="str">
            <v>EA</v>
          </cell>
          <cell r="D3094" t="str">
            <v>MA100</v>
          </cell>
          <cell r="E3094">
            <v>192.23400000000001</v>
          </cell>
          <cell r="G3094" t="str">
            <v>208668-LH</v>
          </cell>
        </row>
        <row r="3095">
          <cell r="A3095" t="str">
            <v>208668-LH-OP</v>
          </cell>
          <cell r="B3095" t="str">
            <v>ACOUSTIC VERT EXTR,MACHINED,LH</v>
          </cell>
          <cell r="C3095" t="str">
            <v>EA</v>
          </cell>
          <cell r="D3095" t="str">
            <v>RM100</v>
          </cell>
          <cell r="E3095">
            <v>138.5</v>
          </cell>
          <cell r="G3095" t="str">
            <v>208668-LH-OP</v>
          </cell>
        </row>
        <row r="3096">
          <cell r="A3096" t="str">
            <v>208668-RH</v>
          </cell>
          <cell r="B3096" t="str">
            <v>BRKT,EXTRU,ACOUS SEAL,TOP RH,IOSD</v>
          </cell>
          <cell r="C3096" t="str">
            <v>EA</v>
          </cell>
          <cell r="D3096" t="str">
            <v>MA100</v>
          </cell>
          <cell r="E3096">
            <v>178.50299999999999</v>
          </cell>
          <cell r="G3096" t="str">
            <v>208668-RH</v>
          </cell>
        </row>
        <row r="3097">
          <cell r="A3097" t="str">
            <v>208668-RH-OP</v>
          </cell>
          <cell r="B3097" t="str">
            <v>ACOUSTIC VERT EXTR,MACHINED,RH</v>
          </cell>
          <cell r="C3097" t="str">
            <v>EA</v>
          </cell>
          <cell r="D3097" t="str">
            <v>RM100</v>
          </cell>
          <cell r="E3097">
            <v>138.5</v>
          </cell>
          <cell r="G3097" t="str">
            <v>208668-RH-OP</v>
          </cell>
        </row>
        <row r="3098">
          <cell r="A3098">
            <v>208669</v>
          </cell>
          <cell r="B3098" t="str">
            <v>PLATE,PRESS BAR,ACOUSTIC,TOP</v>
          </cell>
          <cell r="C3098" t="str">
            <v>EA</v>
          </cell>
          <cell r="D3098" t="str">
            <v>MA100</v>
          </cell>
          <cell r="E3098">
            <v>50.66</v>
          </cell>
          <cell r="G3098">
            <v>208669</v>
          </cell>
        </row>
        <row r="3099">
          <cell r="A3099">
            <v>208670</v>
          </cell>
          <cell r="B3099" t="str">
            <v>WELDMENT,PRESSURE PL</v>
          </cell>
          <cell r="C3099" t="str">
            <v>EA</v>
          </cell>
          <cell r="D3099" t="str">
            <v>MA100</v>
          </cell>
          <cell r="E3099">
            <v>68.607699999999994</v>
          </cell>
          <cell r="G3099">
            <v>208670</v>
          </cell>
        </row>
        <row r="3100">
          <cell r="A3100">
            <v>208671</v>
          </cell>
          <cell r="B3100" t="str">
            <v>ASSY,ACOUSTIC SEAL HOLDER</v>
          </cell>
          <cell r="C3100" t="str">
            <v>EA</v>
          </cell>
          <cell r="D3100" t="str">
            <v>RM100</v>
          </cell>
          <cell r="E3100">
            <v>28.91</v>
          </cell>
          <cell r="G3100">
            <v>208671</v>
          </cell>
        </row>
        <row r="3101">
          <cell r="A3101">
            <v>208672</v>
          </cell>
          <cell r="B3101" t="str">
            <v>SPACER,HEADER</v>
          </cell>
          <cell r="C3101" t="str">
            <v>EA</v>
          </cell>
          <cell r="D3101" t="str">
            <v>RM100</v>
          </cell>
          <cell r="E3101">
            <v>31.976240000000001</v>
          </cell>
          <cell r="G3101">
            <v>208672</v>
          </cell>
        </row>
        <row r="3102">
          <cell r="A3102" t="str">
            <v>208673-LH</v>
          </cell>
          <cell r="B3102" t="str">
            <v>COVER,BLADDER SEAL,ACOUSTIC,TOP,LH</v>
          </cell>
          <cell r="C3102" t="str">
            <v>EA</v>
          </cell>
          <cell r="D3102" t="str">
            <v>RM100</v>
          </cell>
          <cell r="E3102">
            <v>31.684899999999999</v>
          </cell>
          <cell r="G3102" t="str">
            <v>208673-LH</v>
          </cell>
        </row>
        <row r="3103">
          <cell r="A3103" t="str">
            <v>208673-RH</v>
          </cell>
          <cell r="B3103" t="str">
            <v>COVER,BLADDER SEAL,ACOUSTIC,TOP,RH</v>
          </cell>
          <cell r="C3103" t="str">
            <v>EA</v>
          </cell>
          <cell r="D3103" t="str">
            <v>RM100</v>
          </cell>
          <cell r="E3103">
            <v>20.05</v>
          </cell>
          <cell r="G3103" t="str">
            <v>208673-RH</v>
          </cell>
        </row>
        <row r="3104">
          <cell r="A3104" t="str">
            <v>208674-L-SS</v>
          </cell>
          <cell r="B3104" t="str">
            <v>ASSY,H-BRKT,THRSHLD CAM, LT MACH&amp;FINISH</v>
          </cell>
          <cell r="C3104" t="str">
            <v>EA</v>
          </cell>
          <cell r="D3104" t="str">
            <v>MA100</v>
          </cell>
          <cell r="E3104">
            <v>215.11349000000001</v>
          </cell>
          <cell r="G3104" t="str">
            <v>208674-L-SS</v>
          </cell>
        </row>
        <row r="3105">
          <cell r="A3105" t="str">
            <v>208674-L-SS-OP</v>
          </cell>
          <cell r="B3105" t="str">
            <v>ASSY,H-BRKT,THRH CAM, LT DR,MACH&amp;FINISH</v>
          </cell>
          <cell r="C3105" t="str">
            <v>EA</v>
          </cell>
          <cell r="D3105" t="str">
            <v>MA100</v>
          </cell>
          <cell r="E3105">
            <v>121.29</v>
          </cell>
          <cell r="G3105" t="str">
            <v>208674-L-SS-OP</v>
          </cell>
        </row>
        <row r="3106">
          <cell r="A3106" t="str">
            <v>208674-R-SS</v>
          </cell>
          <cell r="B3106" t="str">
            <v>ASSY,H-BRKT,THRSHLD CAM, RT MACH&amp;FINISH</v>
          </cell>
          <cell r="C3106" t="str">
            <v>EA</v>
          </cell>
          <cell r="D3106" t="str">
            <v>MA100</v>
          </cell>
          <cell r="E3106">
            <v>215.13348999999999</v>
          </cell>
          <cell r="G3106" t="str">
            <v>208674-R-SS</v>
          </cell>
        </row>
        <row r="3107">
          <cell r="A3107" t="str">
            <v>208674-R-SS-OP</v>
          </cell>
          <cell r="B3107" t="str">
            <v>ASSY,H-BRKT,THRH CAM, RT DR,MACH&amp;FINISH</v>
          </cell>
          <cell r="C3107" t="str">
            <v>EA</v>
          </cell>
          <cell r="D3107" t="str">
            <v>MA100</v>
          </cell>
          <cell r="E3107">
            <v>121.29</v>
          </cell>
          <cell r="G3107" t="str">
            <v>208674-R-SS-OP</v>
          </cell>
        </row>
        <row r="3108">
          <cell r="A3108">
            <v>208676</v>
          </cell>
          <cell r="B3108" t="str">
            <v>NUT,BAR,STL,56.178" 1/4-20</v>
          </cell>
          <cell r="C3108" t="str">
            <v>EA</v>
          </cell>
          <cell r="D3108" t="str">
            <v>RM100</v>
          </cell>
          <cell r="E3108">
            <v>33.86</v>
          </cell>
          <cell r="G3108">
            <v>208676</v>
          </cell>
        </row>
        <row r="3109">
          <cell r="A3109">
            <v>208677</v>
          </cell>
          <cell r="B3109" t="str">
            <v>SPACER,SHOULDER</v>
          </cell>
          <cell r="C3109" t="str">
            <v>EA</v>
          </cell>
          <cell r="D3109" t="str">
            <v>RM100</v>
          </cell>
          <cell r="E3109">
            <v>7.4254300000000004</v>
          </cell>
          <cell r="G3109">
            <v>208677</v>
          </cell>
        </row>
        <row r="3110">
          <cell r="A3110">
            <v>208678</v>
          </cell>
          <cell r="B3110" t="str">
            <v>SEAL, CNTR FNGR BAR, ALUM</v>
          </cell>
          <cell r="C3110" t="str">
            <v>EA</v>
          </cell>
          <cell r="D3110" t="str">
            <v>RM100</v>
          </cell>
          <cell r="E3110">
            <v>25.667999999999999</v>
          </cell>
          <cell r="G3110">
            <v>208678</v>
          </cell>
        </row>
        <row r="3111">
          <cell r="A3111">
            <v>208679</v>
          </cell>
          <cell r="B3111" t="str">
            <v>SEAL,FEMALE,CNTR, ALUM, 1.5"x0.5"</v>
          </cell>
          <cell r="C3111" t="str">
            <v>EA</v>
          </cell>
          <cell r="D3111" t="str">
            <v>RM100</v>
          </cell>
          <cell r="E3111">
            <v>31.83</v>
          </cell>
          <cell r="G3111">
            <v>208679</v>
          </cell>
        </row>
        <row r="3112">
          <cell r="A3112">
            <v>208680</v>
          </cell>
          <cell r="B3112" t="str">
            <v>WASHER,VIBRATION DAMPENING,NEOPRENE</v>
          </cell>
          <cell r="C3112" t="str">
            <v>EA</v>
          </cell>
          <cell r="D3112" t="str">
            <v>FG054</v>
          </cell>
          <cell r="E3112">
            <v>6.39</v>
          </cell>
          <cell r="G3112">
            <v>208680</v>
          </cell>
        </row>
        <row r="3113">
          <cell r="A3113">
            <v>208681</v>
          </cell>
          <cell r="B3113" t="str">
            <v>CHANNEL,CTR ACOUSTIC,IOSD,1.50"</v>
          </cell>
          <cell r="C3113" t="str">
            <v>EA</v>
          </cell>
          <cell r="D3113" t="str">
            <v>RM100</v>
          </cell>
          <cell r="E3113">
            <v>60.268999999999998</v>
          </cell>
          <cell r="G3113">
            <v>208681</v>
          </cell>
        </row>
        <row r="3114">
          <cell r="A3114">
            <v>208682</v>
          </cell>
          <cell r="B3114" t="str">
            <v>CHANNEL,CTR ACOUSTIC,IOSD,2.00"</v>
          </cell>
          <cell r="C3114" t="str">
            <v>EA</v>
          </cell>
          <cell r="D3114" t="str">
            <v>RM100</v>
          </cell>
          <cell r="E3114">
            <v>52.863</v>
          </cell>
          <cell r="G3114">
            <v>208682</v>
          </cell>
        </row>
        <row r="3115">
          <cell r="A3115">
            <v>208683</v>
          </cell>
          <cell r="B3115" t="str">
            <v>FOAM,NEOPRENE,3/4""X1/2",ADHESIVE BACKED</v>
          </cell>
          <cell r="C3115" t="str">
            <v>FT</v>
          </cell>
          <cell r="D3115" t="str">
            <v>RM100</v>
          </cell>
          <cell r="E3115">
            <v>0.218</v>
          </cell>
          <cell r="G3115">
            <v>208683</v>
          </cell>
        </row>
        <row r="3116">
          <cell r="A3116">
            <v>208684</v>
          </cell>
          <cell r="B3116" t="str">
            <v>BRKT,DOOR &amp; AIR CYLINDER CONNECTING</v>
          </cell>
          <cell r="C3116" t="str">
            <v>EA</v>
          </cell>
          <cell r="D3116" t="str">
            <v>RM100</v>
          </cell>
          <cell r="E3116">
            <v>44.034399999999998</v>
          </cell>
          <cell r="G3116">
            <v>208684</v>
          </cell>
        </row>
        <row r="3117">
          <cell r="A3117">
            <v>208685</v>
          </cell>
          <cell r="B3117" t="str">
            <v>ASSY,TAPESWITCH, IMRIS</v>
          </cell>
          <cell r="C3117" t="str">
            <v>EA</v>
          </cell>
          <cell r="D3117" t="str">
            <v>MA100</v>
          </cell>
          <cell r="E3117">
            <v>361.541</v>
          </cell>
          <cell r="G3117">
            <v>208685</v>
          </cell>
        </row>
        <row r="3118">
          <cell r="A3118">
            <v>208686</v>
          </cell>
          <cell r="B3118" t="str">
            <v>BELT, TIMING, #25 ATL 10/10920 M PAZ</v>
          </cell>
          <cell r="C3118" t="str">
            <v>EA</v>
          </cell>
          <cell r="D3118" t="str">
            <v>RM100</v>
          </cell>
          <cell r="E3118">
            <v>714.5</v>
          </cell>
          <cell r="G3118">
            <v>208686</v>
          </cell>
        </row>
        <row r="3119">
          <cell r="A3119">
            <v>208687</v>
          </cell>
          <cell r="B3119" t="str">
            <v>BRKT,DOOR &amp; AIR CYLINDER CONNECTING</v>
          </cell>
          <cell r="C3119" t="str">
            <v>EA</v>
          </cell>
          <cell r="D3119" t="str">
            <v>RM100</v>
          </cell>
          <cell r="E3119">
            <v>93.27</v>
          </cell>
          <cell r="G3119">
            <v>208687</v>
          </cell>
        </row>
        <row r="3120">
          <cell r="A3120">
            <v>208688</v>
          </cell>
          <cell r="B3120" t="str">
            <v>SHIM , DOOR MOUNT</v>
          </cell>
          <cell r="C3120" t="str">
            <v>EA</v>
          </cell>
          <cell r="D3120" t="str">
            <v>MA100</v>
          </cell>
          <cell r="E3120">
            <v>0.55391999999999997</v>
          </cell>
          <cell r="G3120">
            <v>208688</v>
          </cell>
        </row>
        <row r="3121">
          <cell r="A3121" t="str">
            <v>208689-L</v>
          </cell>
          <cell r="B3121" t="str">
            <v>COVER, LEAD SHADE</v>
          </cell>
          <cell r="C3121" t="str">
            <v>EA</v>
          </cell>
          <cell r="D3121" t="str">
            <v>MA100</v>
          </cell>
          <cell r="E3121">
            <v>57.932499999999997</v>
          </cell>
          <cell r="G3121" t="str">
            <v>208689-L</v>
          </cell>
        </row>
        <row r="3122">
          <cell r="A3122" t="str">
            <v>208689-R</v>
          </cell>
          <cell r="B3122" t="str">
            <v>COVER, LEAD SHADE</v>
          </cell>
          <cell r="C3122" t="str">
            <v>EA</v>
          </cell>
          <cell r="D3122" t="str">
            <v>FG054</v>
          </cell>
          <cell r="E3122">
            <v>67.635000000000005</v>
          </cell>
          <cell r="G3122" t="str">
            <v>208689-R</v>
          </cell>
        </row>
        <row r="3123">
          <cell r="A3123">
            <v>208690</v>
          </cell>
          <cell r="B3123" t="str">
            <v>SPACER, CTR ACOUSTIC</v>
          </cell>
          <cell r="C3123" t="str">
            <v>EA</v>
          </cell>
          <cell r="D3123" t="str">
            <v>MA100</v>
          </cell>
          <cell r="E3123">
            <v>224.97</v>
          </cell>
          <cell r="G3123">
            <v>208690</v>
          </cell>
        </row>
        <row r="3124">
          <cell r="A3124" t="str">
            <v>208691-LH</v>
          </cell>
          <cell r="B3124" t="str">
            <v>SPACER, LIGHT CURTAIN</v>
          </cell>
          <cell r="C3124" t="str">
            <v>EA</v>
          </cell>
          <cell r="D3124" t="str">
            <v>FG054</v>
          </cell>
          <cell r="E3124">
            <v>61.21</v>
          </cell>
          <cell r="G3124" t="str">
            <v>208691-LH</v>
          </cell>
        </row>
        <row r="3125">
          <cell r="A3125" t="str">
            <v>208691-RH</v>
          </cell>
          <cell r="B3125" t="str">
            <v>SPACER, LIGHT CURTAIN</v>
          </cell>
          <cell r="C3125" t="str">
            <v>EA</v>
          </cell>
          <cell r="D3125" t="str">
            <v>FG054</v>
          </cell>
          <cell r="E3125">
            <v>49.98</v>
          </cell>
          <cell r="G3125" t="str">
            <v>208691-RH</v>
          </cell>
        </row>
        <row r="3126">
          <cell r="A3126">
            <v>208693</v>
          </cell>
          <cell r="B3126" t="str">
            <v>RAIL,LINEAR,REDI-RAIL#RR65,2591mm=102"</v>
          </cell>
          <cell r="C3126" t="str">
            <v>EA</v>
          </cell>
          <cell r="D3126" t="str">
            <v>RM100</v>
          </cell>
          <cell r="E3126">
            <v>320.07</v>
          </cell>
          <cell r="G3126">
            <v>208693</v>
          </cell>
        </row>
        <row r="3127">
          <cell r="A3127">
            <v>208695</v>
          </cell>
          <cell r="B3127" t="str">
            <v>COVER,DR THRESHOLD ISOLATOR</v>
          </cell>
          <cell r="C3127" t="str">
            <v>EA</v>
          </cell>
          <cell r="D3127" t="str">
            <v>RM100</v>
          </cell>
          <cell r="E3127">
            <v>30.16</v>
          </cell>
          <cell r="G3127">
            <v>208695</v>
          </cell>
        </row>
        <row r="3128">
          <cell r="A3128">
            <v>208696</v>
          </cell>
          <cell r="B3128" t="str">
            <v>WELDMENT,PRESSURE PL</v>
          </cell>
          <cell r="C3128" t="str">
            <v>EA</v>
          </cell>
          <cell r="D3128" t="str">
            <v>MA100</v>
          </cell>
          <cell r="E3128">
            <v>77.7</v>
          </cell>
          <cell r="G3128">
            <v>208696</v>
          </cell>
        </row>
        <row r="3129">
          <cell r="A3129">
            <v>208697</v>
          </cell>
          <cell r="B3129" t="str">
            <v>NUT,INSERT,M8-1.25, w/LEAF SPRING</v>
          </cell>
          <cell r="C3129" t="str">
            <v>EA</v>
          </cell>
          <cell r="D3129" t="str">
            <v>RM100</v>
          </cell>
          <cell r="E3129">
            <v>0</v>
          </cell>
          <cell r="G3129">
            <v>208697</v>
          </cell>
        </row>
        <row r="3130">
          <cell r="A3130">
            <v>208698</v>
          </cell>
          <cell r="B3130" t="str">
            <v>PLT,PULL HANDLE MOUNTING</v>
          </cell>
          <cell r="C3130" t="str">
            <v>EA</v>
          </cell>
          <cell r="D3130" t="str">
            <v>RM100</v>
          </cell>
          <cell r="E3130">
            <v>144.32</v>
          </cell>
          <cell r="G3130">
            <v>208698</v>
          </cell>
        </row>
        <row r="3131">
          <cell r="A3131">
            <v>208705</v>
          </cell>
          <cell r="B3131" t="str">
            <v>CVR,THRSHLD ISLATR,SWING SIDE,4FT,EVO</v>
          </cell>
          <cell r="C3131" t="str">
            <v>EA</v>
          </cell>
          <cell r="D3131" t="str">
            <v>RM100</v>
          </cell>
          <cell r="E3131">
            <v>18.010000000000002</v>
          </cell>
          <cell r="G3131">
            <v>208705</v>
          </cell>
        </row>
        <row r="3132">
          <cell r="A3132" t="str">
            <v>208705-36</v>
          </cell>
          <cell r="B3132" t="str">
            <v>CVR,THRSHLD ISLATR,SWING SIDE,3FT,EVO</v>
          </cell>
          <cell r="C3132" t="str">
            <v>EA</v>
          </cell>
          <cell r="D3132" t="str">
            <v>RM100</v>
          </cell>
          <cell r="E3132">
            <v>51.8</v>
          </cell>
          <cell r="G3132" t="str">
            <v>208705-36</v>
          </cell>
        </row>
        <row r="3133">
          <cell r="A3133">
            <v>208707</v>
          </cell>
          <cell r="B3133" t="str">
            <v>ISOLATOR,PHENOLIC,4FT,EVO</v>
          </cell>
          <cell r="C3133" t="str">
            <v>EA</v>
          </cell>
          <cell r="D3133" t="str">
            <v>MA100</v>
          </cell>
          <cell r="E3133">
            <v>224.96</v>
          </cell>
          <cell r="G3133">
            <v>208707</v>
          </cell>
        </row>
        <row r="3134">
          <cell r="A3134">
            <v>208708</v>
          </cell>
          <cell r="B3134" t="str">
            <v>THRESHOLD,4FT,EVO</v>
          </cell>
          <cell r="C3134" t="str">
            <v>EA</v>
          </cell>
          <cell r="D3134" t="str">
            <v>RM100</v>
          </cell>
          <cell r="E3134">
            <v>75.540000000000006</v>
          </cell>
          <cell r="G3134">
            <v>208708</v>
          </cell>
        </row>
        <row r="3135">
          <cell r="A3135">
            <v>208709</v>
          </cell>
          <cell r="B3135" t="str">
            <v>JAMB HEADER, 48-inch, EVO</v>
          </cell>
          <cell r="C3135" t="str">
            <v>EA</v>
          </cell>
          <cell r="D3135" t="str">
            <v>RM100</v>
          </cell>
          <cell r="E3135">
            <v>105.61</v>
          </cell>
          <cell r="G3135">
            <v>208709</v>
          </cell>
        </row>
        <row r="3136">
          <cell r="A3136">
            <v>208714</v>
          </cell>
          <cell r="B3136" t="str">
            <v>ASSY,JB LATCH SIDE,MANUAL EVO</v>
          </cell>
          <cell r="C3136" t="str">
            <v>EA</v>
          </cell>
          <cell r="D3136" t="str">
            <v>MA100</v>
          </cell>
          <cell r="E3136">
            <v>362.53699999999998</v>
          </cell>
          <cell r="G3136">
            <v>208714</v>
          </cell>
        </row>
        <row r="3137">
          <cell r="A3137">
            <v>208716</v>
          </cell>
          <cell r="B3137" t="str">
            <v>ASSY,JB HINGE SIDE,MANUAL EVO</v>
          </cell>
          <cell r="C3137" t="str">
            <v>EA</v>
          </cell>
          <cell r="D3137" t="str">
            <v>MA100</v>
          </cell>
          <cell r="E3137">
            <v>410.29106000000002</v>
          </cell>
          <cell r="G3137">
            <v>208716</v>
          </cell>
        </row>
        <row r="3138">
          <cell r="A3138">
            <v>208717</v>
          </cell>
          <cell r="B3138" t="str">
            <v>JAMB MAIN,EVO</v>
          </cell>
          <cell r="C3138" t="str">
            <v>EA</v>
          </cell>
          <cell r="D3138" t="str">
            <v>RM100</v>
          </cell>
          <cell r="E3138">
            <v>184.1</v>
          </cell>
          <cell r="G3138">
            <v>208717</v>
          </cell>
        </row>
        <row r="3139">
          <cell r="A3139">
            <v>208718</v>
          </cell>
          <cell r="B3139" t="str">
            <v>CVR,JAMB MAIN,EVO</v>
          </cell>
          <cell r="C3139" t="str">
            <v>EA</v>
          </cell>
          <cell r="D3139" t="str">
            <v>RM100</v>
          </cell>
          <cell r="E3139">
            <v>37.06</v>
          </cell>
          <cell r="G3139">
            <v>208718</v>
          </cell>
        </row>
        <row r="3140">
          <cell r="A3140">
            <v>208719</v>
          </cell>
          <cell r="B3140" t="str">
            <v>CVR,JB RF AREA,HINGE SIDE,EVO</v>
          </cell>
          <cell r="C3140" t="str">
            <v>EA</v>
          </cell>
          <cell r="D3140" t="str">
            <v>RM100</v>
          </cell>
          <cell r="E3140">
            <v>28.57</v>
          </cell>
          <cell r="G3140">
            <v>208719</v>
          </cell>
        </row>
        <row r="3141">
          <cell r="A3141">
            <v>208721</v>
          </cell>
          <cell r="B3141" t="str">
            <v>EVO, 4' MAYTEC FRAME *DO NOT BUY*</v>
          </cell>
          <cell r="C3141" t="str">
            <v>EA</v>
          </cell>
          <cell r="D3141" t="str">
            <v>RM100</v>
          </cell>
          <cell r="E3141">
            <v>376.77</v>
          </cell>
          <cell r="G3141">
            <v>208721</v>
          </cell>
        </row>
        <row r="3142">
          <cell r="A3142">
            <v>208722</v>
          </cell>
          <cell r="B3142" t="str">
            <v>SPACER,DR LF,LOCK SIDE,EVO</v>
          </cell>
          <cell r="C3142" t="str">
            <v>EA</v>
          </cell>
          <cell r="D3142" t="str">
            <v>RM100</v>
          </cell>
          <cell r="E3142">
            <v>24.18</v>
          </cell>
          <cell r="G3142">
            <v>208722</v>
          </cell>
        </row>
        <row r="3143">
          <cell r="A3143">
            <v>208723</v>
          </cell>
          <cell r="B3143" t="str">
            <v>SPACER,DR LF,HINGE SIDE,EVO</v>
          </cell>
          <cell r="C3143" t="str">
            <v>EA</v>
          </cell>
          <cell r="D3143" t="str">
            <v>RM100</v>
          </cell>
          <cell r="E3143">
            <v>48.13</v>
          </cell>
          <cell r="G3143">
            <v>208723</v>
          </cell>
        </row>
        <row r="3144">
          <cell r="A3144">
            <v>208724</v>
          </cell>
          <cell r="B3144" t="str">
            <v>TRIM,DR,LATCH SIDE,EVO</v>
          </cell>
          <cell r="C3144" t="str">
            <v>EA</v>
          </cell>
          <cell r="D3144" t="str">
            <v>RM100</v>
          </cell>
          <cell r="E3144">
            <v>45.67</v>
          </cell>
          <cell r="G3144">
            <v>208724</v>
          </cell>
        </row>
        <row r="3145">
          <cell r="A3145">
            <v>208725</v>
          </cell>
          <cell r="B3145" t="str">
            <v>TRIM,DR LF,HINGE SIDE,EVO - DO NOT BUY</v>
          </cell>
          <cell r="C3145" t="str">
            <v>EA</v>
          </cell>
          <cell r="D3145" t="str">
            <v>RM100</v>
          </cell>
          <cell r="E3145">
            <v>77.849999999999994</v>
          </cell>
          <cell r="G3145">
            <v>208725</v>
          </cell>
        </row>
        <row r="3146">
          <cell r="A3146">
            <v>208727</v>
          </cell>
          <cell r="B3146" t="str">
            <v>HNG,6" FOR EVO DOOR</v>
          </cell>
          <cell r="C3146" t="str">
            <v>EA</v>
          </cell>
          <cell r="D3146" t="str">
            <v>RM100</v>
          </cell>
          <cell r="E3146">
            <v>41.34</v>
          </cell>
          <cell r="G3146">
            <v>208727</v>
          </cell>
        </row>
        <row r="3147">
          <cell r="A3147" t="str">
            <v>208727-01</v>
          </cell>
          <cell r="C3147" t="str">
            <v>EA</v>
          </cell>
          <cell r="D3147" t="str">
            <v>MA100</v>
          </cell>
          <cell r="E3147">
            <v>0</v>
          </cell>
          <cell r="G3147" t="str">
            <v>208727-01</v>
          </cell>
        </row>
        <row r="3148">
          <cell r="A3148" t="str">
            <v>208727-02</v>
          </cell>
          <cell r="C3148" t="str">
            <v>EA</v>
          </cell>
          <cell r="D3148" t="str">
            <v>MA100</v>
          </cell>
          <cell r="E3148">
            <v>0</v>
          </cell>
          <cell r="G3148" t="str">
            <v>208727-02</v>
          </cell>
        </row>
        <row r="3149">
          <cell r="A3149">
            <v>208729</v>
          </cell>
          <cell r="B3149" t="str">
            <v>CVR,BASE,4FT DR SEAL MECHANISM,EVO</v>
          </cell>
          <cell r="C3149" t="str">
            <v>EA</v>
          </cell>
          <cell r="D3149" t="str">
            <v>RM100</v>
          </cell>
          <cell r="E3149">
            <v>11.83</v>
          </cell>
          <cell r="G3149">
            <v>208729</v>
          </cell>
        </row>
        <row r="3150">
          <cell r="A3150">
            <v>208731</v>
          </cell>
          <cell r="B3150" t="str">
            <v>ASSY,SEAL DOOR MECHANISM,MANUAL,4FT,EVO</v>
          </cell>
          <cell r="C3150" t="str">
            <v>EA</v>
          </cell>
          <cell r="D3150" t="str">
            <v>MA100</v>
          </cell>
          <cell r="E3150">
            <v>286.2278</v>
          </cell>
          <cell r="G3150">
            <v>208731</v>
          </cell>
        </row>
        <row r="3151">
          <cell r="A3151">
            <v>208732</v>
          </cell>
          <cell r="B3151" t="str">
            <v>4' ACTIVE RF SEAL HOLDER</v>
          </cell>
          <cell r="C3151" t="str">
            <v>EA</v>
          </cell>
          <cell r="D3151" t="str">
            <v>RM100</v>
          </cell>
          <cell r="E3151">
            <v>13.53</v>
          </cell>
          <cell r="G3151">
            <v>208732</v>
          </cell>
        </row>
        <row r="3152">
          <cell r="A3152">
            <v>208733</v>
          </cell>
          <cell r="B3152" t="str">
            <v>HINGE SUPPORT,EVO</v>
          </cell>
          <cell r="C3152" t="str">
            <v>EA</v>
          </cell>
          <cell r="D3152" t="str">
            <v>RM100</v>
          </cell>
          <cell r="E3152">
            <v>12.1</v>
          </cell>
          <cell r="G3152">
            <v>208733</v>
          </cell>
        </row>
        <row r="3153">
          <cell r="A3153" t="str">
            <v>208733-TEMP</v>
          </cell>
          <cell r="B3153" t="str">
            <v>OBSOLETE</v>
          </cell>
          <cell r="C3153" t="str">
            <v>EA</v>
          </cell>
          <cell r="D3153" t="str">
            <v>MA100</v>
          </cell>
          <cell r="E3153">
            <v>22.5</v>
          </cell>
          <cell r="G3153" t="str">
            <v>208733-TEMP</v>
          </cell>
        </row>
        <row r="3154">
          <cell r="A3154">
            <v>208734</v>
          </cell>
          <cell r="B3154" t="str">
            <v>PANEL,RF,INTERNAL,DOOR 4FT,EVO</v>
          </cell>
          <cell r="C3154" t="str">
            <v>EA</v>
          </cell>
          <cell r="D3154" t="str">
            <v>RM100</v>
          </cell>
          <cell r="E3154">
            <v>118.96</v>
          </cell>
          <cell r="G3154">
            <v>208734</v>
          </cell>
        </row>
        <row r="3155">
          <cell r="A3155">
            <v>208735</v>
          </cell>
          <cell r="B3155" t="str">
            <v>PANEL,NRF,FRONT,DOOR 4FT,EVO</v>
          </cell>
          <cell r="C3155" t="str">
            <v>EA</v>
          </cell>
          <cell r="D3155" t="str">
            <v>RM100</v>
          </cell>
          <cell r="E3155">
            <v>128.32</v>
          </cell>
          <cell r="G3155">
            <v>208735</v>
          </cell>
        </row>
        <row r="3156">
          <cell r="A3156">
            <v>208738</v>
          </cell>
          <cell r="B3156" t="str">
            <v>THRESHOLD,3FT,EVO</v>
          </cell>
          <cell r="C3156" t="str">
            <v>EA</v>
          </cell>
          <cell r="D3156" t="str">
            <v>RM100</v>
          </cell>
          <cell r="E3156">
            <v>70</v>
          </cell>
          <cell r="G3156">
            <v>208738</v>
          </cell>
        </row>
        <row r="3157">
          <cell r="A3157">
            <v>208739</v>
          </cell>
          <cell r="B3157" t="str">
            <v>OBSOLETE</v>
          </cell>
          <cell r="C3157" t="str">
            <v>EA</v>
          </cell>
          <cell r="D3157" t="str">
            <v>MA100</v>
          </cell>
          <cell r="E3157">
            <v>82.73</v>
          </cell>
          <cell r="G3157">
            <v>208739</v>
          </cell>
        </row>
        <row r="3158">
          <cell r="A3158">
            <v>208740</v>
          </cell>
          <cell r="B3158" t="str">
            <v>LCK,SCHLG (ATHENS) KEYED 2.75"THK,I.S.</v>
          </cell>
          <cell r="C3158" t="str">
            <v>EA</v>
          </cell>
          <cell r="D3158" t="str">
            <v>MA100</v>
          </cell>
          <cell r="E3158">
            <v>416</v>
          </cell>
          <cell r="G3158">
            <v>208740</v>
          </cell>
        </row>
        <row r="3159">
          <cell r="A3159">
            <v>208741</v>
          </cell>
          <cell r="B3159" t="str">
            <v>LCK,SCHLG (ATHENS) KEYED 2.75"THK,O.S.</v>
          </cell>
          <cell r="C3159" t="str">
            <v>EA</v>
          </cell>
          <cell r="D3159" t="str">
            <v>MA100</v>
          </cell>
          <cell r="E3159">
            <v>416</v>
          </cell>
          <cell r="G3159">
            <v>208741</v>
          </cell>
        </row>
        <row r="3160">
          <cell r="A3160">
            <v>208744</v>
          </cell>
          <cell r="B3160" t="str">
            <v>LCK,SCHLG (RHODES) KEYED 2.75"THK,I.S.</v>
          </cell>
          <cell r="C3160" t="str">
            <v>EA</v>
          </cell>
          <cell r="D3160" t="str">
            <v>RM100</v>
          </cell>
          <cell r="E3160">
            <v>410</v>
          </cell>
          <cell r="G3160">
            <v>208744</v>
          </cell>
        </row>
        <row r="3161">
          <cell r="A3161">
            <v>208745</v>
          </cell>
          <cell r="B3161" t="str">
            <v>LCK,SCHLG (RHODES) KEYED 2.75"THK,O.S.</v>
          </cell>
          <cell r="C3161" t="str">
            <v>EA</v>
          </cell>
          <cell r="D3161" t="str">
            <v>RM100</v>
          </cell>
          <cell r="E3161">
            <v>410</v>
          </cell>
          <cell r="G3161">
            <v>208745</v>
          </cell>
        </row>
        <row r="3162">
          <cell r="A3162">
            <v>208746</v>
          </cell>
          <cell r="B3162" t="str">
            <v>LCK,SCHLG (SFIC LEVER) 2.75"THK,O.S</v>
          </cell>
          <cell r="C3162" t="str">
            <v>EA</v>
          </cell>
          <cell r="D3162" t="str">
            <v>MA100</v>
          </cell>
          <cell r="E3162">
            <v>450.75</v>
          </cell>
          <cell r="G3162">
            <v>208746</v>
          </cell>
        </row>
        <row r="3163">
          <cell r="A3163">
            <v>208747</v>
          </cell>
          <cell r="B3163" t="str">
            <v>LCK,SCHLG (SFIC LEVER) 2.75"THK,I.S.</v>
          </cell>
          <cell r="C3163" t="str">
            <v>EA</v>
          </cell>
          <cell r="D3163" t="str">
            <v>MA100</v>
          </cell>
          <cell r="E3163">
            <v>450.75</v>
          </cell>
          <cell r="G3163">
            <v>208747</v>
          </cell>
        </row>
        <row r="3164">
          <cell r="A3164">
            <v>208748</v>
          </cell>
          <cell r="B3164" t="str">
            <v>HNDL,LVR (SCHLG 03-200) SFIC,RHO,626</v>
          </cell>
          <cell r="C3164" t="str">
            <v>EA</v>
          </cell>
          <cell r="D3164" t="str">
            <v>MA100</v>
          </cell>
          <cell r="E3164">
            <v>67.7</v>
          </cell>
          <cell r="G3164">
            <v>208748</v>
          </cell>
        </row>
        <row r="3165">
          <cell r="A3165">
            <v>208749</v>
          </cell>
          <cell r="B3165" t="str">
            <v>HNDL,LVR (SCHLG#03-200) SFIC,ATH,626</v>
          </cell>
          <cell r="C3165" t="str">
            <v>EA</v>
          </cell>
          <cell r="D3165" t="str">
            <v>MA100</v>
          </cell>
          <cell r="E3165">
            <v>74.25</v>
          </cell>
          <cell r="G3165">
            <v>208749</v>
          </cell>
        </row>
        <row r="3166">
          <cell r="A3166">
            <v>208750</v>
          </cell>
          <cell r="B3166" t="str">
            <v>SCHLG, EXTENSION SLEEVE,#A501-567</v>
          </cell>
          <cell r="C3166" t="str">
            <v>EA</v>
          </cell>
          <cell r="D3166" t="str">
            <v>MA100</v>
          </cell>
          <cell r="E3166">
            <v>8</v>
          </cell>
          <cell r="G3166">
            <v>208750</v>
          </cell>
        </row>
        <row r="3167">
          <cell r="A3167">
            <v>208754</v>
          </cell>
          <cell r="B3167" t="str">
            <v>CVR,THRESHOLD ISOLATOR,4FT,EVO</v>
          </cell>
          <cell r="C3167" t="str">
            <v>EA</v>
          </cell>
          <cell r="D3167" t="str">
            <v>MA100</v>
          </cell>
          <cell r="E3167">
            <v>27.45</v>
          </cell>
          <cell r="G3167">
            <v>208754</v>
          </cell>
        </row>
        <row r="3168">
          <cell r="A3168">
            <v>208756</v>
          </cell>
          <cell r="B3168" t="str">
            <v>BASE,MANUAL RF SEAL,HNG SIDE,EVO</v>
          </cell>
          <cell r="C3168" t="str">
            <v>EA</v>
          </cell>
          <cell r="D3168" t="str">
            <v>RM100</v>
          </cell>
          <cell r="E3168">
            <v>20.54</v>
          </cell>
          <cell r="G3168">
            <v>208756</v>
          </cell>
        </row>
        <row r="3169">
          <cell r="A3169">
            <v>208757</v>
          </cell>
          <cell r="B3169" t="str">
            <v>BASE,4FT DOOR,MANUAL SEAL MECH,EVO</v>
          </cell>
          <cell r="C3169" t="str">
            <v>EA</v>
          </cell>
          <cell r="D3169" t="str">
            <v>RM100</v>
          </cell>
          <cell r="E3169">
            <v>213.74</v>
          </cell>
          <cell r="G3169">
            <v>208757</v>
          </cell>
        </row>
        <row r="3170">
          <cell r="A3170">
            <v>208758</v>
          </cell>
          <cell r="B3170" t="str">
            <v>BASE,MANUAL RF SEAL,LOCK SIDE,EVO</v>
          </cell>
          <cell r="C3170" t="str">
            <v>EA</v>
          </cell>
          <cell r="D3170" t="str">
            <v>RM100</v>
          </cell>
          <cell r="E3170">
            <v>16.55</v>
          </cell>
          <cell r="G3170">
            <v>208758</v>
          </cell>
        </row>
        <row r="3171">
          <cell r="A3171">
            <v>208764</v>
          </cell>
          <cell r="B3171" t="str">
            <v>PLYWOOD FILLER, 4FT, EVO</v>
          </cell>
          <cell r="C3171" t="str">
            <v>EA</v>
          </cell>
          <cell r="D3171" t="str">
            <v>MA100</v>
          </cell>
          <cell r="E3171">
            <v>42.26</v>
          </cell>
          <cell r="G3171">
            <v>208764</v>
          </cell>
        </row>
        <row r="3172">
          <cell r="A3172">
            <v>208766</v>
          </cell>
          <cell r="B3172" t="str">
            <v>HNDL,LVR (RHODES) NO CYLINDER HOLE</v>
          </cell>
          <cell r="C3172" t="str">
            <v>EA</v>
          </cell>
          <cell r="D3172" t="str">
            <v>MA100</v>
          </cell>
          <cell r="E3172">
            <v>75</v>
          </cell>
          <cell r="G3172">
            <v>208766</v>
          </cell>
        </row>
        <row r="3173">
          <cell r="A3173">
            <v>208767</v>
          </cell>
          <cell r="B3173" t="str">
            <v>HNDL,LVR (RHODES) W/ CYLINDER HOLE</v>
          </cell>
          <cell r="C3173" t="str">
            <v>EA</v>
          </cell>
          <cell r="D3173" t="str">
            <v>MA100</v>
          </cell>
          <cell r="E3173">
            <v>75</v>
          </cell>
          <cell r="G3173">
            <v>208767</v>
          </cell>
        </row>
        <row r="3174">
          <cell r="A3174">
            <v>208768</v>
          </cell>
          <cell r="B3174" t="str">
            <v>HNDL,LVR (ATHENS) NO CYLINDER HOLE</v>
          </cell>
          <cell r="C3174" t="str">
            <v>EA</v>
          </cell>
          <cell r="D3174" t="str">
            <v>MA100</v>
          </cell>
          <cell r="E3174">
            <v>75</v>
          </cell>
          <cell r="G3174">
            <v>208768</v>
          </cell>
        </row>
        <row r="3175">
          <cell r="A3175">
            <v>208769</v>
          </cell>
          <cell r="B3175" t="str">
            <v>HNDL,LVR (ATHENS) W/ CYLINDER HOLE</v>
          </cell>
          <cell r="C3175" t="str">
            <v>EA</v>
          </cell>
          <cell r="D3175" t="str">
            <v>MA100</v>
          </cell>
          <cell r="E3175">
            <v>75</v>
          </cell>
          <cell r="G3175">
            <v>208769</v>
          </cell>
        </row>
        <row r="3176">
          <cell r="A3176">
            <v>208772</v>
          </cell>
          <cell r="B3176" t="str">
            <v>CVR,JB RF AREA,LOCK SIDE,EVO</v>
          </cell>
          <cell r="C3176" t="str">
            <v>EA</v>
          </cell>
          <cell r="D3176" t="str">
            <v>RM100</v>
          </cell>
          <cell r="E3176">
            <v>23.19</v>
          </cell>
          <cell r="G3176">
            <v>208772</v>
          </cell>
        </row>
        <row r="3177">
          <cell r="A3177">
            <v>208773</v>
          </cell>
          <cell r="B3177" t="str">
            <v>BAR,RF SEAL HOLDER,JB,EVO</v>
          </cell>
          <cell r="C3177" t="str">
            <v>EA</v>
          </cell>
          <cell r="D3177" t="str">
            <v>RM100</v>
          </cell>
          <cell r="E3177">
            <v>4.16</v>
          </cell>
          <cell r="G3177">
            <v>208773</v>
          </cell>
        </row>
        <row r="3178">
          <cell r="A3178">
            <v>208781</v>
          </cell>
          <cell r="B3178" t="str">
            <v>STRIKE SUPPORT,EVO (DO NOT ORDER)</v>
          </cell>
          <cell r="C3178" t="str">
            <v>EA</v>
          </cell>
          <cell r="D3178" t="str">
            <v>RM100</v>
          </cell>
          <cell r="E3178">
            <v>40.46</v>
          </cell>
          <cell r="G3178">
            <v>208781</v>
          </cell>
        </row>
        <row r="3179">
          <cell r="A3179">
            <v>208782</v>
          </cell>
          <cell r="B3179" t="str">
            <v>STRIKE,SUPPORT,EVO,ONE PIECE</v>
          </cell>
          <cell r="C3179" t="str">
            <v>EA</v>
          </cell>
          <cell r="D3179" t="str">
            <v>RM100</v>
          </cell>
          <cell r="E3179">
            <v>23.26</v>
          </cell>
          <cell r="G3179">
            <v>208782</v>
          </cell>
        </row>
        <row r="3180">
          <cell r="A3180">
            <v>208783</v>
          </cell>
          <cell r="B3180" t="str">
            <v>STRIKE,EVO*** (DO NOT BUY)</v>
          </cell>
          <cell r="C3180" t="str">
            <v>EA</v>
          </cell>
          <cell r="D3180" t="str">
            <v>RM100</v>
          </cell>
          <cell r="E3180">
            <v>36.979999999999997</v>
          </cell>
          <cell r="G3180">
            <v>208783</v>
          </cell>
        </row>
        <row r="3181">
          <cell r="A3181">
            <v>208785</v>
          </cell>
          <cell r="B3181" t="str">
            <v>ASSY,STRIKE,MANUAL,EVO</v>
          </cell>
          <cell r="C3181" t="str">
            <v>EA</v>
          </cell>
          <cell r="D3181" t="str">
            <v>MA100</v>
          </cell>
          <cell r="E3181">
            <v>23.383600000000001</v>
          </cell>
          <cell r="G3181">
            <v>208785</v>
          </cell>
        </row>
        <row r="3182">
          <cell r="A3182">
            <v>208786</v>
          </cell>
          <cell r="B3182" t="str">
            <v>HOLDER, CONNECTOR, STRIKE,EVO</v>
          </cell>
          <cell r="C3182" t="str">
            <v>EA</v>
          </cell>
          <cell r="D3182" t="str">
            <v>MA100</v>
          </cell>
          <cell r="E3182">
            <v>7.05</v>
          </cell>
          <cell r="G3182">
            <v>208786</v>
          </cell>
        </row>
        <row r="3183">
          <cell r="A3183">
            <v>208793</v>
          </cell>
          <cell r="B3183" t="str">
            <v>NUT BAR, RF FILLER SIDE, EVO</v>
          </cell>
          <cell r="C3183" t="str">
            <v>EA</v>
          </cell>
          <cell r="D3183" t="str">
            <v>RM100</v>
          </cell>
          <cell r="E3183">
            <v>10.31279</v>
          </cell>
          <cell r="G3183">
            <v>208793</v>
          </cell>
        </row>
        <row r="3184">
          <cell r="A3184">
            <v>208794</v>
          </cell>
          <cell r="B3184" t="str">
            <v>LOCK, RF RING FOR EVO</v>
          </cell>
          <cell r="C3184" t="str">
            <v>EA</v>
          </cell>
          <cell r="D3184" t="str">
            <v>RM100</v>
          </cell>
          <cell r="E3184">
            <v>6.2544599999999999</v>
          </cell>
          <cell r="G3184">
            <v>208794</v>
          </cell>
        </row>
        <row r="3185">
          <cell r="A3185">
            <v>208799</v>
          </cell>
          <cell r="B3185" t="str">
            <v>OBSOLETE</v>
          </cell>
          <cell r="C3185" t="str">
            <v>EA</v>
          </cell>
          <cell r="D3185" t="str">
            <v>RM100</v>
          </cell>
          <cell r="E3185">
            <v>38.770000000000003</v>
          </cell>
          <cell r="G3185">
            <v>208799</v>
          </cell>
        </row>
        <row r="3186">
          <cell r="A3186">
            <v>208802</v>
          </cell>
          <cell r="B3186" t="str">
            <v>SPACER, 4FT DOOR MANUAL MECH,EVO</v>
          </cell>
          <cell r="C3186" t="str">
            <v>EA</v>
          </cell>
          <cell r="D3186" t="str">
            <v>RM100</v>
          </cell>
          <cell r="E3186">
            <v>11.64</v>
          </cell>
          <cell r="G3186">
            <v>208802</v>
          </cell>
        </row>
        <row r="3187">
          <cell r="A3187">
            <v>208809</v>
          </cell>
          <cell r="B3187" t="str">
            <v>EDGE GUARD,DOOR 4FT,EVO</v>
          </cell>
          <cell r="C3187" t="str">
            <v>EA</v>
          </cell>
          <cell r="D3187" t="str">
            <v>RM100</v>
          </cell>
          <cell r="E3187">
            <v>25.19</v>
          </cell>
          <cell r="G3187">
            <v>208809</v>
          </cell>
        </row>
        <row r="3188">
          <cell r="A3188" t="str">
            <v>208810-LH</v>
          </cell>
          <cell r="B3188" t="str">
            <v>PANEL,RF,INT, 2X2 WIN/PNL,DR 35",EVO,LH</v>
          </cell>
          <cell r="C3188" t="str">
            <v>EA</v>
          </cell>
          <cell r="D3188" t="str">
            <v>RM100</v>
          </cell>
          <cell r="E3188">
            <v>99.05</v>
          </cell>
          <cell r="G3188" t="str">
            <v>208810-LH</v>
          </cell>
        </row>
        <row r="3189">
          <cell r="A3189">
            <v>208811</v>
          </cell>
          <cell r="B3189" t="str">
            <v>PLYWOOD FILLER, 2X2 WIN/PANEL, 4FT, EVO</v>
          </cell>
          <cell r="C3189" t="str">
            <v>EA</v>
          </cell>
          <cell r="D3189" t="str">
            <v>MA100</v>
          </cell>
          <cell r="E3189">
            <v>0</v>
          </cell>
          <cell r="G3189">
            <v>208811</v>
          </cell>
        </row>
        <row r="3190">
          <cell r="A3190">
            <v>208812</v>
          </cell>
          <cell r="B3190" t="str">
            <v>MAYTEC FRAME, 2 X2 WIN/PANEL,35" NOM,EVO</v>
          </cell>
          <cell r="C3190" t="str">
            <v>EA</v>
          </cell>
          <cell r="D3190" t="str">
            <v>RM100</v>
          </cell>
          <cell r="E3190">
            <v>295.68</v>
          </cell>
          <cell r="G3190">
            <v>208812</v>
          </cell>
        </row>
        <row r="3191">
          <cell r="A3191" t="str">
            <v>208813-LH</v>
          </cell>
          <cell r="B3191" t="str">
            <v>PANEL MAIN,FRT, 2X2 WIN/PNL,35IN EVO,LH</v>
          </cell>
          <cell r="C3191" t="str">
            <v>EA</v>
          </cell>
          <cell r="D3191" t="str">
            <v>RM100</v>
          </cell>
          <cell r="E3191">
            <v>97.33</v>
          </cell>
          <cell r="G3191" t="str">
            <v>208813-LH</v>
          </cell>
        </row>
        <row r="3192">
          <cell r="A3192">
            <v>208817</v>
          </cell>
          <cell r="B3192" t="str">
            <v>RF, ACCESS PANEL SPACER</v>
          </cell>
          <cell r="C3192" t="str">
            <v>EA</v>
          </cell>
          <cell r="D3192" t="str">
            <v>MA100</v>
          </cell>
          <cell r="E3192">
            <v>14.67</v>
          </cell>
          <cell r="G3192">
            <v>208817</v>
          </cell>
        </row>
        <row r="3193">
          <cell r="A3193">
            <v>208818</v>
          </cell>
          <cell r="B3193" t="str">
            <v>ANGLE BRK, ACCESS PANEL 2'X2', EVO DR</v>
          </cell>
          <cell r="C3193" t="str">
            <v>EA</v>
          </cell>
          <cell r="D3193" t="str">
            <v>RM100</v>
          </cell>
          <cell r="E3193">
            <v>34.42</v>
          </cell>
          <cell r="G3193">
            <v>208818</v>
          </cell>
        </row>
        <row r="3194">
          <cell r="A3194">
            <v>208832</v>
          </cell>
          <cell r="B3194" t="str">
            <v>NUT,BAR,STL,1/4"x5/8"</v>
          </cell>
          <cell r="C3194" t="str">
            <v>EA</v>
          </cell>
          <cell r="D3194" t="str">
            <v>RM100</v>
          </cell>
          <cell r="E3194">
            <v>30.38</v>
          </cell>
          <cell r="G3194">
            <v>208832</v>
          </cell>
        </row>
        <row r="3195">
          <cell r="A3195">
            <v>208833</v>
          </cell>
          <cell r="B3195" t="str">
            <v>DROP SEAL,RF, LEGACY#362</v>
          </cell>
          <cell r="C3195" t="str">
            <v>EA</v>
          </cell>
          <cell r="D3195" t="str">
            <v>MA100</v>
          </cell>
          <cell r="E3195">
            <v>53.021659999999997</v>
          </cell>
          <cell r="G3195">
            <v>208833</v>
          </cell>
        </row>
        <row r="3196">
          <cell r="A3196" t="str">
            <v>208833-OP</v>
          </cell>
          <cell r="B3196" t="str">
            <v>DROP SEAL,RF, LEGACY#362 W/HOLE</v>
          </cell>
          <cell r="C3196" t="str">
            <v>EA</v>
          </cell>
          <cell r="D3196" t="str">
            <v>RM100</v>
          </cell>
          <cell r="E3196">
            <v>0</v>
          </cell>
          <cell r="G3196" t="str">
            <v>208833-OP</v>
          </cell>
        </row>
        <row r="3197">
          <cell r="A3197">
            <v>208834</v>
          </cell>
          <cell r="B3197" t="str">
            <v>HEADER,MOBIL,EVO</v>
          </cell>
          <cell r="C3197" t="str">
            <v>EA</v>
          </cell>
          <cell r="D3197" t="str">
            <v>RM100</v>
          </cell>
          <cell r="E3197">
            <v>80.87</v>
          </cell>
          <cell r="G3197">
            <v>208834</v>
          </cell>
        </row>
        <row r="3198">
          <cell r="A3198">
            <v>208835</v>
          </cell>
          <cell r="B3198" t="str">
            <v>THRESHOLD,35"CUSTOM,EVO</v>
          </cell>
          <cell r="C3198" t="str">
            <v>EA</v>
          </cell>
          <cell r="D3198" t="str">
            <v>RM100</v>
          </cell>
          <cell r="E3198">
            <v>51.88</v>
          </cell>
          <cell r="G3198">
            <v>208835</v>
          </cell>
        </row>
        <row r="3199">
          <cell r="A3199">
            <v>208836</v>
          </cell>
          <cell r="B3199" t="str">
            <v>OBSOLET,ASSY,JB HNG SIDE,MOBIL MAN EVO</v>
          </cell>
          <cell r="C3199" t="str">
            <v>EA</v>
          </cell>
          <cell r="D3199" t="str">
            <v>MA100</v>
          </cell>
          <cell r="E3199">
            <v>395.07960000000003</v>
          </cell>
          <cell r="G3199">
            <v>208836</v>
          </cell>
        </row>
        <row r="3200">
          <cell r="A3200">
            <v>208837</v>
          </cell>
          <cell r="B3200" t="str">
            <v>OBSOLETE,ASSY,JB LATCH SIDE,MOB MAN EVO</v>
          </cell>
          <cell r="C3200" t="str">
            <v>EA</v>
          </cell>
          <cell r="D3200" t="str">
            <v>MA100</v>
          </cell>
          <cell r="E3200">
            <v>349.82310000000001</v>
          </cell>
          <cell r="G3200">
            <v>208837</v>
          </cell>
        </row>
        <row r="3201">
          <cell r="A3201">
            <v>208838</v>
          </cell>
          <cell r="B3201" t="str">
            <v>BASE,THRESHOLD SUPPORT, MOBILE EVO</v>
          </cell>
          <cell r="C3201" t="str">
            <v>EA</v>
          </cell>
          <cell r="D3201" t="str">
            <v>RM100</v>
          </cell>
          <cell r="E3201">
            <v>41.98</v>
          </cell>
          <cell r="G3201">
            <v>208838</v>
          </cell>
        </row>
        <row r="3202">
          <cell r="A3202">
            <v>208839</v>
          </cell>
          <cell r="B3202" t="str">
            <v>CVR,THRESHOLD, MOBILE EVO</v>
          </cell>
          <cell r="C3202" t="str">
            <v>EA</v>
          </cell>
          <cell r="D3202" t="str">
            <v>RM100</v>
          </cell>
          <cell r="E3202">
            <v>36.119999999999997</v>
          </cell>
          <cell r="G3202">
            <v>208839</v>
          </cell>
        </row>
        <row r="3203">
          <cell r="A3203" t="str">
            <v>208840-LH</v>
          </cell>
          <cell r="B3203" t="str">
            <v>ASSM, LH IN EVO DR, W/WIN &amp; ACCESS PANEL</v>
          </cell>
          <cell r="C3203" t="str">
            <v>EA</v>
          </cell>
          <cell r="D3203" t="str">
            <v>MA100</v>
          </cell>
          <cell r="E3203">
            <v>3551.4425900000001</v>
          </cell>
          <cell r="G3203" t="str">
            <v>208840-LH</v>
          </cell>
        </row>
        <row r="3204">
          <cell r="A3204">
            <v>208841</v>
          </cell>
          <cell r="B3204" t="str">
            <v>ASSY,SEAL,MECH,MANUAL,35"CUST,EVO</v>
          </cell>
          <cell r="C3204" t="str">
            <v>EA</v>
          </cell>
          <cell r="D3204" t="str">
            <v>MA100</v>
          </cell>
          <cell r="E3204">
            <v>290.91950000000003</v>
          </cell>
          <cell r="G3204">
            <v>208841</v>
          </cell>
        </row>
        <row r="3205">
          <cell r="A3205">
            <v>208842</v>
          </cell>
          <cell r="B3205" t="str">
            <v>SEAL HOLDER,35" DOOR,EVO</v>
          </cell>
          <cell r="C3205" t="str">
            <v>EA</v>
          </cell>
          <cell r="D3205" t="str">
            <v>RM100</v>
          </cell>
          <cell r="E3205">
            <v>24.02</v>
          </cell>
          <cell r="G3205">
            <v>208842</v>
          </cell>
        </row>
        <row r="3206">
          <cell r="A3206">
            <v>208843</v>
          </cell>
          <cell r="B3206" t="str">
            <v>DROP SEAL, LEGACY, 33.50"L W/HOLES</v>
          </cell>
          <cell r="C3206" t="str">
            <v>EA</v>
          </cell>
          <cell r="D3206" t="str">
            <v>MA100</v>
          </cell>
          <cell r="E3206">
            <v>47.82</v>
          </cell>
          <cell r="G3206">
            <v>208843</v>
          </cell>
        </row>
        <row r="3207">
          <cell r="A3207" t="str">
            <v>208843-OP</v>
          </cell>
          <cell r="B3207" t="str">
            <v>DROP SEAL,RF, LEGA #362, 33.50"L,W/HOLES</v>
          </cell>
          <cell r="C3207" t="str">
            <v>EA</v>
          </cell>
          <cell r="D3207" t="str">
            <v>RM100</v>
          </cell>
          <cell r="E3207">
            <v>0</v>
          </cell>
          <cell r="G3207" t="str">
            <v>208843-OP</v>
          </cell>
        </row>
        <row r="3208">
          <cell r="A3208">
            <v>208844</v>
          </cell>
          <cell r="B3208" t="str">
            <v>SPACER, 35" DOOR MANUAL MECH,EVO</v>
          </cell>
          <cell r="C3208" t="str">
            <v>EA</v>
          </cell>
          <cell r="D3208" t="str">
            <v>RM100</v>
          </cell>
          <cell r="E3208">
            <v>37.770000000000003</v>
          </cell>
          <cell r="G3208">
            <v>208844</v>
          </cell>
        </row>
        <row r="3209">
          <cell r="A3209">
            <v>208845</v>
          </cell>
          <cell r="B3209" t="str">
            <v>DROP SEAL,LEGACY#362AA, 33.50"L NO HOLS</v>
          </cell>
          <cell r="C3209" t="str">
            <v>EA</v>
          </cell>
          <cell r="D3209" t="str">
            <v>RM100</v>
          </cell>
          <cell r="E3209">
            <v>47.82</v>
          </cell>
          <cell r="G3209">
            <v>208845</v>
          </cell>
        </row>
        <row r="3210">
          <cell r="A3210">
            <v>208846</v>
          </cell>
          <cell r="B3210" t="str">
            <v>CVR FLAT,THRESHOLD, 35" MOBILE EVO</v>
          </cell>
          <cell r="C3210" t="str">
            <v>EA</v>
          </cell>
          <cell r="D3210" t="str">
            <v>RM100</v>
          </cell>
          <cell r="E3210">
            <v>19.62</v>
          </cell>
          <cell r="G3210">
            <v>208846</v>
          </cell>
        </row>
        <row r="3211">
          <cell r="A3211">
            <v>208847</v>
          </cell>
          <cell r="B3211" t="str">
            <v>BASE,35" DOOR,MANUAL SEAL MECH,EVO</v>
          </cell>
          <cell r="C3211" t="str">
            <v>EA</v>
          </cell>
          <cell r="D3211" t="str">
            <v>RM100</v>
          </cell>
          <cell r="E3211">
            <v>97.99</v>
          </cell>
          <cell r="G3211">
            <v>208847</v>
          </cell>
        </row>
        <row r="3212">
          <cell r="A3212">
            <v>208848</v>
          </cell>
          <cell r="B3212" t="str">
            <v>CVR,BASE,35" DR SEAL MECHANISM,EVO</v>
          </cell>
          <cell r="C3212" t="str">
            <v>EA</v>
          </cell>
          <cell r="D3212" t="str">
            <v>RM100</v>
          </cell>
          <cell r="E3212">
            <v>38.020000000000003</v>
          </cell>
          <cell r="G3212">
            <v>208848</v>
          </cell>
        </row>
        <row r="3213">
          <cell r="A3213">
            <v>208849</v>
          </cell>
          <cell r="B3213" t="str">
            <v>EDGE GUARD,DOOR 35",EVO</v>
          </cell>
          <cell r="C3213" t="str">
            <v>EA</v>
          </cell>
          <cell r="D3213" t="str">
            <v>RM100</v>
          </cell>
          <cell r="E3213">
            <v>26.46</v>
          </cell>
          <cell r="G3213">
            <v>208849</v>
          </cell>
        </row>
        <row r="3214">
          <cell r="A3214">
            <v>208850</v>
          </cell>
          <cell r="B3214" t="str">
            <v>ASSY,BASE&amp;GUSS.MANL RF SEAL,HNG SIDE,EVO</v>
          </cell>
          <cell r="C3214" t="str">
            <v>EA</v>
          </cell>
          <cell r="D3214" t="str">
            <v>MA100</v>
          </cell>
          <cell r="E3214">
            <v>20.54</v>
          </cell>
          <cell r="G3214">
            <v>208850</v>
          </cell>
        </row>
        <row r="3215">
          <cell r="A3215">
            <v>208852</v>
          </cell>
          <cell r="B3215" t="str">
            <v>GUSSET, ALUM, MANUAL EVO</v>
          </cell>
          <cell r="C3215" t="str">
            <v>EA</v>
          </cell>
          <cell r="D3215" t="str">
            <v>RM100</v>
          </cell>
          <cell r="E3215">
            <v>1.29</v>
          </cell>
          <cell r="G3215">
            <v>208852</v>
          </cell>
        </row>
        <row r="3216">
          <cell r="A3216">
            <v>208853</v>
          </cell>
          <cell r="B3216" t="str">
            <v>DROP SEAL,LEGACY#362AA,46.5"L 50MM PLNGR</v>
          </cell>
          <cell r="C3216" t="str">
            <v>EA</v>
          </cell>
          <cell r="D3216" t="str">
            <v>RM100</v>
          </cell>
          <cell r="E3216">
            <v>53.021659999999997</v>
          </cell>
          <cell r="G3216">
            <v>208853</v>
          </cell>
        </row>
        <row r="3217">
          <cell r="A3217">
            <v>208854</v>
          </cell>
          <cell r="B3217" t="str">
            <v>PLUNGER,3/8 D,1/4-28THD,3-1/4"L</v>
          </cell>
          <cell r="C3217" t="str">
            <v>EA</v>
          </cell>
          <cell r="D3217" t="str">
            <v>RM100</v>
          </cell>
          <cell r="E3217">
            <v>21.71</v>
          </cell>
          <cell r="G3217">
            <v>208854</v>
          </cell>
        </row>
        <row r="3218">
          <cell r="A3218">
            <v>208855</v>
          </cell>
          <cell r="B3218" t="str">
            <v>ANGLE 100X100X30mm WIDE,MAYTEC</v>
          </cell>
          <cell r="C3218" t="str">
            <v>EA</v>
          </cell>
          <cell r="D3218" t="str">
            <v>RM100</v>
          </cell>
          <cell r="E3218">
            <v>10.050000000000001</v>
          </cell>
          <cell r="G3218">
            <v>208855</v>
          </cell>
        </row>
        <row r="3219">
          <cell r="A3219">
            <v>208857</v>
          </cell>
          <cell r="B3219" t="str">
            <v>ANGLE PANEL SUPPORT,ACCESS HATCH, EVO</v>
          </cell>
          <cell r="C3219" t="str">
            <v>EA</v>
          </cell>
          <cell r="D3219" t="str">
            <v>RM100</v>
          </cell>
          <cell r="E3219">
            <v>13.37</v>
          </cell>
          <cell r="G3219">
            <v>208857</v>
          </cell>
        </row>
        <row r="3220">
          <cell r="A3220">
            <v>208862</v>
          </cell>
          <cell r="B3220" t="str">
            <v>BRKT, PLUNGER, EVO</v>
          </cell>
          <cell r="C3220" t="str">
            <v>EA</v>
          </cell>
          <cell r="D3220" t="str">
            <v>MA100</v>
          </cell>
          <cell r="E3220">
            <v>5.85</v>
          </cell>
          <cell r="G3220">
            <v>208862</v>
          </cell>
        </row>
        <row r="3221">
          <cell r="A3221">
            <v>208863</v>
          </cell>
          <cell r="B3221" t="str">
            <v>ANGLE,PLUNGER ACTUATOR,EVO</v>
          </cell>
          <cell r="C3221" t="str">
            <v>EA</v>
          </cell>
          <cell r="D3221" t="str">
            <v>MA100</v>
          </cell>
          <cell r="E3221">
            <v>3.55</v>
          </cell>
          <cell r="G3221">
            <v>208863</v>
          </cell>
        </row>
        <row r="3222">
          <cell r="A3222">
            <v>208868</v>
          </cell>
          <cell r="B3222" t="str">
            <v>BRKT,FRAME,WINDOW,EVO,LONG SIDE</v>
          </cell>
          <cell r="C3222" t="str">
            <v>EA</v>
          </cell>
          <cell r="D3222" t="str">
            <v>RM100</v>
          </cell>
          <cell r="E3222">
            <v>46.38</v>
          </cell>
          <cell r="G3222">
            <v>208868</v>
          </cell>
        </row>
        <row r="3223">
          <cell r="A3223">
            <v>208869</v>
          </cell>
          <cell r="B3223" t="str">
            <v>BRKT,FRAME,WINDOW,EVO</v>
          </cell>
          <cell r="C3223" t="str">
            <v>EA</v>
          </cell>
          <cell r="D3223" t="str">
            <v>RM100</v>
          </cell>
          <cell r="E3223">
            <v>21.89</v>
          </cell>
          <cell r="G3223">
            <v>208869</v>
          </cell>
        </row>
        <row r="3224">
          <cell r="A3224">
            <v>208870</v>
          </cell>
          <cell r="B3224" t="str">
            <v>BRKT,FRAME,HATCH,EVO,LONG SIDE</v>
          </cell>
          <cell r="C3224" t="str">
            <v>EA</v>
          </cell>
          <cell r="D3224" t="str">
            <v>RM100</v>
          </cell>
          <cell r="E3224">
            <v>45.22</v>
          </cell>
          <cell r="G3224">
            <v>208870</v>
          </cell>
        </row>
        <row r="3225">
          <cell r="A3225">
            <v>208871</v>
          </cell>
          <cell r="B3225" t="str">
            <v>BRKT,FRAME,HATCH,EVO,SHORT SIDE</v>
          </cell>
          <cell r="C3225" t="str">
            <v>EA</v>
          </cell>
          <cell r="D3225" t="str">
            <v>RM100</v>
          </cell>
          <cell r="E3225">
            <v>26.58</v>
          </cell>
          <cell r="G3225">
            <v>208871</v>
          </cell>
        </row>
        <row r="3226">
          <cell r="A3226">
            <v>208872</v>
          </cell>
          <cell r="B3226" t="str">
            <v>HANDLE BASE,EVO - OBSOLETE***</v>
          </cell>
          <cell r="C3226" t="str">
            <v>EA</v>
          </cell>
          <cell r="D3226" t="str">
            <v>RM100</v>
          </cell>
          <cell r="E3226">
            <v>91.02</v>
          </cell>
          <cell r="G3226">
            <v>208872</v>
          </cell>
        </row>
        <row r="3227">
          <cell r="A3227">
            <v>208873</v>
          </cell>
          <cell r="B3227" t="str">
            <v>BRKT,FRAME,WINDOW,HANDLE,SPACER,EVO</v>
          </cell>
          <cell r="C3227" t="str">
            <v>EA</v>
          </cell>
          <cell r="D3227" t="str">
            <v>RM100</v>
          </cell>
          <cell r="E3227">
            <v>13.57</v>
          </cell>
          <cell r="G3227">
            <v>208873</v>
          </cell>
        </row>
        <row r="3228">
          <cell r="A3228">
            <v>208888</v>
          </cell>
          <cell r="B3228" t="str">
            <v>ROD,DROP SEAL,EVO</v>
          </cell>
          <cell r="C3228" t="str">
            <v>EA</v>
          </cell>
          <cell r="D3228" t="str">
            <v>RM100</v>
          </cell>
          <cell r="E3228">
            <v>6.88</v>
          </cell>
          <cell r="G3228">
            <v>208888</v>
          </cell>
        </row>
        <row r="3229">
          <cell r="A3229">
            <v>208893</v>
          </cell>
          <cell r="B3229" t="str">
            <v>SPACER,RF,HANDLE,EVO,AUST,WOOD</v>
          </cell>
          <cell r="C3229" t="str">
            <v>EA</v>
          </cell>
          <cell r="D3229" t="str">
            <v>MA100</v>
          </cell>
          <cell r="E3229">
            <v>29.925000000000001</v>
          </cell>
          <cell r="G3229">
            <v>208893</v>
          </cell>
        </row>
        <row r="3230">
          <cell r="A3230">
            <v>208894</v>
          </cell>
          <cell r="B3230" t="str">
            <v>KIT,INSTALL(CELL) FLR,EVO SINGLE DR</v>
          </cell>
          <cell r="C3230" t="str">
            <v>EA</v>
          </cell>
          <cell r="D3230" t="str">
            <v>MA100</v>
          </cell>
          <cell r="E3230">
            <v>312.32959</v>
          </cell>
          <cell r="G3230">
            <v>208894</v>
          </cell>
        </row>
        <row r="3231">
          <cell r="A3231" t="str">
            <v>208894-36</v>
          </cell>
          <cell r="B3231" t="str">
            <v>KIT,CELL FLR ADPTR,3FT,EVO,W/INSTL KIT</v>
          </cell>
          <cell r="C3231" t="str">
            <v>EA</v>
          </cell>
          <cell r="D3231" t="str">
            <v>MA100</v>
          </cell>
          <cell r="E3231">
            <v>225.8655</v>
          </cell>
          <cell r="G3231" t="str">
            <v>208894-36</v>
          </cell>
        </row>
        <row r="3232">
          <cell r="A3232">
            <v>208895</v>
          </cell>
          <cell r="B3232" t="str">
            <v>BASE,CELL FLOOR ADAPTER,4FT,EVO</v>
          </cell>
          <cell r="C3232" t="str">
            <v>EA</v>
          </cell>
          <cell r="D3232" t="str">
            <v>MA100</v>
          </cell>
          <cell r="E3232">
            <v>22.606909999999999</v>
          </cell>
          <cell r="G3232">
            <v>208895</v>
          </cell>
        </row>
        <row r="3233">
          <cell r="A3233">
            <v>208896</v>
          </cell>
          <cell r="B3233" t="str">
            <v>STRIP,CELL FLOOR ADAPTER,4FT,EVO</v>
          </cell>
          <cell r="C3233" t="str">
            <v>EA</v>
          </cell>
          <cell r="D3233" t="str">
            <v>MA100</v>
          </cell>
          <cell r="E3233">
            <v>12.177580000000001</v>
          </cell>
          <cell r="G3233">
            <v>208896</v>
          </cell>
        </row>
        <row r="3234">
          <cell r="A3234">
            <v>208898</v>
          </cell>
          <cell r="B3234" t="str">
            <v>BENT Z,PLUNGER ACTUATOR,EVO</v>
          </cell>
          <cell r="C3234" t="str">
            <v>EA</v>
          </cell>
          <cell r="D3234" t="str">
            <v>RM100</v>
          </cell>
          <cell r="E3234">
            <v>1.98</v>
          </cell>
          <cell r="G3234">
            <v>208898</v>
          </cell>
        </row>
        <row r="3235">
          <cell r="A3235">
            <v>208899</v>
          </cell>
          <cell r="B3235" t="str">
            <v>BRKT,SWITCH,OUTSWING EVO</v>
          </cell>
          <cell r="C3235" t="str">
            <v>EA</v>
          </cell>
          <cell r="D3235" t="str">
            <v>RM100</v>
          </cell>
          <cell r="E3235">
            <v>8.7779100000000003</v>
          </cell>
          <cell r="G3235">
            <v>208899</v>
          </cell>
        </row>
        <row r="3236">
          <cell r="A3236">
            <v>208906</v>
          </cell>
          <cell r="B3236" t="str">
            <v>PANEL, LAMINATE, iCT DOOR, LH,FULL</v>
          </cell>
          <cell r="C3236" t="str">
            <v>EA</v>
          </cell>
          <cell r="D3236" t="str">
            <v>RM100</v>
          </cell>
          <cell r="E3236">
            <v>246.33</v>
          </cell>
          <cell r="G3236">
            <v>208906</v>
          </cell>
        </row>
        <row r="3237">
          <cell r="A3237">
            <v>208911</v>
          </cell>
          <cell r="B3237" t="str">
            <v>CLMP TRIM,15.556</v>
          </cell>
          <cell r="C3237" t="str">
            <v>EA</v>
          </cell>
          <cell r="D3237" t="str">
            <v>MA100</v>
          </cell>
          <cell r="E3237">
            <v>92.886359999999996</v>
          </cell>
          <cell r="G3237">
            <v>208911</v>
          </cell>
        </row>
        <row r="3238">
          <cell r="A3238" t="str">
            <v>208911-OP</v>
          </cell>
          <cell r="B3238" t="str">
            <v>MACH,CLMP TRIM,20.556</v>
          </cell>
          <cell r="C3238" t="str">
            <v>EA</v>
          </cell>
          <cell r="D3238" t="str">
            <v>RM100</v>
          </cell>
          <cell r="E3238">
            <v>90.99</v>
          </cell>
          <cell r="G3238" t="str">
            <v>208911-OP</v>
          </cell>
        </row>
        <row r="3239">
          <cell r="A3239">
            <v>208912</v>
          </cell>
          <cell r="B3239" t="str">
            <v>PANEL,LAMINATE,ICT DOOR,LH,FULL</v>
          </cell>
          <cell r="C3239" t="str">
            <v>EA</v>
          </cell>
          <cell r="D3239" t="str">
            <v>MA100</v>
          </cell>
          <cell r="E3239">
            <v>376.78487999999999</v>
          </cell>
          <cell r="G3239">
            <v>208912</v>
          </cell>
        </row>
        <row r="3240">
          <cell r="A3240">
            <v>208913</v>
          </cell>
          <cell r="B3240" t="str">
            <v>PANEL,LEAD,ICT DOOR,RH FULL</v>
          </cell>
          <cell r="C3240" t="str">
            <v>EA</v>
          </cell>
          <cell r="D3240" t="str">
            <v>RM100</v>
          </cell>
          <cell r="E3240">
            <v>0</v>
          </cell>
          <cell r="G3240">
            <v>208913</v>
          </cell>
        </row>
        <row r="3241">
          <cell r="A3241">
            <v>208919</v>
          </cell>
          <cell r="B3241" t="str">
            <v>PANEL, LAMINATE, iCT DOOR, RH,FULL</v>
          </cell>
          <cell r="C3241" t="str">
            <v>EA</v>
          </cell>
          <cell r="D3241" t="str">
            <v>MA100</v>
          </cell>
          <cell r="E3241">
            <v>314.81894</v>
          </cell>
          <cell r="G3241">
            <v>208919</v>
          </cell>
        </row>
        <row r="3242">
          <cell r="A3242">
            <v>208940</v>
          </cell>
          <cell r="B3242" t="str">
            <v>DROP SEAL, ACOUS LEGACY#368AA W/ HOLE</v>
          </cell>
          <cell r="C3242" t="str">
            <v>EA</v>
          </cell>
          <cell r="D3242" t="str">
            <v>MA100</v>
          </cell>
          <cell r="E3242">
            <v>149.70400000000001</v>
          </cell>
          <cell r="G3242">
            <v>208940</v>
          </cell>
        </row>
        <row r="3243">
          <cell r="A3243" t="str">
            <v>208940-OP</v>
          </cell>
          <cell r="B3243" t="str">
            <v>DROP SEAL, ACOUS LEGACY#368AA W/ HOLE</v>
          </cell>
          <cell r="C3243" t="str">
            <v>EA</v>
          </cell>
          <cell r="D3243" t="str">
            <v>RM100</v>
          </cell>
          <cell r="E3243">
            <v>0</v>
          </cell>
          <cell r="G3243" t="str">
            <v>208940-OP</v>
          </cell>
        </row>
        <row r="3244">
          <cell r="A3244">
            <v>208941</v>
          </cell>
          <cell r="B3244" t="str">
            <v>DROP SEAL, ACOUS LEGACY#368AA W/O HOLE</v>
          </cell>
          <cell r="C3244" t="str">
            <v>EA</v>
          </cell>
          <cell r="D3244" t="str">
            <v>RM100</v>
          </cell>
          <cell r="E3244">
            <v>149.70400000000001</v>
          </cell>
          <cell r="G3244">
            <v>208941</v>
          </cell>
        </row>
        <row r="3245">
          <cell r="A3245">
            <v>208945</v>
          </cell>
          <cell r="B3245" t="str">
            <v>CLMP,TRIM,ICT</v>
          </cell>
          <cell r="C3245" t="str">
            <v>EA</v>
          </cell>
          <cell r="D3245" t="str">
            <v>MA100</v>
          </cell>
          <cell r="E3245">
            <v>128.83868000000001</v>
          </cell>
          <cell r="G3245">
            <v>208945</v>
          </cell>
        </row>
        <row r="3246">
          <cell r="A3246" t="str">
            <v>208945-OP</v>
          </cell>
          <cell r="B3246" t="str">
            <v>MACH,CLMP,TRIM,91.250</v>
          </cell>
          <cell r="C3246" t="str">
            <v>EA</v>
          </cell>
          <cell r="D3246" t="str">
            <v>RM100</v>
          </cell>
          <cell r="E3246">
            <v>122.49</v>
          </cell>
          <cell r="G3246" t="str">
            <v>208945-OP</v>
          </cell>
        </row>
        <row r="3247">
          <cell r="A3247">
            <v>208964</v>
          </cell>
          <cell r="B3247" t="str">
            <v>DROP SEAL, ACOUS LEGACY#368AA W/ HOLE</v>
          </cell>
          <cell r="C3247" t="str">
            <v>EA</v>
          </cell>
          <cell r="D3247" t="str">
            <v>MA100</v>
          </cell>
          <cell r="E3247">
            <v>149.70400000000001</v>
          </cell>
          <cell r="G3247">
            <v>208964</v>
          </cell>
        </row>
        <row r="3248">
          <cell r="A3248" t="str">
            <v>208964-OP</v>
          </cell>
          <cell r="B3248" t="str">
            <v>DROP SEAL, ACOUS LEGACY#368AA W/ HOLE</v>
          </cell>
          <cell r="C3248" t="str">
            <v>EA</v>
          </cell>
          <cell r="D3248" t="str">
            <v>RM100</v>
          </cell>
          <cell r="E3248">
            <v>0</v>
          </cell>
          <cell r="G3248" t="str">
            <v>208964-OP</v>
          </cell>
        </row>
        <row r="3249">
          <cell r="A3249">
            <v>208975</v>
          </cell>
          <cell r="B3249" t="str">
            <v>SUP,FOR CABLE CARIER</v>
          </cell>
          <cell r="C3249" t="str">
            <v>EA</v>
          </cell>
          <cell r="D3249" t="str">
            <v>RM100</v>
          </cell>
          <cell r="E3249">
            <v>28.33</v>
          </cell>
          <cell r="G3249">
            <v>208975</v>
          </cell>
        </row>
        <row r="3250">
          <cell r="A3250">
            <v>208990</v>
          </cell>
          <cell r="B3250" t="str">
            <v>COVER, LEFT STATIONARY, ICT</v>
          </cell>
          <cell r="C3250" t="str">
            <v>EA</v>
          </cell>
          <cell r="D3250" t="str">
            <v>RM100</v>
          </cell>
          <cell r="E3250">
            <v>136.55000000000001</v>
          </cell>
          <cell r="G3250">
            <v>208990</v>
          </cell>
        </row>
        <row r="3251">
          <cell r="A3251">
            <v>208991</v>
          </cell>
          <cell r="B3251" t="str">
            <v>COVER, RIGHT STATIONARY,ICT</v>
          </cell>
          <cell r="C3251" t="str">
            <v>EA</v>
          </cell>
          <cell r="D3251" t="str">
            <v>RM100</v>
          </cell>
          <cell r="E3251">
            <v>136.55000000000001</v>
          </cell>
          <cell r="G3251">
            <v>208991</v>
          </cell>
        </row>
        <row r="3252">
          <cell r="A3252">
            <v>208996</v>
          </cell>
          <cell r="B3252" t="str">
            <v>BELT, TIMING, #25 ATL 10/11130 M PAZ</v>
          </cell>
          <cell r="C3252" t="str">
            <v>EA</v>
          </cell>
          <cell r="D3252" t="str">
            <v>RM100</v>
          </cell>
          <cell r="E3252">
            <v>614.84</v>
          </cell>
          <cell r="G3252">
            <v>208996</v>
          </cell>
        </row>
        <row r="3253">
          <cell r="A3253" t="str">
            <v>209016-SS</v>
          </cell>
          <cell r="B3253" t="str">
            <v>CVR,TRIM,SIDE,LEAD,SS P4 for 209302</v>
          </cell>
          <cell r="C3253" t="str">
            <v>EA</v>
          </cell>
          <cell r="D3253" t="str">
            <v>RM100</v>
          </cell>
          <cell r="E3253">
            <v>38.44</v>
          </cell>
          <cell r="G3253" t="str">
            <v>209016-SS</v>
          </cell>
        </row>
        <row r="3254">
          <cell r="A3254">
            <v>209027</v>
          </cell>
          <cell r="B3254" t="str">
            <v>MANUAL, EVO, DOOR</v>
          </cell>
          <cell r="C3254" t="str">
            <v>EA</v>
          </cell>
          <cell r="D3254" t="str">
            <v>MA100</v>
          </cell>
          <cell r="E3254">
            <v>0</v>
          </cell>
          <cell r="G3254">
            <v>209027</v>
          </cell>
        </row>
        <row r="3255">
          <cell r="A3255">
            <v>209028</v>
          </cell>
          <cell r="B3255" t="str">
            <v>MANUAL, MRDS, DOOR</v>
          </cell>
          <cell r="C3255" t="str">
            <v>EA</v>
          </cell>
          <cell r="D3255" t="str">
            <v>MA100</v>
          </cell>
          <cell r="E3255">
            <v>0</v>
          </cell>
          <cell r="G3255">
            <v>209028</v>
          </cell>
        </row>
        <row r="3256">
          <cell r="A3256">
            <v>209250</v>
          </cell>
          <cell r="B3256" t="str">
            <v>ABRASION, RESISTANT, SLEEVING (100' RL)</v>
          </cell>
          <cell r="C3256" t="str">
            <v>FT</v>
          </cell>
          <cell r="D3256" t="str">
            <v>MA100</v>
          </cell>
          <cell r="E3256">
            <v>0.51729999999999998</v>
          </cell>
          <cell r="G3256">
            <v>209250</v>
          </cell>
        </row>
        <row r="3257">
          <cell r="A3257">
            <v>209406</v>
          </cell>
          <cell r="B3257" t="str">
            <v>ASSY,BLADDER, DR TOP&amp;BTM RF SEAL</v>
          </cell>
          <cell r="C3257" t="str">
            <v>EA</v>
          </cell>
          <cell r="D3257" t="str">
            <v>MA100</v>
          </cell>
          <cell r="E3257">
            <v>156.46360000000001</v>
          </cell>
          <cell r="G3257">
            <v>209406</v>
          </cell>
        </row>
        <row r="3258">
          <cell r="A3258">
            <v>209419</v>
          </cell>
          <cell r="B3258" t="str">
            <v>DWG.INFO,ASSY,BLDR, DR TOP&amp;BTM RF SEAL</v>
          </cell>
          <cell r="C3258" t="str">
            <v>EA</v>
          </cell>
          <cell r="D3258" t="str">
            <v>MA100</v>
          </cell>
          <cell r="E3258">
            <v>0</v>
          </cell>
          <cell r="G3258">
            <v>209419</v>
          </cell>
        </row>
        <row r="3259">
          <cell r="A3259" t="str">
            <v>209420-L</v>
          </cell>
          <cell r="B3259" t="str">
            <v>DWG,INFO,ASSM,DR,FRM &amp; SKIN FOR 207532-L</v>
          </cell>
          <cell r="C3259" t="str">
            <v>EA</v>
          </cell>
          <cell r="D3259" t="str">
            <v>MA100</v>
          </cell>
          <cell r="E3259">
            <v>0</v>
          </cell>
          <cell r="G3259" t="str">
            <v>209420-L</v>
          </cell>
        </row>
        <row r="3260">
          <cell r="A3260">
            <v>209421</v>
          </cell>
          <cell r="B3260" t="str">
            <v>DWG,INFO,ASSY,JMB &amp; THSHLD,SNGL SLIDE DR</v>
          </cell>
          <cell r="C3260" t="str">
            <v>EA</v>
          </cell>
          <cell r="D3260" t="str">
            <v>MA100</v>
          </cell>
          <cell r="E3260">
            <v>0</v>
          </cell>
          <cell r="G3260">
            <v>209421</v>
          </cell>
        </row>
        <row r="3261">
          <cell r="A3261">
            <v>209422</v>
          </cell>
          <cell r="B3261" t="str">
            <v>DWG,INFO,ASSY,BRG,BLOCK,THRESHOLD</v>
          </cell>
          <cell r="C3261" t="str">
            <v>EA</v>
          </cell>
          <cell r="D3261" t="str">
            <v>MA100</v>
          </cell>
          <cell r="E3261">
            <v>0</v>
          </cell>
          <cell r="G3261">
            <v>209422</v>
          </cell>
        </row>
        <row r="3262">
          <cell r="A3262">
            <v>209423</v>
          </cell>
          <cell r="B3262" t="str">
            <v>DWG,INFO,ASSY,REDI-RAIL</v>
          </cell>
          <cell r="C3262" t="str">
            <v>EA</v>
          </cell>
          <cell r="D3262" t="str">
            <v>MA100</v>
          </cell>
          <cell r="E3262">
            <v>0</v>
          </cell>
          <cell r="G3262">
            <v>209423</v>
          </cell>
        </row>
        <row r="3263">
          <cell r="A3263">
            <v>209425</v>
          </cell>
          <cell r="B3263" t="str">
            <v>DWG,INFO,ASSY,FLIP HANDLE,SLDG DOOR</v>
          </cell>
          <cell r="C3263" t="str">
            <v>EA</v>
          </cell>
          <cell r="D3263" t="str">
            <v>MA100</v>
          </cell>
          <cell r="E3263">
            <v>0</v>
          </cell>
          <cell r="G3263">
            <v>209425</v>
          </cell>
        </row>
        <row r="3264">
          <cell r="A3264">
            <v>209426</v>
          </cell>
          <cell r="B3264" t="str">
            <v>DWG,INFO,ASSY,TOP &amp; BOTTOM RF SEAL</v>
          </cell>
          <cell r="C3264" t="str">
            <v>EA</v>
          </cell>
          <cell r="D3264" t="str">
            <v>MA100</v>
          </cell>
          <cell r="E3264">
            <v>0</v>
          </cell>
          <cell r="G3264">
            <v>209426</v>
          </cell>
        </row>
        <row r="3265">
          <cell r="A3265">
            <v>209427</v>
          </cell>
          <cell r="B3265" t="str">
            <v>DWG,INFO,ASSY,BLOCK,DR.ALIGNMENT</v>
          </cell>
          <cell r="C3265" t="str">
            <v>EA</v>
          </cell>
          <cell r="D3265" t="str">
            <v>MA100</v>
          </cell>
          <cell r="E3265">
            <v>0</v>
          </cell>
          <cell r="G3265">
            <v>209427</v>
          </cell>
        </row>
        <row r="3266">
          <cell r="A3266" t="str">
            <v>209427-R-CCA</v>
          </cell>
          <cell r="B3266" t="str">
            <v>DWG,INFO,ASSY,BLK,DR.ALIGMNT,RH,CLR ANDZ</v>
          </cell>
          <cell r="C3266" t="str">
            <v>EA</v>
          </cell>
          <cell r="D3266" t="str">
            <v>MA100</v>
          </cell>
          <cell r="E3266">
            <v>0</v>
          </cell>
          <cell r="G3266" t="str">
            <v>209427-R-CCA</v>
          </cell>
        </row>
        <row r="3267">
          <cell r="A3267">
            <v>209428</v>
          </cell>
          <cell r="B3267" t="str">
            <v>DWG,INFO,ASSY,HDR &amp; RAIL,SLDG</v>
          </cell>
          <cell r="C3267" t="str">
            <v>EA</v>
          </cell>
          <cell r="D3267" t="str">
            <v>MA100</v>
          </cell>
          <cell r="E3267">
            <v>0</v>
          </cell>
          <cell r="G3267">
            <v>209428</v>
          </cell>
        </row>
        <row r="3268">
          <cell r="A3268">
            <v>209430</v>
          </cell>
          <cell r="B3268" t="str">
            <v>DWG,INFO,ASSY,PRESSURE BAR PLT,TOP&amp;BTM</v>
          </cell>
          <cell r="C3268" t="str">
            <v>EA</v>
          </cell>
          <cell r="D3268" t="str">
            <v>MA100</v>
          </cell>
          <cell r="E3268">
            <v>0</v>
          </cell>
          <cell r="G3268">
            <v>209430</v>
          </cell>
        </row>
        <row r="3269">
          <cell r="A3269">
            <v>209431</v>
          </cell>
          <cell r="B3269" t="str">
            <v>DWG,INFO,ASSY,JAMB &amp; RF SEALS</v>
          </cell>
          <cell r="C3269" t="str">
            <v>EA</v>
          </cell>
          <cell r="D3269" t="str">
            <v>FG054</v>
          </cell>
          <cell r="E3269">
            <v>0</v>
          </cell>
          <cell r="G3269">
            <v>209431</v>
          </cell>
        </row>
        <row r="3270">
          <cell r="A3270">
            <v>209577</v>
          </cell>
          <cell r="B3270" t="str">
            <v>DRAWING,PNEU SCHEMATIC for 207577</v>
          </cell>
          <cell r="C3270" t="str">
            <v>EA</v>
          </cell>
          <cell r="D3270" t="str">
            <v>RM100</v>
          </cell>
          <cell r="E3270">
            <v>0</v>
          </cell>
          <cell r="G3270">
            <v>209577</v>
          </cell>
        </row>
        <row r="3271">
          <cell r="A3271">
            <v>210012</v>
          </cell>
          <cell r="B3271" t="str">
            <v>OBSOLETE</v>
          </cell>
          <cell r="C3271" t="str">
            <v>EA</v>
          </cell>
          <cell r="D3271" t="str">
            <v>MA100</v>
          </cell>
          <cell r="E3271">
            <v>13.4</v>
          </cell>
          <cell r="G3271">
            <v>210012</v>
          </cell>
        </row>
        <row r="3272">
          <cell r="A3272">
            <v>210122</v>
          </cell>
          <cell r="B3272" t="str">
            <v>INDUST. FIBER OPTICS, SH4001</v>
          </cell>
          <cell r="C3272" t="str">
            <v>FT</v>
          </cell>
          <cell r="D3272" t="str">
            <v>RM100</v>
          </cell>
          <cell r="E3272">
            <v>0.42926999999999998</v>
          </cell>
          <cell r="G3272">
            <v>210122</v>
          </cell>
        </row>
        <row r="3273">
          <cell r="A3273">
            <v>210123</v>
          </cell>
          <cell r="B3273" t="str">
            <v>OBSOLETE</v>
          </cell>
          <cell r="C3273" t="str">
            <v>EA</v>
          </cell>
          <cell r="D3273" t="str">
            <v>MA100</v>
          </cell>
          <cell r="E3273">
            <v>2142.42389</v>
          </cell>
          <cell r="G3273">
            <v>210123</v>
          </cell>
        </row>
        <row r="3274">
          <cell r="A3274">
            <v>210125</v>
          </cell>
          <cell r="B3274" t="str">
            <v>ASSY,DOOR LEAF,36",EVO, W/.056 SIL STL</v>
          </cell>
          <cell r="C3274" t="str">
            <v>EA</v>
          </cell>
          <cell r="D3274" t="str">
            <v>MA100</v>
          </cell>
          <cell r="E3274">
            <v>1408.80124</v>
          </cell>
          <cell r="G3274">
            <v>210125</v>
          </cell>
        </row>
        <row r="3275">
          <cell r="A3275">
            <v>210126</v>
          </cell>
          <cell r="B3275" t="str">
            <v>ASSY,DOOR LEAF,36",EVO</v>
          </cell>
          <cell r="C3275" t="str">
            <v>EA</v>
          </cell>
          <cell r="D3275" t="str">
            <v>MA100</v>
          </cell>
          <cell r="E3275">
            <v>1285.1357599999999</v>
          </cell>
          <cell r="G3275">
            <v>210126</v>
          </cell>
        </row>
        <row r="3276">
          <cell r="A3276">
            <v>210127</v>
          </cell>
          <cell r="B3276" t="str">
            <v>ASSY,DOOR LEAF,42",EVO, W/.056 SIL STL</v>
          </cell>
          <cell r="C3276" t="str">
            <v>EA</v>
          </cell>
          <cell r="D3276" t="str">
            <v>MA100</v>
          </cell>
          <cell r="E3276">
            <v>1301.78324</v>
          </cell>
          <cell r="G3276">
            <v>210127</v>
          </cell>
        </row>
        <row r="3277">
          <cell r="A3277">
            <v>210499</v>
          </cell>
          <cell r="B3277" t="str">
            <v>KIT,EVO,INSTALL,UNIVERSAL</v>
          </cell>
          <cell r="C3277" t="str">
            <v>EA</v>
          </cell>
          <cell r="D3277" t="str">
            <v>MA100</v>
          </cell>
          <cell r="E3277">
            <v>229.95839000000001</v>
          </cell>
          <cell r="G3277">
            <v>210499</v>
          </cell>
        </row>
        <row r="3278">
          <cell r="A3278">
            <v>210500</v>
          </cell>
          <cell r="B3278" t="str">
            <v>KIT, INSTALLATION HARDWARE,EVO</v>
          </cell>
          <cell r="C3278" t="str">
            <v>EA</v>
          </cell>
          <cell r="D3278" t="str">
            <v>MA100</v>
          </cell>
          <cell r="E3278">
            <v>95.203199999999995</v>
          </cell>
          <cell r="G3278">
            <v>210500</v>
          </cell>
        </row>
        <row r="3279">
          <cell r="A3279">
            <v>210501</v>
          </cell>
          <cell r="B3279" t="str">
            <v>ASSY,T&amp;B,DROP SEAL, REPLACE KIT,EVO 4'-0</v>
          </cell>
          <cell r="C3279" t="str">
            <v>EA</v>
          </cell>
          <cell r="D3279" t="str">
            <v>MA100</v>
          </cell>
          <cell r="E3279">
            <v>600.87266</v>
          </cell>
          <cell r="G3279">
            <v>210501</v>
          </cell>
        </row>
        <row r="3280">
          <cell r="A3280">
            <v>210503</v>
          </cell>
          <cell r="B3280" t="str">
            <v>HOLDER,DROP SEAL,EVO</v>
          </cell>
          <cell r="C3280" t="str">
            <v>EA</v>
          </cell>
          <cell r="D3280" t="str">
            <v>RM100</v>
          </cell>
          <cell r="E3280">
            <v>12.37</v>
          </cell>
          <cell r="G3280">
            <v>210503</v>
          </cell>
        </row>
        <row r="3281">
          <cell r="A3281">
            <v>210504</v>
          </cell>
          <cell r="B3281" t="str">
            <v>DROP BAR,DROP SEAL,EVO</v>
          </cell>
          <cell r="C3281" t="str">
            <v>EA</v>
          </cell>
          <cell r="D3281" t="str">
            <v>RM100</v>
          </cell>
          <cell r="E3281">
            <v>6.98</v>
          </cell>
          <cell r="G3281">
            <v>210504</v>
          </cell>
        </row>
        <row r="3282">
          <cell r="A3282">
            <v>210505</v>
          </cell>
          <cell r="B3282" t="str">
            <v>TRIM,DR LF,HNG,EVO-LIGHT</v>
          </cell>
          <cell r="C3282" t="str">
            <v>EA</v>
          </cell>
          <cell r="D3282" t="str">
            <v>RM100</v>
          </cell>
          <cell r="E3282">
            <v>66.72</v>
          </cell>
          <cell r="G3282">
            <v>210505</v>
          </cell>
        </row>
        <row r="3283">
          <cell r="A3283">
            <v>210506</v>
          </cell>
          <cell r="B3283" t="str">
            <v>TRIM,DR LF,LOCK SIDE,EVO-LIGHT</v>
          </cell>
          <cell r="C3283" t="str">
            <v>EA</v>
          </cell>
          <cell r="D3283" t="str">
            <v>RM100</v>
          </cell>
          <cell r="E3283">
            <v>58.98</v>
          </cell>
          <cell r="G3283">
            <v>210506</v>
          </cell>
        </row>
        <row r="3284">
          <cell r="A3284">
            <v>210507</v>
          </cell>
          <cell r="B3284" t="str">
            <v>SPACER,DR LF,LOCK SIDE,EVO-LIGHT</v>
          </cell>
          <cell r="C3284" t="str">
            <v>EA</v>
          </cell>
          <cell r="D3284" t="str">
            <v>RM100</v>
          </cell>
          <cell r="E3284">
            <v>46.88</v>
          </cell>
          <cell r="G3284">
            <v>210507</v>
          </cell>
        </row>
        <row r="3285">
          <cell r="A3285">
            <v>210508</v>
          </cell>
          <cell r="B3285" t="str">
            <v>SPACER,DR LF,HINGE SIDE,EVO-LIGHT</v>
          </cell>
          <cell r="C3285" t="str">
            <v>EA</v>
          </cell>
          <cell r="D3285" t="str">
            <v>RM100</v>
          </cell>
          <cell r="E3285">
            <v>47.87</v>
          </cell>
          <cell r="G3285">
            <v>210508</v>
          </cell>
        </row>
        <row r="3286">
          <cell r="A3286">
            <v>210509</v>
          </cell>
          <cell r="B3286" t="str">
            <v>SEAL HOLDER,4FT DR,EVO-LIGHT</v>
          </cell>
          <cell r="C3286" t="str">
            <v>EA</v>
          </cell>
          <cell r="D3286" t="str">
            <v>RM100</v>
          </cell>
          <cell r="E3286">
            <v>16</v>
          </cell>
          <cell r="G3286">
            <v>210509</v>
          </cell>
        </row>
        <row r="3287">
          <cell r="A3287">
            <v>210510</v>
          </cell>
          <cell r="B3287" t="str">
            <v>DOOR CORE,EVO,4FT, MANUAL</v>
          </cell>
          <cell r="C3287" t="str">
            <v>EA</v>
          </cell>
          <cell r="D3287" t="str">
            <v>MA100</v>
          </cell>
          <cell r="E3287">
            <v>199.07499999999999</v>
          </cell>
          <cell r="G3287">
            <v>210510</v>
          </cell>
        </row>
        <row r="3288">
          <cell r="A3288" t="str">
            <v>210510-36</v>
          </cell>
          <cell r="B3288" t="str">
            <v>DOOR CORE,EVO,3FT, MANUAL</v>
          </cell>
          <cell r="C3288" t="str">
            <v>EA</v>
          </cell>
          <cell r="D3288" t="str">
            <v>MA100</v>
          </cell>
          <cell r="E3288">
            <v>199.07499999999999</v>
          </cell>
          <cell r="G3288" t="str">
            <v>210510-36</v>
          </cell>
        </row>
        <row r="3289">
          <cell r="A3289">
            <v>210511</v>
          </cell>
          <cell r="B3289" t="str">
            <v>EDGE GUARD,DOOR 4FT,EVO-LIGHT</v>
          </cell>
          <cell r="C3289" t="str">
            <v>EA</v>
          </cell>
          <cell r="D3289" t="str">
            <v>RM100</v>
          </cell>
          <cell r="E3289">
            <v>9.33</v>
          </cell>
          <cell r="G3289">
            <v>210511</v>
          </cell>
        </row>
        <row r="3290">
          <cell r="A3290">
            <v>210512</v>
          </cell>
          <cell r="B3290" t="str">
            <v>MAIN BASE ANGLE,DROP SEAL,EVO</v>
          </cell>
          <cell r="C3290" t="str">
            <v>EA</v>
          </cell>
          <cell r="D3290" t="str">
            <v>RM100</v>
          </cell>
          <cell r="E3290">
            <v>22.92</v>
          </cell>
          <cell r="G3290">
            <v>210512</v>
          </cell>
        </row>
        <row r="3291">
          <cell r="A3291">
            <v>210513</v>
          </cell>
          <cell r="B3291" t="str">
            <v>STEP SPACER,DROP SEAL,EVO</v>
          </cell>
          <cell r="C3291" t="str">
            <v>EA</v>
          </cell>
          <cell r="D3291" t="str">
            <v>RM100</v>
          </cell>
          <cell r="E3291">
            <v>35.020000000000003</v>
          </cell>
          <cell r="G3291">
            <v>210513</v>
          </cell>
        </row>
        <row r="3292">
          <cell r="A3292">
            <v>210514</v>
          </cell>
          <cell r="B3292" t="str">
            <v>ASSY,DROP SEAL,4FT,EVO</v>
          </cell>
          <cell r="C3292" t="str">
            <v>EA</v>
          </cell>
          <cell r="D3292" t="str">
            <v>MA100</v>
          </cell>
          <cell r="E3292">
            <v>268.91897999999998</v>
          </cell>
          <cell r="G3292">
            <v>210514</v>
          </cell>
        </row>
        <row r="3293">
          <cell r="A3293">
            <v>210516</v>
          </cell>
          <cell r="B3293" t="str">
            <v>JAMB HEADER, 36-inch, EVO</v>
          </cell>
          <cell r="C3293" t="str">
            <v>EA</v>
          </cell>
          <cell r="D3293" t="str">
            <v>RM100</v>
          </cell>
          <cell r="E3293">
            <v>98.81</v>
          </cell>
          <cell r="G3293">
            <v>210516</v>
          </cell>
        </row>
        <row r="3294">
          <cell r="A3294">
            <v>210517</v>
          </cell>
          <cell r="B3294" t="str">
            <v>THRESHOLD,36",EVO-do not buy, use 208738</v>
          </cell>
          <cell r="C3294" t="str">
            <v>EA</v>
          </cell>
          <cell r="D3294" t="str">
            <v>RM100</v>
          </cell>
          <cell r="E3294">
            <v>88.77</v>
          </cell>
          <cell r="G3294">
            <v>210517</v>
          </cell>
        </row>
        <row r="3295">
          <cell r="A3295">
            <v>210518</v>
          </cell>
          <cell r="B3295" t="str">
            <v>ASSY,DOOR LEAF KIT,36",Maytec,EVO-40</v>
          </cell>
          <cell r="C3295" t="str">
            <v>EA</v>
          </cell>
          <cell r="D3295" t="str">
            <v>RM100</v>
          </cell>
          <cell r="E3295">
            <v>336.63</v>
          </cell>
          <cell r="G3295">
            <v>210518</v>
          </cell>
        </row>
        <row r="3296">
          <cell r="A3296">
            <v>210519</v>
          </cell>
          <cell r="B3296" t="str">
            <v>PANEL,FRONTL,DOOR 36",EVO</v>
          </cell>
          <cell r="C3296" t="str">
            <v>EA</v>
          </cell>
          <cell r="D3296" t="str">
            <v>RM100</v>
          </cell>
          <cell r="E3296">
            <v>150.86000000000001</v>
          </cell>
          <cell r="G3296">
            <v>210519</v>
          </cell>
        </row>
        <row r="3297">
          <cell r="A3297">
            <v>210520</v>
          </cell>
          <cell r="B3297" t="str">
            <v>PANEL,RF,INTERNAL,DOOR 36",EVO</v>
          </cell>
          <cell r="C3297" t="str">
            <v>EA</v>
          </cell>
          <cell r="D3297" t="str">
            <v>RM100</v>
          </cell>
          <cell r="E3297">
            <v>132.25</v>
          </cell>
          <cell r="G3297">
            <v>210520</v>
          </cell>
        </row>
        <row r="3298">
          <cell r="A3298">
            <v>210521</v>
          </cell>
          <cell r="B3298" t="str">
            <v>PANEL,SILICON STEEL, 36" E.V.O</v>
          </cell>
          <cell r="C3298" t="str">
            <v>EA</v>
          </cell>
          <cell r="D3298" t="str">
            <v>MA100</v>
          </cell>
          <cell r="E3298">
            <v>16.758900000000001</v>
          </cell>
          <cell r="G3298">
            <v>210521</v>
          </cell>
        </row>
        <row r="3299">
          <cell r="A3299">
            <v>210523</v>
          </cell>
          <cell r="B3299" t="str">
            <v>EDGE GUARD,DOOR 36",EVO</v>
          </cell>
          <cell r="C3299" t="str">
            <v>EA</v>
          </cell>
          <cell r="D3299" t="str">
            <v>RM100</v>
          </cell>
          <cell r="E3299">
            <v>31.17</v>
          </cell>
          <cell r="G3299">
            <v>210523</v>
          </cell>
        </row>
        <row r="3300">
          <cell r="A3300">
            <v>210524</v>
          </cell>
          <cell r="B3300" t="str">
            <v>NUT,BAR,STL,1/4"x5/8"</v>
          </cell>
          <cell r="C3300" t="str">
            <v>EA</v>
          </cell>
          <cell r="D3300" t="str">
            <v>RM100</v>
          </cell>
          <cell r="E3300">
            <v>25.49</v>
          </cell>
          <cell r="G3300">
            <v>210524</v>
          </cell>
        </row>
        <row r="3301">
          <cell r="A3301">
            <v>210525</v>
          </cell>
          <cell r="B3301" t="str">
            <v>SEAL,RF,BOTM/TOP 3FT,EVO(do not order)</v>
          </cell>
          <cell r="C3301" t="str">
            <v>EA</v>
          </cell>
          <cell r="D3301" t="str">
            <v>FG055</v>
          </cell>
          <cell r="E3301">
            <v>33.85</v>
          </cell>
          <cell r="G3301">
            <v>210525</v>
          </cell>
        </row>
        <row r="3302">
          <cell r="A3302">
            <v>210526</v>
          </cell>
          <cell r="B3302" t="str">
            <v>SEAL HOLDER,36" DR,EVO</v>
          </cell>
          <cell r="C3302" t="str">
            <v>EA</v>
          </cell>
          <cell r="D3302" t="str">
            <v>RM100</v>
          </cell>
          <cell r="E3302">
            <v>14.39</v>
          </cell>
          <cell r="G3302">
            <v>210526</v>
          </cell>
        </row>
        <row r="3303">
          <cell r="A3303">
            <v>210527</v>
          </cell>
          <cell r="B3303" t="str">
            <v>BASE,36" DOOR,MANUAL SEAL MECH,EVO</v>
          </cell>
          <cell r="C3303" t="str">
            <v>EA</v>
          </cell>
          <cell r="D3303" t="str">
            <v>RM100</v>
          </cell>
          <cell r="E3303">
            <v>161.75</v>
          </cell>
          <cell r="G3303">
            <v>210527</v>
          </cell>
        </row>
        <row r="3304">
          <cell r="A3304">
            <v>210528</v>
          </cell>
          <cell r="B3304" t="str">
            <v>ASSY,SEAL DOOR MECHANISM,MANUAL,36",EVO</v>
          </cell>
          <cell r="C3304" t="str">
            <v>EA</v>
          </cell>
          <cell r="D3304" t="str">
            <v>MA100</v>
          </cell>
          <cell r="E3304">
            <v>335.7079</v>
          </cell>
          <cell r="G3304">
            <v>210528</v>
          </cell>
        </row>
        <row r="3305">
          <cell r="A3305">
            <v>210529</v>
          </cell>
          <cell r="B3305" t="str">
            <v>SPACER, 36" DOOR MANUAL MECH,EVO</v>
          </cell>
          <cell r="C3305" t="str">
            <v>EA</v>
          </cell>
          <cell r="D3305" t="str">
            <v>RM100</v>
          </cell>
          <cell r="E3305">
            <v>14.39</v>
          </cell>
          <cell r="G3305">
            <v>210529</v>
          </cell>
        </row>
        <row r="3306">
          <cell r="A3306">
            <v>210531</v>
          </cell>
          <cell r="B3306" t="str">
            <v>DROP SEAL,RF, LEGACY#362</v>
          </cell>
          <cell r="C3306" t="str">
            <v>EA</v>
          </cell>
          <cell r="D3306" t="str">
            <v>MA100</v>
          </cell>
          <cell r="E3306">
            <v>0</v>
          </cell>
          <cell r="G3306">
            <v>210531</v>
          </cell>
        </row>
        <row r="3307">
          <cell r="A3307">
            <v>210532</v>
          </cell>
          <cell r="B3307" t="str">
            <v>CVR,BASE,36" DR SEAL MECHANISM,EVO</v>
          </cell>
          <cell r="C3307" t="str">
            <v>EA</v>
          </cell>
          <cell r="D3307" t="str">
            <v>RM100</v>
          </cell>
          <cell r="E3307">
            <v>21.46</v>
          </cell>
          <cell r="G3307">
            <v>210532</v>
          </cell>
        </row>
        <row r="3308">
          <cell r="A3308">
            <v>210534</v>
          </cell>
          <cell r="B3308" t="str">
            <v>ASSY,DROP SEAL,3FT,EVO</v>
          </cell>
          <cell r="C3308" t="str">
            <v>EA</v>
          </cell>
          <cell r="D3308" t="str">
            <v>MA100</v>
          </cell>
          <cell r="E3308">
            <v>189.33840000000001</v>
          </cell>
          <cell r="G3308">
            <v>210534</v>
          </cell>
        </row>
        <row r="3309">
          <cell r="A3309">
            <v>210536</v>
          </cell>
          <cell r="B3309" t="str">
            <v>MAIN BASE ANGLE,DROP SEAL,3FT,EVO</v>
          </cell>
          <cell r="C3309" t="str">
            <v>EA</v>
          </cell>
          <cell r="D3309" t="str">
            <v>RM100</v>
          </cell>
          <cell r="E3309">
            <v>24.57</v>
          </cell>
          <cell r="G3309">
            <v>210536</v>
          </cell>
        </row>
        <row r="3310">
          <cell r="A3310">
            <v>210537</v>
          </cell>
          <cell r="B3310" t="str">
            <v>STEP SPACER,DROP SEAL,3FT,EVO</v>
          </cell>
          <cell r="C3310" t="str">
            <v>EA</v>
          </cell>
          <cell r="D3310" t="str">
            <v>RM100</v>
          </cell>
          <cell r="E3310">
            <v>32.82</v>
          </cell>
          <cell r="G3310">
            <v>210537</v>
          </cell>
        </row>
        <row r="3311">
          <cell r="A3311">
            <v>210538</v>
          </cell>
          <cell r="B3311" t="str">
            <v>DROP BAR,DROP SEAL,3FT,EVO</v>
          </cell>
          <cell r="C3311" t="str">
            <v>EA</v>
          </cell>
          <cell r="D3311" t="str">
            <v>RM100</v>
          </cell>
          <cell r="E3311">
            <v>9.4</v>
          </cell>
          <cell r="G3311">
            <v>210538</v>
          </cell>
        </row>
        <row r="3312">
          <cell r="A3312">
            <v>210539</v>
          </cell>
          <cell r="B3312" t="str">
            <v>ROD,DROP SEAL,3FT,EVO</v>
          </cell>
          <cell r="C3312" t="str">
            <v>EA</v>
          </cell>
          <cell r="D3312" t="str">
            <v>RM100</v>
          </cell>
          <cell r="E3312">
            <v>15.4</v>
          </cell>
          <cell r="G3312">
            <v>210539</v>
          </cell>
        </row>
        <row r="3313">
          <cell r="A3313">
            <v>210541</v>
          </cell>
          <cell r="B3313" t="str">
            <v>JAMB HEADER, 42-inch, EVO</v>
          </cell>
          <cell r="C3313" t="str">
            <v>EA</v>
          </cell>
          <cell r="D3313" t="str">
            <v>RM100</v>
          </cell>
          <cell r="E3313">
            <v>138.13999999999999</v>
          </cell>
          <cell r="G3313">
            <v>210541</v>
          </cell>
        </row>
        <row r="3314">
          <cell r="A3314">
            <v>210542</v>
          </cell>
          <cell r="B3314" t="str">
            <v>THRESHOLD,42",EVO</v>
          </cell>
          <cell r="C3314" t="str">
            <v>EA</v>
          </cell>
          <cell r="D3314" t="str">
            <v>RM100</v>
          </cell>
          <cell r="E3314">
            <v>289.8</v>
          </cell>
          <cell r="G3314">
            <v>210542</v>
          </cell>
        </row>
        <row r="3315">
          <cell r="A3315">
            <v>210543</v>
          </cell>
          <cell r="B3315" t="str">
            <v>ASSY,DOOR LEAF KIT,42",Maytec,EVO</v>
          </cell>
          <cell r="C3315" t="str">
            <v>EA</v>
          </cell>
          <cell r="D3315" t="str">
            <v>RM100</v>
          </cell>
          <cell r="E3315">
            <v>352.35</v>
          </cell>
          <cell r="G3315">
            <v>210543</v>
          </cell>
        </row>
        <row r="3316">
          <cell r="A3316">
            <v>210544</v>
          </cell>
          <cell r="B3316" t="str">
            <v>PANEL,FRONTL,DOOR 42",EVO</v>
          </cell>
          <cell r="C3316" t="str">
            <v>EA</v>
          </cell>
          <cell r="D3316" t="str">
            <v>RM100</v>
          </cell>
          <cell r="E3316">
            <v>141.66999999999999</v>
          </cell>
          <cell r="G3316">
            <v>210544</v>
          </cell>
        </row>
        <row r="3317">
          <cell r="A3317">
            <v>210545</v>
          </cell>
          <cell r="B3317" t="str">
            <v>PANEL,RF,INTERNAL,DOOR 42",EVO</v>
          </cell>
          <cell r="C3317" t="str">
            <v>EA</v>
          </cell>
          <cell r="D3317" t="str">
            <v>RM100</v>
          </cell>
          <cell r="E3317">
            <v>140.97999999999999</v>
          </cell>
          <cell r="G3317">
            <v>210545</v>
          </cell>
        </row>
        <row r="3318">
          <cell r="A3318">
            <v>210546</v>
          </cell>
          <cell r="B3318" t="str">
            <v>PLYWOOD FILLER, 42", EVO</v>
          </cell>
          <cell r="C3318" t="str">
            <v>EA</v>
          </cell>
          <cell r="D3318" t="str">
            <v>RM100</v>
          </cell>
          <cell r="E3318">
            <v>0</v>
          </cell>
          <cell r="G3318">
            <v>210546</v>
          </cell>
        </row>
        <row r="3319">
          <cell r="A3319">
            <v>210547</v>
          </cell>
          <cell r="B3319" t="str">
            <v>PANEL,SILICON STL, 42" E.V.O (VERT GRN)</v>
          </cell>
          <cell r="C3319" t="str">
            <v>EA</v>
          </cell>
          <cell r="D3319" t="str">
            <v>MA100</v>
          </cell>
          <cell r="E3319">
            <v>16.758900000000001</v>
          </cell>
          <cell r="G3319">
            <v>210547</v>
          </cell>
        </row>
        <row r="3320">
          <cell r="A3320">
            <v>210548</v>
          </cell>
          <cell r="B3320" t="str">
            <v>EDGE GUARD,DOOR 42",EVO</v>
          </cell>
          <cell r="C3320" t="str">
            <v>EA</v>
          </cell>
          <cell r="D3320" t="str">
            <v>RM100</v>
          </cell>
          <cell r="E3320">
            <v>55</v>
          </cell>
          <cell r="G3320">
            <v>210548</v>
          </cell>
        </row>
        <row r="3321">
          <cell r="A3321">
            <v>210549</v>
          </cell>
          <cell r="B3321" t="str">
            <v>NUT,BAR,STL,1/4"x5/8" EVO 42" LEAF</v>
          </cell>
          <cell r="C3321" t="str">
            <v>EA</v>
          </cell>
          <cell r="D3321" t="str">
            <v>RM100</v>
          </cell>
          <cell r="E3321">
            <v>0</v>
          </cell>
          <cell r="G3321">
            <v>210549</v>
          </cell>
        </row>
        <row r="3322">
          <cell r="A3322">
            <v>210550</v>
          </cell>
          <cell r="B3322" t="str">
            <v>ASSY,SEAL DOOR MECHANISM,MANUAL,42",EVO</v>
          </cell>
          <cell r="C3322" t="str">
            <v>EA</v>
          </cell>
          <cell r="D3322" t="str">
            <v>MA100</v>
          </cell>
          <cell r="E3322">
            <v>295.31240000000003</v>
          </cell>
          <cell r="G3322">
            <v>210550</v>
          </cell>
        </row>
        <row r="3323">
          <cell r="A3323">
            <v>210551</v>
          </cell>
          <cell r="B3323" t="str">
            <v>SEAL,RF,BOTTOM/TOP 42" DR,EVO</v>
          </cell>
          <cell r="C3323" t="str">
            <v>EA</v>
          </cell>
          <cell r="D3323" t="str">
            <v>FG055</v>
          </cell>
          <cell r="E3323">
            <v>34.299999999999997</v>
          </cell>
          <cell r="G3323">
            <v>210551</v>
          </cell>
        </row>
        <row r="3324">
          <cell r="A3324">
            <v>210552</v>
          </cell>
          <cell r="B3324" t="str">
            <v>SEAL HOLDER,42" DR,EVO</v>
          </cell>
          <cell r="C3324" t="str">
            <v>EA</v>
          </cell>
          <cell r="D3324" t="str">
            <v>RM100</v>
          </cell>
          <cell r="E3324">
            <v>25.61</v>
          </cell>
          <cell r="G3324">
            <v>210552</v>
          </cell>
        </row>
        <row r="3325">
          <cell r="A3325">
            <v>210553</v>
          </cell>
          <cell r="B3325" t="str">
            <v>BASE,42" DOOR,MANUAL SEAL MECH,EVO</v>
          </cell>
          <cell r="C3325" t="str">
            <v>EA</v>
          </cell>
          <cell r="D3325" t="str">
            <v>RM100</v>
          </cell>
          <cell r="E3325">
            <v>201.43</v>
          </cell>
          <cell r="G3325">
            <v>210553</v>
          </cell>
        </row>
        <row r="3326">
          <cell r="A3326">
            <v>210554</v>
          </cell>
          <cell r="B3326" t="str">
            <v>SPACER, 42" DOOR MANUAL MECH,EVO</v>
          </cell>
          <cell r="C3326" t="str">
            <v>EA</v>
          </cell>
          <cell r="D3326" t="str">
            <v>RM100</v>
          </cell>
          <cell r="E3326">
            <v>33.700000000000003</v>
          </cell>
          <cell r="G3326">
            <v>210554</v>
          </cell>
        </row>
        <row r="3327">
          <cell r="A3327">
            <v>210556</v>
          </cell>
          <cell r="B3327" t="str">
            <v>DROP SEAL,RF, LEGACY#362</v>
          </cell>
          <cell r="C3327" t="str">
            <v>EA</v>
          </cell>
          <cell r="D3327" t="str">
            <v>MA100</v>
          </cell>
          <cell r="E3327">
            <v>0</v>
          </cell>
          <cell r="G3327">
            <v>210556</v>
          </cell>
        </row>
        <row r="3328">
          <cell r="A3328">
            <v>210557</v>
          </cell>
          <cell r="B3328" t="str">
            <v>PANEL,SILICON STL, 42" E.V.O (HORZ GRN)</v>
          </cell>
          <cell r="C3328" t="str">
            <v>EA</v>
          </cell>
          <cell r="D3328" t="str">
            <v>MA100</v>
          </cell>
          <cell r="E3328">
            <v>8.3794500000000003</v>
          </cell>
          <cell r="G3328">
            <v>210557</v>
          </cell>
        </row>
        <row r="3329">
          <cell r="A3329">
            <v>210558</v>
          </cell>
          <cell r="B3329" t="str">
            <v>PANEL,SILICON STL, 36" E.V.O (HORZ GRN)</v>
          </cell>
          <cell r="C3329" t="str">
            <v>EA</v>
          </cell>
          <cell r="D3329" t="str">
            <v>MA100</v>
          </cell>
          <cell r="E3329">
            <v>8.3794500000000003</v>
          </cell>
          <cell r="G3329">
            <v>210558</v>
          </cell>
        </row>
        <row r="3330">
          <cell r="A3330">
            <v>210559</v>
          </cell>
          <cell r="B3330" t="str">
            <v>CVR,BASE,42" DR SEAL MECHANISM,EVO</v>
          </cell>
          <cell r="C3330" t="str">
            <v>EA</v>
          </cell>
          <cell r="D3330" t="str">
            <v>RM100</v>
          </cell>
          <cell r="E3330">
            <v>43.92</v>
          </cell>
          <cell r="G3330">
            <v>210559</v>
          </cell>
        </row>
        <row r="3331">
          <cell r="A3331">
            <v>210561</v>
          </cell>
          <cell r="B3331" t="str">
            <v>ISOLATOR,PHENOLIC,4FT,EVO</v>
          </cell>
          <cell r="C3331" t="str">
            <v>EA</v>
          </cell>
          <cell r="D3331" t="str">
            <v>RM100</v>
          </cell>
          <cell r="E3331">
            <v>119</v>
          </cell>
          <cell r="G3331">
            <v>210561</v>
          </cell>
        </row>
        <row r="3332">
          <cell r="A3332" t="str">
            <v>210561-36</v>
          </cell>
          <cell r="B3332" t="str">
            <v>ISOLATOR,PHENOLIC,3FT,EVO</v>
          </cell>
          <cell r="C3332" t="str">
            <v>EA</v>
          </cell>
          <cell r="D3332" t="str">
            <v>RM100</v>
          </cell>
          <cell r="E3332">
            <v>122</v>
          </cell>
          <cell r="G3332" t="str">
            <v>210561-36</v>
          </cell>
        </row>
        <row r="3333">
          <cell r="A3333">
            <v>210562</v>
          </cell>
          <cell r="B3333" t="str">
            <v>FILLER, DRYWALL, 1/2"</v>
          </cell>
          <cell r="C3333" t="str">
            <v>EA</v>
          </cell>
          <cell r="D3333" t="str">
            <v>RM100</v>
          </cell>
          <cell r="E3333">
            <v>0</v>
          </cell>
          <cell r="G3333">
            <v>210562</v>
          </cell>
        </row>
        <row r="3334">
          <cell r="A3334">
            <v>210563</v>
          </cell>
          <cell r="B3334" t="str">
            <v>CVR,THRESHOLD ISOLATOR,4FT,EVO</v>
          </cell>
          <cell r="C3334" t="str">
            <v>EA</v>
          </cell>
          <cell r="D3334" t="str">
            <v>MA100</v>
          </cell>
          <cell r="E3334">
            <v>17.37</v>
          </cell>
          <cell r="G3334">
            <v>210563</v>
          </cell>
        </row>
        <row r="3335">
          <cell r="A3335" t="str">
            <v>210563-36</v>
          </cell>
          <cell r="B3335" t="str">
            <v>CVR,THRESHOLD ISOLATOR,3FT,EVO</v>
          </cell>
          <cell r="C3335" t="str">
            <v>EA</v>
          </cell>
          <cell r="D3335" t="str">
            <v>MA100</v>
          </cell>
          <cell r="E3335">
            <v>18.239999999999998</v>
          </cell>
          <cell r="G3335" t="str">
            <v>210563-36</v>
          </cell>
        </row>
        <row r="3336">
          <cell r="A3336">
            <v>210564</v>
          </cell>
          <cell r="B3336" t="str">
            <v>PANEL, MASONITE FILLER</v>
          </cell>
          <cell r="C3336" t="str">
            <v>EA</v>
          </cell>
          <cell r="D3336" t="str">
            <v>RM100</v>
          </cell>
          <cell r="E3336">
            <v>0</v>
          </cell>
          <cell r="G3336">
            <v>210564</v>
          </cell>
        </row>
        <row r="3337">
          <cell r="A3337">
            <v>210565</v>
          </cell>
          <cell r="B3337" t="str">
            <v>HNG,6" WELDED BARREL - FOR EVO DOOR</v>
          </cell>
          <cell r="C3337" t="str">
            <v>EA</v>
          </cell>
          <cell r="D3337" t="str">
            <v>RM100</v>
          </cell>
          <cell r="E3337">
            <v>46.17</v>
          </cell>
          <cell r="G3337">
            <v>210565</v>
          </cell>
        </row>
        <row r="3338">
          <cell r="A3338">
            <v>210567</v>
          </cell>
          <cell r="B3338" t="str">
            <v>SEAL, ACOUS LEGACY#770AA x 46.00"</v>
          </cell>
          <cell r="C3338" t="str">
            <v>EA</v>
          </cell>
          <cell r="D3338" t="str">
            <v>RM100</v>
          </cell>
          <cell r="E3338">
            <v>0</v>
          </cell>
          <cell r="G3338">
            <v>210567</v>
          </cell>
        </row>
        <row r="3339">
          <cell r="A3339">
            <v>210568</v>
          </cell>
          <cell r="B3339" t="str">
            <v>ANGLE,SIDE COVER LOCK,EVO</v>
          </cell>
          <cell r="C3339" t="str">
            <v>EA</v>
          </cell>
          <cell r="D3339" t="str">
            <v>MA100</v>
          </cell>
          <cell r="E3339">
            <v>1.153</v>
          </cell>
          <cell r="G3339">
            <v>210568</v>
          </cell>
        </row>
        <row r="3340">
          <cell r="A3340">
            <v>210569</v>
          </cell>
          <cell r="B3340" t="str">
            <v>DROP SEAL,EVO,SLIDER,BULLET</v>
          </cell>
          <cell r="C3340" t="str">
            <v>EA</v>
          </cell>
          <cell r="D3340" t="str">
            <v>RM100</v>
          </cell>
          <cell r="E3340">
            <v>4.47</v>
          </cell>
          <cell r="G3340">
            <v>210569</v>
          </cell>
        </row>
        <row r="3341">
          <cell r="A3341">
            <v>210570</v>
          </cell>
          <cell r="B3341" t="str">
            <v>PLUNGER,3/8 DIA,1/4-20THD,1"L DO NOT BUY</v>
          </cell>
          <cell r="C3341" t="str">
            <v>EA</v>
          </cell>
          <cell r="D3341" t="str">
            <v>RM100</v>
          </cell>
          <cell r="E3341">
            <v>1.5</v>
          </cell>
          <cell r="G3341">
            <v>210570</v>
          </cell>
        </row>
        <row r="3342">
          <cell r="A3342">
            <v>210573</v>
          </cell>
          <cell r="B3342" t="str">
            <v>PLATE,TOP/BOTTOM,AIR CYL SUPPORT</v>
          </cell>
          <cell r="C3342" t="str">
            <v>EA</v>
          </cell>
          <cell r="D3342" t="str">
            <v>RM100</v>
          </cell>
          <cell r="E3342">
            <v>28.78</v>
          </cell>
          <cell r="G3342">
            <v>210573</v>
          </cell>
        </row>
        <row r="3343">
          <cell r="A3343">
            <v>210581</v>
          </cell>
          <cell r="B3343" t="str">
            <v>HOLDER,RF&amp;DROP SEALS,4FT,EVO-LITE</v>
          </cell>
          <cell r="C3343" t="str">
            <v>EA</v>
          </cell>
          <cell r="D3343" t="str">
            <v>RM100</v>
          </cell>
          <cell r="E3343">
            <v>25.56</v>
          </cell>
          <cell r="G3343">
            <v>210581</v>
          </cell>
        </row>
        <row r="3344">
          <cell r="A3344">
            <v>210582</v>
          </cell>
          <cell r="B3344" t="str">
            <v>SPACER,STRIKE,MANUAL EVO</v>
          </cell>
          <cell r="C3344" t="str">
            <v>EA</v>
          </cell>
          <cell r="D3344" t="str">
            <v>MA100</v>
          </cell>
          <cell r="E3344">
            <v>0.57650000000000001</v>
          </cell>
          <cell r="G3344">
            <v>210582</v>
          </cell>
        </row>
        <row r="3345">
          <cell r="A3345">
            <v>210583</v>
          </cell>
          <cell r="B3345" t="str">
            <v>EDGE GUARD,DOOR 3FT,EVO-LIGHT</v>
          </cell>
          <cell r="C3345" t="str">
            <v>EA</v>
          </cell>
          <cell r="D3345" t="str">
            <v>MA100</v>
          </cell>
          <cell r="E3345">
            <v>0</v>
          </cell>
          <cell r="G3345">
            <v>210583</v>
          </cell>
        </row>
        <row r="3346">
          <cell r="A3346">
            <v>210584</v>
          </cell>
          <cell r="B3346" t="str">
            <v>ASSY,DR CORE,EVO,CUSTOM LAMBOO</v>
          </cell>
          <cell r="C3346" t="str">
            <v>EA</v>
          </cell>
          <cell r="D3346" t="str">
            <v>MA100</v>
          </cell>
          <cell r="E3346">
            <v>265.15647999999999</v>
          </cell>
          <cell r="G3346">
            <v>210584</v>
          </cell>
        </row>
        <row r="3347">
          <cell r="A3347">
            <v>210585</v>
          </cell>
          <cell r="B3347" t="str">
            <v>BASE,THRESHOLD,4FT ADAPTOR,TRAILER MOUNT</v>
          </cell>
          <cell r="C3347" t="str">
            <v>EA</v>
          </cell>
          <cell r="D3347" t="str">
            <v>MA100</v>
          </cell>
          <cell r="E3347">
            <v>76.819999999999993</v>
          </cell>
          <cell r="G3347">
            <v>210585</v>
          </cell>
        </row>
        <row r="3348">
          <cell r="A3348">
            <v>210586</v>
          </cell>
          <cell r="B3348" t="str">
            <v>CVR,THRESHOLD,4FT ADAPTOR,TRAILER MOUNT</v>
          </cell>
          <cell r="C3348" t="str">
            <v>EA</v>
          </cell>
          <cell r="D3348" t="str">
            <v>MA100</v>
          </cell>
          <cell r="E3348">
            <v>60.87</v>
          </cell>
          <cell r="G3348">
            <v>210586</v>
          </cell>
        </row>
        <row r="3349">
          <cell r="A3349">
            <v>210587</v>
          </cell>
          <cell r="B3349" t="str">
            <v>CVR FL,THRESHOLD,4FT ADAPTOR,TRAILER MNT</v>
          </cell>
          <cell r="C3349" t="str">
            <v>EA</v>
          </cell>
          <cell r="D3349" t="str">
            <v>MA100</v>
          </cell>
          <cell r="E3349">
            <v>44.37</v>
          </cell>
          <cell r="G3349">
            <v>210587</v>
          </cell>
        </row>
        <row r="3350">
          <cell r="A3350">
            <v>210588</v>
          </cell>
          <cell r="B3350" t="str">
            <v>PLATE,GSKT HLDR,SS,7/8X47,EVO-LITE</v>
          </cell>
          <cell r="C3350" t="str">
            <v>EA</v>
          </cell>
          <cell r="D3350" t="str">
            <v>MA100</v>
          </cell>
          <cell r="E3350">
            <v>16.120619999999999</v>
          </cell>
          <cell r="G3350">
            <v>210588</v>
          </cell>
        </row>
        <row r="3351">
          <cell r="A3351">
            <v>210589</v>
          </cell>
          <cell r="B3351" t="str">
            <v>GSKT, LEGACY#770AA,47 INCH</v>
          </cell>
          <cell r="C3351" t="str">
            <v>EA</v>
          </cell>
          <cell r="D3351" t="str">
            <v>RM100</v>
          </cell>
          <cell r="E3351">
            <v>52.34</v>
          </cell>
          <cell r="G3351">
            <v>210589</v>
          </cell>
        </row>
        <row r="3352">
          <cell r="A3352">
            <v>210590</v>
          </cell>
          <cell r="B3352" t="str">
            <v>EDGE GUARD,DOOR 4FT,EVO - DO NOT BUY</v>
          </cell>
          <cell r="C3352" t="str">
            <v>EA</v>
          </cell>
          <cell r="D3352" t="str">
            <v>RM100</v>
          </cell>
          <cell r="E3352">
            <v>11.86</v>
          </cell>
          <cell r="G3352">
            <v>210590</v>
          </cell>
        </row>
        <row r="3353">
          <cell r="A3353">
            <v>210591</v>
          </cell>
          <cell r="B3353" t="str">
            <v>KIT,INSTALL(MONO)FLR,EVO,SINGLE DR</v>
          </cell>
          <cell r="C3353" t="str">
            <v>EA</v>
          </cell>
          <cell r="D3353" t="str">
            <v>MA100</v>
          </cell>
          <cell r="E3353">
            <v>381.39488999999998</v>
          </cell>
          <cell r="G3353">
            <v>210591</v>
          </cell>
        </row>
        <row r="3354">
          <cell r="A3354" t="str">
            <v>210591-36</v>
          </cell>
          <cell r="B3354" t="str">
            <v>KIT,MONO FLR ADPTR,3FT,EVO,W/INSTL KIT</v>
          </cell>
          <cell r="C3354" t="str">
            <v>EA</v>
          </cell>
          <cell r="D3354" t="str">
            <v>MA100</v>
          </cell>
          <cell r="E3354">
            <v>279.94720000000001</v>
          </cell>
          <cell r="G3354" t="str">
            <v>210591-36</v>
          </cell>
        </row>
        <row r="3355">
          <cell r="A3355">
            <v>210592</v>
          </cell>
          <cell r="B3355" t="str">
            <v>BRKT,SWITCH,INSWING EVO</v>
          </cell>
          <cell r="C3355" t="str">
            <v>EA</v>
          </cell>
          <cell r="D3355" t="str">
            <v>MA100</v>
          </cell>
          <cell r="E3355">
            <v>19.131900000000002</v>
          </cell>
          <cell r="G3355">
            <v>210592</v>
          </cell>
        </row>
        <row r="3356">
          <cell r="A3356">
            <v>210593</v>
          </cell>
          <cell r="B3356" t="str">
            <v>BRKT,SWITCH,INSWING EVO 25</v>
          </cell>
          <cell r="C3356" t="str">
            <v>EA</v>
          </cell>
          <cell r="D3356" t="str">
            <v>MA100</v>
          </cell>
          <cell r="E3356">
            <v>15.772</v>
          </cell>
          <cell r="G3356">
            <v>210593</v>
          </cell>
        </row>
        <row r="3357">
          <cell r="A3357">
            <v>210594</v>
          </cell>
          <cell r="B3357" t="str">
            <v>GSKT, LEGACY#770AA,84 INCH (DO NOT BUY)</v>
          </cell>
          <cell r="C3357" t="str">
            <v>EA</v>
          </cell>
          <cell r="D3357" t="str">
            <v>RM100</v>
          </cell>
          <cell r="E3357">
            <v>112.07</v>
          </cell>
          <cell r="G3357">
            <v>210594</v>
          </cell>
        </row>
        <row r="3358">
          <cell r="A3358">
            <v>210595</v>
          </cell>
          <cell r="B3358" t="str">
            <v>ASSY,DOOR CORE,3FT,EVO 34</v>
          </cell>
          <cell r="C3358" t="str">
            <v>EA</v>
          </cell>
          <cell r="D3358" t="str">
            <v>MA100</v>
          </cell>
          <cell r="E3358">
            <v>232.39385999999999</v>
          </cell>
          <cell r="G3358">
            <v>210595</v>
          </cell>
        </row>
        <row r="3359">
          <cell r="A3359" t="str">
            <v>210595-36</v>
          </cell>
          <cell r="B3359" t="str">
            <v>ASSY,DOOR CORE,3FT,EVO 34</v>
          </cell>
          <cell r="C3359" t="str">
            <v>EA</v>
          </cell>
          <cell r="D3359" t="str">
            <v>MA100</v>
          </cell>
          <cell r="E3359">
            <v>199.07499999999999</v>
          </cell>
          <cell r="G3359" t="str">
            <v>210595-36</v>
          </cell>
        </row>
        <row r="3360">
          <cell r="A3360">
            <v>210596</v>
          </cell>
          <cell r="B3360" t="str">
            <v>BASE,THRESHOLD SUPPORT, CELL FL 4FT EVO</v>
          </cell>
          <cell r="C3360" t="str">
            <v>EA</v>
          </cell>
          <cell r="D3360" t="str">
            <v>RM100</v>
          </cell>
          <cell r="E3360">
            <v>37.49</v>
          </cell>
          <cell r="G3360">
            <v>210596</v>
          </cell>
        </row>
        <row r="3361">
          <cell r="A3361" t="str">
            <v>210596-36</v>
          </cell>
          <cell r="B3361" t="str">
            <v>BASE,THRESHOLD SUPPORT, CELL FL 3FT EVO</v>
          </cell>
          <cell r="C3361" t="str">
            <v>EA</v>
          </cell>
          <cell r="D3361" t="str">
            <v>RM100</v>
          </cell>
          <cell r="E3361">
            <v>58.2</v>
          </cell>
          <cell r="G3361" t="str">
            <v>210596-36</v>
          </cell>
        </row>
        <row r="3362">
          <cell r="A3362">
            <v>210597</v>
          </cell>
          <cell r="B3362" t="str">
            <v>NEW P/N</v>
          </cell>
          <cell r="C3362" t="str">
            <v>EA</v>
          </cell>
          <cell r="D3362" t="str">
            <v>RM100</v>
          </cell>
          <cell r="E3362">
            <v>0</v>
          </cell>
          <cell r="G3362">
            <v>210597</v>
          </cell>
        </row>
        <row r="3363">
          <cell r="A3363">
            <v>210598</v>
          </cell>
          <cell r="B3363" t="str">
            <v>NEW P/N</v>
          </cell>
          <cell r="C3363" t="str">
            <v>EA</v>
          </cell>
          <cell r="D3363" t="str">
            <v>RM100</v>
          </cell>
          <cell r="E3363">
            <v>0</v>
          </cell>
          <cell r="G3363">
            <v>210598</v>
          </cell>
        </row>
        <row r="3364">
          <cell r="A3364">
            <v>210599</v>
          </cell>
          <cell r="B3364" t="str">
            <v>PLATE,AIR CYL SUPPORT</v>
          </cell>
          <cell r="C3364" t="str">
            <v>EA</v>
          </cell>
          <cell r="D3364" t="str">
            <v>RM100</v>
          </cell>
          <cell r="E3364">
            <v>7.14</v>
          </cell>
          <cell r="G3364">
            <v>210599</v>
          </cell>
        </row>
        <row r="3365">
          <cell r="A3365">
            <v>210600</v>
          </cell>
          <cell r="B3365" t="str">
            <v>KIT,MOBILE FLOOR ADAPTER,4FT,EVO</v>
          </cell>
          <cell r="C3365" t="str">
            <v>EA</v>
          </cell>
          <cell r="D3365" t="str">
            <v>MA100</v>
          </cell>
          <cell r="E3365">
            <v>91.217759999999998</v>
          </cell>
          <cell r="G3365">
            <v>210600</v>
          </cell>
        </row>
        <row r="3366">
          <cell r="A3366">
            <v>210601</v>
          </cell>
          <cell r="B3366" t="str">
            <v>RD,7/16DIAx47.5LG,304SS,EVO CYL TOP/BOTT</v>
          </cell>
          <cell r="C3366" t="str">
            <v>EA</v>
          </cell>
          <cell r="D3366" t="str">
            <v>RM100</v>
          </cell>
          <cell r="E3366">
            <v>28</v>
          </cell>
          <cell r="G3366">
            <v>210601</v>
          </cell>
        </row>
        <row r="3367">
          <cell r="A3367">
            <v>210602</v>
          </cell>
          <cell r="B3367" t="str">
            <v>ROD,7/16DIAx84LG,304SS,EVO CYL JAMB SIDE</v>
          </cell>
          <cell r="C3367" t="str">
            <v>EA</v>
          </cell>
          <cell r="D3367" t="str">
            <v>RM100</v>
          </cell>
          <cell r="E3367">
            <v>39.9</v>
          </cell>
          <cell r="G3367">
            <v>210602</v>
          </cell>
        </row>
        <row r="3368">
          <cell r="A3368">
            <v>210606</v>
          </cell>
          <cell r="B3368" t="str">
            <v>HOLDER,RF SEALS,3FT,EVO-LITE</v>
          </cell>
          <cell r="C3368" t="str">
            <v>EA</v>
          </cell>
          <cell r="D3368" t="str">
            <v>RM100</v>
          </cell>
          <cell r="E3368">
            <v>30.099</v>
          </cell>
          <cell r="G3368">
            <v>210606</v>
          </cell>
        </row>
        <row r="3369">
          <cell r="A3369">
            <v>210650</v>
          </cell>
          <cell r="B3369" t="str">
            <v>KIT, OUTSWING TO INSWING CONVERSION EVO</v>
          </cell>
          <cell r="C3369" t="str">
            <v>EA</v>
          </cell>
          <cell r="D3369" t="str">
            <v>MA100</v>
          </cell>
          <cell r="E3369">
            <v>489.02949999999998</v>
          </cell>
          <cell r="G3369">
            <v>210650</v>
          </cell>
        </row>
        <row r="3370">
          <cell r="A3370">
            <v>210651</v>
          </cell>
          <cell r="B3370" t="str">
            <v>KIT,BLOWOUT DR OPTION,EVO,MAN</v>
          </cell>
          <cell r="C3370" t="str">
            <v>EA</v>
          </cell>
          <cell r="D3370" t="str">
            <v>MA100</v>
          </cell>
          <cell r="E3370">
            <v>1294.8616400000001</v>
          </cell>
          <cell r="G3370">
            <v>210651</v>
          </cell>
        </row>
        <row r="3371">
          <cell r="A3371">
            <v>210652</v>
          </cell>
          <cell r="B3371" t="str">
            <v>KIT,WINDOW DOOR OPTION 2X2,EVO,AIR</v>
          </cell>
          <cell r="C3371" t="str">
            <v>EA</v>
          </cell>
          <cell r="D3371" t="str">
            <v>MA100</v>
          </cell>
          <cell r="E3371">
            <v>1128.7654399999999</v>
          </cell>
          <cell r="G3371">
            <v>210652</v>
          </cell>
        </row>
        <row r="3372">
          <cell r="A3372">
            <v>210653</v>
          </cell>
          <cell r="B3372" t="str">
            <v>KIT,BLOWOUT DR OPTION,EVO,AIR</v>
          </cell>
          <cell r="C3372" t="str">
            <v>EA</v>
          </cell>
          <cell r="D3372" t="str">
            <v>MA100</v>
          </cell>
          <cell r="E3372">
            <v>1442.35564</v>
          </cell>
          <cell r="G3372">
            <v>210653</v>
          </cell>
        </row>
        <row r="3373">
          <cell r="A3373">
            <v>210654</v>
          </cell>
          <cell r="B3373" t="str">
            <v>KIT,WINDOW DOOR OPTION 3'X1',EVO,MAN</v>
          </cell>
          <cell r="C3373" t="str">
            <v>EA</v>
          </cell>
          <cell r="D3373" t="str">
            <v>MA100</v>
          </cell>
          <cell r="E3373">
            <v>735.70543999999995</v>
          </cell>
          <cell r="G3373">
            <v>210654</v>
          </cell>
        </row>
        <row r="3374">
          <cell r="A3374" t="str">
            <v>212500-36-LH</v>
          </cell>
          <cell r="B3374" t="str">
            <v>ASSY,JAMB,EVO,LH,MANUAL,36"</v>
          </cell>
          <cell r="C3374" t="str">
            <v>EA</v>
          </cell>
          <cell r="D3374" t="str">
            <v>FG055</v>
          </cell>
          <cell r="E3374">
            <v>946.99045999999998</v>
          </cell>
          <cell r="G3374" t="str">
            <v>212500-36-LH</v>
          </cell>
        </row>
        <row r="3375">
          <cell r="A3375" t="str">
            <v>212500-36-RH</v>
          </cell>
          <cell r="B3375" t="str">
            <v>ASSY,JAMB,EVO,RH,MANUAL,36"</v>
          </cell>
          <cell r="C3375" t="str">
            <v>EA</v>
          </cell>
          <cell r="D3375" t="str">
            <v>FG055</v>
          </cell>
          <cell r="E3375">
            <v>950.95046000000002</v>
          </cell>
          <cell r="G3375" t="str">
            <v>212500-36-RH</v>
          </cell>
        </row>
        <row r="3376">
          <cell r="A3376" t="str">
            <v>212500-42-LH</v>
          </cell>
          <cell r="B3376" t="str">
            <v>ASSY,JAMB,EVO,LH,MANUAL,42"</v>
          </cell>
          <cell r="C3376" t="str">
            <v>EA</v>
          </cell>
          <cell r="D3376" t="str">
            <v>FG055</v>
          </cell>
          <cell r="E3376">
            <v>1219.5163700000001</v>
          </cell>
          <cell r="G3376" t="str">
            <v>212500-42-LH</v>
          </cell>
        </row>
        <row r="3377">
          <cell r="A3377" t="str">
            <v>212510-36-LH</v>
          </cell>
          <cell r="B3377" t="str">
            <v>ASSY,JAMB,EVO,LH,36X84</v>
          </cell>
          <cell r="C3377" t="str">
            <v>EA</v>
          </cell>
          <cell r="D3377" t="str">
            <v>MA100</v>
          </cell>
          <cell r="E3377">
            <v>921.07944999999995</v>
          </cell>
          <cell r="G3377" t="str">
            <v>212510-36-LH</v>
          </cell>
        </row>
        <row r="3378">
          <cell r="A3378" t="str">
            <v>212510-36-RH</v>
          </cell>
          <cell r="B3378" t="str">
            <v>ASSY,JAMB,EVO,RH,36X84</v>
          </cell>
          <cell r="C3378" t="str">
            <v>EA</v>
          </cell>
          <cell r="D3378" t="str">
            <v>MA100</v>
          </cell>
          <cell r="E3378">
            <v>920.09085000000005</v>
          </cell>
          <cell r="G3378" t="str">
            <v>212510-36-RH</v>
          </cell>
        </row>
        <row r="3379">
          <cell r="A3379" t="str">
            <v>212510-48-LH</v>
          </cell>
          <cell r="B3379" t="str">
            <v>ASSY,JAMB,EVO,LH,MANUAL,48"</v>
          </cell>
          <cell r="C3379" t="str">
            <v>EA</v>
          </cell>
          <cell r="D3379" t="str">
            <v>MA100</v>
          </cell>
          <cell r="E3379">
            <v>938.23675000000003</v>
          </cell>
          <cell r="G3379" t="str">
            <v>212510-48-LH</v>
          </cell>
        </row>
        <row r="3380">
          <cell r="A3380" t="str">
            <v>212510-48-RH</v>
          </cell>
          <cell r="B3380" t="str">
            <v>ASSY,JAMB,EVO,RH,MANUAL,48"</v>
          </cell>
          <cell r="C3380" t="str">
            <v>EA</v>
          </cell>
          <cell r="D3380" t="str">
            <v>MA100</v>
          </cell>
          <cell r="E3380">
            <v>938.23675000000003</v>
          </cell>
          <cell r="G3380" t="str">
            <v>212510-48-RH</v>
          </cell>
        </row>
        <row r="3381">
          <cell r="A3381" t="str">
            <v>212525-48-LH</v>
          </cell>
          <cell r="B3381" t="str">
            <v>ASSY,JAMB,EVO 32,AIR,LH,48X84</v>
          </cell>
          <cell r="C3381" t="str">
            <v>EA</v>
          </cell>
          <cell r="D3381" t="str">
            <v>MA100</v>
          </cell>
          <cell r="E3381">
            <v>2000.2065399999999</v>
          </cell>
          <cell r="G3381" t="str">
            <v>212525-48-LH</v>
          </cell>
        </row>
        <row r="3382">
          <cell r="A3382" t="str">
            <v>212525-48-RH</v>
          </cell>
          <cell r="B3382" t="str">
            <v>ASSY,JAMB,EVO 32,AIR,RH,48X84</v>
          </cell>
          <cell r="C3382" t="str">
            <v>EA</v>
          </cell>
          <cell r="D3382" t="str">
            <v>MA100</v>
          </cell>
          <cell r="E3382">
            <v>1989.70054</v>
          </cell>
          <cell r="G3382" t="str">
            <v>212525-48-RH</v>
          </cell>
        </row>
        <row r="3383">
          <cell r="A3383" t="str">
            <v>212530-36-LH</v>
          </cell>
          <cell r="B3383" t="str">
            <v>ASSY,JAMB,EVO,AIR,LH,36X84</v>
          </cell>
          <cell r="C3383" t="str">
            <v>EA</v>
          </cell>
          <cell r="D3383" t="str">
            <v>MA100</v>
          </cell>
          <cell r="E3383">
            <v>2253.8686400000001</v>
          </cell>
          <cell r="G3383" t="str">
            <v>212530-36-LH</v>
          </cell>
        </row>
        <row r="3384">
          <cell r="A3384" t="str">
            <v>212530-36-RH</v>
          </cell>
          <cell r="B3384" t="str">
            <v>ASSY,JAMB,EVO,AIR,RH,36X84</v>
          </cell>
          <cell r="C3384" t="str">
            <v>EA</v>
          </cell>
          <cell r="D3384" t="str">
            <v>MA100</v>
          </cell>
          <cell r="E3384">
            <v>2292.2003399999999</v>
          </cell>
          <cell r="G3384" t="str">
            <v>212530-36-RH</v>
          </cell>
        </row>
        <row r="3385">
          <cell r="A3385" t="str">
            <v>212530-48-LH</v>
          </cell>
          <cell r="B3385" t="str">
            <v>ASSY,JAMB,EVO 44,AIR,LH,48X84</v>
          </cell>
          <cell r="C3385" t="str">
            <v>EA</v>
          </cell>
          <cell r="D3385" t="str">
            <v>MA100</v>
          </cell>
          <cell r="E3385">
            <v>2253.0236399999999</v>
          </cell>
          <cell r="G3385" t="str">
            <v>212530-48-LH</v>
          </cell>
        </row>
        <row r="3386">
          <cell r="A3386" t="str">
            <v>212530-48-RH</v>
          </cell>
          <cell r="B3386" t="str">
            <v>ASSY,JAMB,EVO 44,AIR,RH,48X84</v>
          </cell>
          <cell r="C3386" t="str">
            <v>EA</v>
          </cell>
          <cell r="D3386" t="str">
            <v>MA100</v>
          </cell>
          <cell r="E3386">
            <v>2254.5755399999998</v>
          </cell>
          <cell r="G3386" t="str">
            <v>212530-48-RH</v>
          </cell>
        </row>
        <row r="3387">
          <cell r="A3387" t="str">
            <v>212550-35-LH</v>
          </cell>
          <cell r="B3387" t="str">
            <v>ASSY,JAMB,EVO,LH,IN,MAN,35" CUSTOM</v>
          </cell>
          <cell r="C3387" t="str">
            <v>EA</v>
          </cell>
          <cell r="D3387" t="str">
            <v>FG055</v>
          </cell>
          <cell r="E3387">
            <v>0</v>
          </cell>
          <cell r="G3387" t="str">
            <v>212550-35-LH</v>
          </cell>
        </row>
        <row r="3388">
          <cell r="A3388" t="str">
            <v>212550-36</v>
          </cell>
          <cell r="B3388" t="str">
            <v>OBSOLETE</v>
          </cell>
          <cell r="C3388" t="str">
            <v>EA</v>
          </cell>
          <cell r="D3388" t="str">
            <v>MA100</v>
          </cell>
          <cell r="E3388">
            <v>2108.5223799999999</v>
          </cell>
          <cell r="G3388" t="str">
            <v>212550-36</v>
          </cell>
        </row>
        <row r="3389">
          <cell r="A3389" t="str">
            <v>212550-48</v>
          </cell>
          <cell r="B3389" t="str">
            <v>OBSOLETE</v>
          </cell>
          <cell r="C3389" t="str">
            <v>EA</v>
          </cell>
          <cell r="D3389" t="str">
            <v>MA100</v>
          </cell>
          <cell r="E3389">
            <v>1978.67543</v>
          </cell>
          <cell r="G3389" t="str">
            <v>212550-48</v>
          </cell>
        </row>
        <row r="3390">
          <cell r="A3390" t="str">
            <v>212553-48-LH</v>
          </cell>
          <cell r="B3390" t="str">
            <v>ASSY,JAMB,EVO,LH,IN,MAN,48" W/.125 LEAD</v>
          </cell>
          <cell r="C3390" t="str">
            <v>EA</v>
          </cell>
          <cell r="D3390" t="str">
            <v>FG055</v>
          </cell>
          <cell r="E3390">
            <v>1063.29826</v>
          </cell>
          <cell r="G3390" t="str">
            <v>212553-48-LH</v>
          </cell>
        </row>
        <row r="3391">
          <cell r="A3391" t="str">
            <v>212555-36</v>
          </cell>
          <cell r="B3391" t="str">
            <v>ASSY,DOOR,EVO 32,AIR36X48</v>
          </cell>
          <cell r="C3391" t="str">
            <v>EA</v>
          </cell>
          <cell r="D3391" t="str">
            <v>MA100</v>
          </cell>
          <cell r="E3391">
            <v>1943.26116</v>
          </cell>
          <cell r="G3391" t="str">
            <v>212555-36</v>
          </cell>
        </row>
        <row r="3392">
          <cell r="A3392" t="str">
            <v>212555-48</v>
          </cell>
          <cell r="B3392" t="str">
            <v>ASSY,DOOR,EVO 32,AIR,48X84</v>
          </cell>
          <cell r="C3392" t="str">
            <v>EA</v>
          </cell>
          <cell r="D3392" t="str">
            <v>MA100</v>
          </cell>
          <cell r="E3392">
            <v>1721.50306</v>
          </cell>
          <cell r="G3392" t="str">
            <v>212555-48</v>
          </cell>
        </row>
        <row r="3393">
          <cell r="A3393" t="str">
            <v>212558-35-LH</v>
          </cell>
          <cell r="B3393" t="str">
            <v>ASSY,JAMB,EVO,LH,IN,MAN,35" CUSTOM</v>
          </cell>
          <cell r="C3393" t="str">
            <v>EA</v>
          </cell>
          <cell r="D3393" t="str">
            <v>FG055</v>
          </cell>
          <cell r="E3393">
            <v>1006.74286</v>
          </cell>
          <cell r="G3393" t="str">
            <v>212558-35-LH</v>
          </cell>
        </row>
        <row r="3394">
          <cell r="A3394" t="str">
            <v>212560-36</v>
          </cell>
          <cell r="B3394" t="str">
            <v>ASSY,DOOR,EVO,AIR,36X84</v>
          </cell>
          <cell r="C3394" t="str">
            <v>EA</v>
          </cell>
          <cell r="D3394" t="str">
            <v>MA100</v>
          </cell>
          <cell r="E3394">
            <v>1853.9841799999999</v>
          </cell>
          <cell r="G3394" t="str">
            <v>212560-36</v>
          </cell>
        </row>
        <row r="3395">
          <cell r="A3395" t="str">
            <v>212560-48</v>
          </cell>
          <cell r="B3395" t="str">
            <v>ASSY,DOOR,EVO,AIR,48X84</v>
          </cell>
          <cell r="C3395" t="str">
            <v>EA</v>
          </cell>
          <cell r="D3395" t="str">
            <v>MA100</v>
          </cell>
          <cell r="E3395">
            <v>1755.6296600000001</v>
          </cell>
          <cell r="G3395" t="str">
            <v>212560-48</v>
          </cell>
        </row>
        <row r="3396">
          <cell r="A3396" t="str">
            <v>212565-48</v>
          </cell>
          <cell r="B3396" t="str">
            <v>OBSOLETE</v>
          </cell>
          <cell r="C3396" t="str">
            <v>EA</v>
          </cell>
          <cell r="D3396" t="str">
            <v>MA100</v>
          </cell>
          <cell r="E3396">
            <v>1978.2609299999999</v>
          </cell>
          <cell r="G3396" t="str">
            <v>212565-48</v>
          </cell>
        </row>
        <row r="3397">
          <cell r="A3397">
            <v>212590</v>
          </cell>
          <cell r="B3397" t="str">
            <v>S/S,DR,FIN,EVO44,48" NOM,W/ WIN,RH</v>
          </cell>
          <cell r="C3397" t="str">
            <v>EA</v>
          </cell>
          <cell r="D3397" t="str">
            <v>MA100</v>
          </cell>
          <cell r="E3397">
            <v>173.03149999999999</v>
          </cell>
          <cell r="G3397">
            <v>212590</v>
          </cell>
        </row>
        <row r="3398">
          <cell r="A3398">
            <v>212591</v>
          </cell>
          <cell r="B3398" t="str">
            <v>S/S,DR,FIN,RF,EVO44,48" NOM,W/ WIN,LH</v>
          </cell>
          <cell r="C3398" t="str">
            <v>EA</v>
          </cell>
          <cell r="D3398" t="str">
            <v>MA100</v>
          </cell>
          <cell r="E3398">
            <v>173.03149999999999</v>
          </cell>
          <cell r="G3398">
            <v>212591</v>
          </cell>
        </row>
        <row r="3399">
          <cell r="A3399">
            <v>212592</v>
          </cell>
          <cell r="B3399" t="str">
            <v>S/S,DR,FIN,EVO44,48" NOM,W/ WIN,LH</v>
          </cell>
          <cell r="C3399" t="str">
            <v>EA</v>
          </cell>
          <cell r="D3399" t="str">
            <v>MA100</v>
          </cell>
          <cell r="E3399">
            <v>155.16</v>
          </cell>
          <cell r="G3399">
            <v>212592</v>
          </cell>
        </row>
        <row r="3400">
          <cell r="A3400">
            <v>212593</v>
          </cell>
          <cell r="B3400" t="str">
            <v>S/S,DR,FIN,RF,EVO44,48" NOM,W/ WIN,RH</v>
          </cell>
          <cell r="C3400" t="str">
            <v>EA</v>
          </cell>
          <cell r="D3400" t="str">
            <v>MA100</v>
          </cell>
          <cell r="E3400">
            <v>183.98500000000001</v>
          </cell>
          <cell r="G3400">
            <v>212593</v>
          </cell>
        </row>
        <row r="3401">
          <cell r="A3401" t="str">
            <v>212600-36</v>
          </cell>
          <cell r="B3401" t="str">
            <v>ASSY,DOOR,EVO,MANUAL,36"</v>
          </cell>
          <cell r="C3401" t="str">
            <v>EA</v>
          </cell>
          <cell r="D3401" t="str">
            <v>FG055</v>
          </cell>
          <cell r="E3401">
            <v>1961.81756</v>
          </cell>
          <cell r="G3401" t="str">
            <v>212600-36</v>
          </cell>
        </row>
        <row r="3402">
          <cell r="A3402" t="str">
            <v>212601-36</v>
          </cell>
          <cell r="B3402" t="str">
            <v>EVO 40,DR,MANUAL,ACOUSTIC,36"</v>
          </cell>
          <cell r="C3402" t="str">
            <v>EA</v>
          </cell>
          <cell r="D3402" t="str">
            <v>FG055</v>
          </cell>
          <cell r="E3402">
            <v>2141.9699099999998</v>
          </cell>
          <cell r="G3402" t="str">
            <v>212601-36</v>
          </cell>
        </row>
        <row r="3403">
          <cell r="A3403" t="str">
            <v>212601-48</v>
          </cell>
          <cell r="B3403" t="str">
            <v>ASSY,DOOR,EVO 40, MANUAL 48"</v>
          </cell>
          <cell r="C3403" t="str">
            <v>EA</v>
          </cell>
          <cell r="D3403" t="str">
            <v>FG055</v>
          </cell>
          <cell r="E3403">
            <v>1874.93281</v>
          </cell>
          <cell r="G3403" t="str">
            <v>212601-48</v>
          </cell>
        </row>
        <row r="3404">
          <cell r="A3404" t="str">
            <v>212610-36</v>
          </cell>
          <cell r="B3404" t="str">
            <v>ASSY,DOOR,EVO 28, MAN,36"</v>
          </cell>
          <cell r="C3404" t="str">
            <v>EA</v>
          </cell>
          <cell r="D3404" t="str">
            <v>MA100</v>
          </cell>
          <cell r="E3404">
            <v>1038.83761</v>
          </cell>
          <cell r="G3404" t="str">
            <v>212610-36</v>
          </cell>
        </row>
        <row r="3405">
          <cell r="A3405" t="str">
            <v>212610-48</v>
          </cell>
          <cell r="B3405" t="str">
            <v>ASSY,DOOR,EVO 28, MANUAL,48"</v>
          </cell>
          <cell r="C3405" t="str">
            <v>EA</v>
          </cell>
          <cell r="D3405" t="str">
            <v>MA100</v>
          </cell>
          <cell r="E3405">
            <v>964.05484999999999</v>
          </cell>
          <cell r="G3405" t="str">
            <v>212610-48</v>
          </cell>
        </row>
        <row r="3406">
          <cell r="A3406" t="str">
            <v>212611-36</v>
          </cell>
          <cell r="B3406" t="str">
            <v>ASSY,DOOR,EVO 34,36X84</v>
          </cell>
          <cell r="C3406" t="str">
            <v>EA</v>
          </cell>
          <cell r="D3406" t="str">
            <v>MA100</v>
          </cell>
          <cell r="E3406">
            <v>1120.1922099999999</v>
          </cell>
          <cell r="G3406" t="str">
            <v>212611-36</v>
          </cell>
        </row>
        <row r="3407">
          <cell r="A3407" t="str">
            <v>212611-48</v>
          </cell>
          <cell r="B3407" t="str">
            <v>ASSY,DOOR,EVO 34, MANUAL,48"</v>
          </cell>
          <cell r="C3407" t="str">
            <v>EA</v>
          </cell>
          <cell r="D3407" t="str">
            <v>MA100</v>
          </cell>
          <cell r="E3407">
            <v>1061.68191</v>
          </cell>
          <cell r="G3407" t="str">
            <v>212611-48</v>
          </cell>
        </row>
        <row r="3408">
          <cell r="A3408" t="str">
            <v>212630-48</v>
          </cell>
          <cell r="B3408" t="str">
            <v>OBSOLETE</v>
          </cell>
          <cell r="C3408" t="str">
            <v>EA</v>
          </cell>
          <cell r="D3408" t="str">
            <v>FG055</v>
          </cell>
          <cell r="E3408">
            <v>2718.5558900000001</v>
          </cell>
          <cell r="G3408" t="str">
            <v>212630-48</v>
          </cell>
        </row>
        <row r="3409">
          <cell r="A3409" t="str">
            <v>212650-35-LH</v>
          </cell>
          <cell r="B3409" t="str">
            <v>ASSY,DR,EVO,LH,IN,MAN,35" CUSTOM</v>
          </cell>
          <cell r="C3409" t="str">
            <v>EA</v>
          </cell>
          <cell r="D3409" t="str">
            <v>FG055</v>
          </cell>
          <cell r="E3409">
            <v>4219.0055899999998</v>
          </cell>
          <cell r="G3409" t="str">
            <v>212650-35-LH</v>
          </cell>
        </row>
        <row r="3410">
          <cell r="A3410" t="str">
            <v>212653-48-LH</v>
          </cell>
          <cell r="B3410" t="str">
            <v>ASSY,DR,EVO,LH,IN,MAN,48"W/.125 LEAD</v>
          </cell>
          <cell r="C3410" t="str">
            <v>EA</v>
          </cell>
          <cell r="D3410" t="str">
            <v>FG055</v>
          </cell>
          <cell r="E3410">
            <v>2742.78069</v>
          </cell>
          <cell r="G3410" t="str">
            <v>212653-48-LH</v>
          </cell>
        </row>
        <row r="3411">
          <cell r="A3411" t="str">
            <v>212656-36</v>
          </cell>
          <cell r="B3411" t="str">
            <v>ASSY,DR,EVO,IN,MAN,36"W/.056 SIL STL</v>
          </cell>
          <cell r="C3411" t="str">
            <v>EA</v>
          </cell>
          <cell r="D3411" t="str">
            <v>FG055</v>
          </cell>
          <cell r="E3411">
            <v>2085.4830400000001</v>
          </cell>
          <cell r="G3411" t="str">
            <v>212656-36</v>
          </cell>
        </row>
        <row r="3412">
          <cell r="A3412" t="str">
            <v>212656-42</v>
          </cell>
          <cell r="B3412" t="str">
            <v>ASSY,DR,EVO,IN,MAN,42"W/.056 SIL STL</v>
          </cell>
          <cell r="C3412" t="str">
            <v>EA</v>
          </cell>
          <cell r="D3412" t="str">
            <v>FG055</v>
          </cell>
          <cell r="E3412">
            <v>1986.1912400000001</v>
          </cell>
          <cell r="G3412" t="str">
            <v>212656-42</v>
          </cell>
        </row>
        <row r="3413">
          <cell r="A3413" t="str">
            <v>212658-35-LH</v>
          </cell>
          <cell r="B3413" t="str">
            <v>ASSY,DR,EVO,LH,IN,MAN,35" CUSTOM</v>
          </cell>
          <cell r="C3413" t="str">
            <v>EA</v>
          </cell>
          <cell r="D3413" t="str">
            <v>FG055</v>
          </cell>
          <cell r="E3413">
            <v>2949.5509000000002</v>
          </cell>
          <cell r="G3413" t="str">
            <v>212658-35-LH</v>
          </cell>
        </row>
        <row r="3414">
          <cell r="A3414">
            <v>218001</v>
          </cell>
          <cell r="B3414" t="str">
            <v>SUPPORT,ROLLER CAM</v>
          </cell>
          <cell r="C3414" t="str">
            <v>EA</v>
          </cell>
          <cell r="D3414" t="str">
            <v>RM100</v>
          </cell>
          <cell r="E3414">
            <v>22.5</v>
          </cell>
          <cell r="G3414">
            <v>218001</v>
          </cell>
        </row>
        <row r="3415">
          <cell r="A3415">
            <v>218002</v>
          </cell>
          <cell r="B3415" t="str">
            <v>PLATE,CAM ROLLER SLIDE MTG</v>
          </cell>
          <cell r="C3415" t="str">
            <v>EA</v>
          </cell>
          <cell r="D3415" t="str">
            <v>RM100</v>
          </cell>
          <cell r="E3415">
            <v>25.75</v>
          </cell>
          <cell r="G3415">
            <v>218002</v>
          </cell>
        </row>
        <row r="3416">
          <cell r="A3416">
            <v>218003</v>
          </cell>
          <cell r="B3416" t="str">
            <v>ASSY,CAM FOLLOWER,MTG BRACKET</v>
          </cell>
          <cell r="C3416" t="str">
            <v>EA</v>
          </cell>
          <cell r="D3416" t="str">
            <v>MA100</v>
          </cell>
          <cell r="E3416">
            <v>94.362200000000001</v>
          </cell>
          <cell r="G3416">
            <v>218003</v>
          </cell>
        </row>
        <row r="3417">
          <cell r="A3417">
            <v>218004</v>
          </cell>
          <cell r="B3417" t="str">
            <v>COVER, LATCH ROLLER CAM</v>
          </cell>
          <cell r="C3417" t="str">
            <v>EA</v>
          </cell>
          <cell r="D3417" t="str">
            <v>RM100</v>
          </cell>
          <cell r="E3417">
            <v>29.88</v>
          </cell>
          <cell r="G3417">
            <v>218004</v>
          </cell>
        </row>
        <row r="3418">
          <cell r="A3418">
            <v>218005</v>
          </cell>
          <cell r="B3418" t="str">
            <v>PLATE, CAM FOLLOWER SLIDE</v>
          </cell>
          <cell r="C3418" t="str">
            <v>EA</v>
          </cell>
          <cell r="D3418" t="str">
            <v>RM100</v>
          </cell>
          <cell r="E3418">
            <v>44.25</v>
          </cell>
          <cell r="G3418">
            <v>218005</v>
          </cell>
        </row>
        <row r="3419">
          <cell r="A3419">
            <v>218006</v>
          </cell>
          <cell r="B3419" t="str">
            <v>BASE, SPRING STOP</v>
          </cell>
          <cell r="C3419" t="str">
            <v>EA</v>
          </cell>
          <cell r="D3419" t="str">
            <v>RM100</v>
          </cell>
          <cell r="E3419">
            <v>34.5</v>
          </cell>
          <cell r="G3419">
            <v>218006</v>
          </cell>
        </row>
        <row r="3420">
          <cell r="A3420">
            <v>218007</v>
          </cell>
          <cell r="B3420" t="str">
            <v>CAP, SPRING STOP</v>
          </cell>
          <cell r="C3420" t="str">
            <v>EA</v>
          </cell>
          <cell r="D3420" t="str">
            <v>RM100</v>
          </cell>
          <cell r="E3420">
            <v>91</v>
          </cell>
          <cell r="G3420">
            <v>218007</v>
          </cell>
        </row>
        <row r="3421">
          <cell r="A3421">
            <v>218008</v>
          </cell>
          <cell r="B3421" t="str">
            <v>SHIM,LATCH ROLLER</v>
          </cell>
          <cell r="C3421" t="str">
            <v>EA</v>
          </cell>
          <cell r="D3421" t="str">
            <v>RM100</v>
          </cell>
          <cell r="E3421">
            <v>5.99</v>
          </cell>
          <cell r="G3421">
            <v>218008</v>
          </cell>
        </row>
        <row r="3422">
          <cell r="A3422">
            <v>218009</v>
          </cell>
          <cell r="B3422" t="str">
            <v>RAIL, AUTO-LATCH MOUNTING,LH</v>
          </cell>
          <cell r="C3422" t="str">
            <v>EA</v>
          </cell>
          <cell r="D3422" t="str">
            <v>RM100</v>
          </cell>
          <cell r="E3422">
            <v>236.67</v>
          </cell>
          <cell r="G3422">
            <v>218009</v>
          </cell>
        </row>
        <row r="3423">
          <cell r="A3423" t="str">
            <v>218010-B</v>
          </cell>
          <cell r="B3423" t="str">
            <v>BRACKET,AIR CYLINDER MOUNT,BTM</v>
          </cell>
          <cell r="C3423" t="str">
            <v>EA</v>
          </cell>
          <cell r="D3423" t="str">
            <v>RM100</v>
          </cell>
          <cell r="E3423">
            <v>13.21</v>
          </cell>
          <cell r="G3423" t="str">
            <v>218010-B</v>
          </cell>
        </row>
        <row r="3424">
          <cell r="A3424" t="str">
            <v>218010-T</v>
          </cell>
          <cell r="B3424" t="str">
            <v>BRACKET,AIR CYLINDER MOUNT,TOP</v>
          </cell>
          <cell r="C3424" t="str">
            <v>EA</v>
          </cell>
          <cell r="D3424" t="str">
            <v>RM100</v>
          </cell>
          <cell r="E3424">
            <v>13.21</v>
          </cell>
          <cell r="G3424" t="str">
            <v>218010-T</v>
          </cell>
        </row>
        <row r="3425">
          <cell r="A3425">
            <v>218011</v>
          </cell>
          <cell r="B3425" t="str">
            <v>CYL,AIR,6.5."STRKx1.75"DIA BIMBA</v>
          </cell>
          <cell r="C3425" t="str">
            <v>EA</v>
          </cell>
          <cell r="D3425" t="str">
            <v>RM100</v>
          </cell>
          <cell r="E3425">
            <v>89.584999999999994</v>
          </cell>
          <cell r="G3425">
            <v>218011</v>
          </cell>
        </row>
        <row r="3426">
          <cell r="A3426">
            <v>218012</v>
          </cell>
          <cell r="B3426" t="str">
            <v>RAIL,LINEAR,REDI-RAIL#RR30,12.598"</v>
          </cell>
          <cell r="C3426" t="str">
            <v>EA</v>
          </cell>
          <cell r="D3426" t="str">
            <v>RM100</v>
          </cell>
          <cell r="E3426">
            <v>28.9</v>
          </cell>
          <cell r="G3426">
            <v>218012</v>
          </cell>
        </row>
        <row r="3427">
          <cell r="A3427">
            <v>218013</v>
          </cell>
          <cell r="B3427" t="str">
            <v>BLOCK,CAM FOLLOWER</v>
          </cell>
          <cell r="C3427" t="str">
            <v>EA</v>
          </cell>
          <cell r="D3427" t="str">
            <v>RM100</v>
          </cell>
          <cell r="E3427">
            <v>101.55</v>
          </cell>
          <cell r="G3427">
            <v>218013</v>
          </cell>
        </row>
        <row r="3428">
          <cell r="A3428">
            <v>218014</v>
          </cell>
          <cell r="B3428" t="str">
            <v>SLIDE,LINEAR RAIL,REDI-RAIL#RRS30</v>
          </cell>
          <cell r="C3428" t="str">
            <v>EA</v>
          </cell>
          <cell r="D3428" t="str">
            <v>RM100</v>
          </cell>
          <cell r="E3428">
            <v>85.3</v>
          </cell>
          <cell r="G3428">
            <v>218014</v>
          </cell>
        </row>
        <row r="3429">
          <cell r="A3429">
            <v>218015</v>
          </cell>
          <cell r="B3429" t="str">
            <v>BRACKET,CAM FOLLOWER PUSH</v>
          </cell>
          <cell r="C3429" t="str">
            <v>EA</v>
          </cell>
          <cell r="D3429" t="str">
            <v>RM100</v>
          </cell>
          <cell r="E3429">
            <v>29.886659999999999</v>
          </cell>
          <cell r="G3429">
            <v>218015</v>
          </cell>
        </row>
        <row r="3430">
          <cell r="A3430">
            <v>218016</v>
          </cell>
          <cell r="B3430" t="str">
            <v>CONNECTING ROD</v>
          </cell>
          <cell r="C3430" t="str">
            <v>EA</v>
          </cell>
          <cell r="D3430" t="str">
            <v>RM100</v>
          </cell>
          <cell r="E3430">
            <v>38</v>
          </cell>
          <cell r="G3430">
            <v>218016</v>
          </cell>
        </row>
        <row r="3431">
          <cell r="A3431">
            <v>218017</v>
          </cell>
          <cell r="B3431" t="str">
            <v>STOP PLATE</v>
          </cell>
          <cell r="C3431" t="str">
            <v>EA</v>
          </cell>
          <cell r="D3431" t="str">
            <v>RM100</v>
          </cell>
          <cell r="E3431">
            <v>12.93</v>
          </cell>
          <cell r="G3431">
            <v>218017</v>
          </cell>
        </row>
        <row r="3432">
          <cell r="A3432">
            <v>218018</v>
          </cell>
          <cell r="B3432" t="str">
            <v>PLUNGER HEAD</v>
          </cell>
          <cell r="C3432" t="str">
            <v>EA</v>
          </cell>
          <cell r="D3432" t="str">
            <v>RM100</v>
          </cell>
          <cell r="E3432">
            <v>19</v>
          </cell>
          <cell r="G3432">
            <v>218018</v>
          </cell>
        </row>
        <row r="3433">
          <cell r="A3433">
            <v>218019</v>
          </cell>
          <cell r="B3433" t="str">
            <v>BRKT,SWITCH MOUNT</v>
          </cell>
          <cell r="C3433" t="str">
            <v>EA</v>
          </cell>
          <cell r="D3433" t="str">
            <v>RM100</v>
          </cell>
          <cell r="E3433">
            <v>14.76</v>
          </cell>
          <cell r="G3433">
            <v>218019</v>
          </cell>
        </row>
        <row r="3434">
          <cell r="A3434">
            <v>218020</v>
          </cell>
          <cell r="B3434" t="str">
            <v>BRKT,COVER MOUNT</v>
          </cell>
          <cell r="C3434" t="str">
            <v>EA</v>
          </cell>
          <cell r="D3434" t="str">
            <v>RM100</v>
          </cell>
          <cell r="E3434">
            <v>7.31</v>
          </cell>
          <cell r="G3434">
            <v>218020</v>
          </cell>
        </row>
        <row r="3435">
          <cell r="A3435">
            <v>218024</v>
          </cell>
          <cell r="B3435" t="str">
            <v>CYL,AIR,1.5."STRKx1.75"DIA BIMBA</v>
          </cell>
          <cell r="C3435" t="str">
            <v>EA</v>
          </cell>
          <cell r="D3435" t="str">
            <v>RM100</v>
          </cell>
          <cell r="E3435">
            <v>48.625999999999998</v>
          </cell>
          <cell r="G3435">
            <v>218024</v>
          </cell>
        </row>
        <row r="3436">
          <cell r="A3436" t="str">
            <v>218025-RH</v>
          </cell>
          <cell r="B3436" t="str">
            <v>ASSY,ASDS AUTO-LATCH,8' W/RETURN,RH</v>
          </cell>
          <cell r="C3436" t="str">
            <v>EA</v>
          </cell>
          <cell r="D3436" t="str">
            <v>MA100</v>
          </cell>
          <cell r="E3436">
            <v>1685.7918</v>
          </cell>
          <cell r="G3436" t="str">
            <v>218025-RH</v>
          </cell>
        </row>
        <row r="3437">
          <cell r="A3437" t="str">
            <v>218026-RH</v>
          </cell>
          <cell r="B3437" t="str">
            <v>ASSY,ASDS AUTO-LATCH,8' W/O RETURN,RH</v>
          </cell>
          <cell r="C3437" t="str">
            <v>EA</v>
          </cell>
          <cell r="D3437" t="str">
            <v>MA100</v>
          </cell>
          <cell r="E3437">
            <v>1521.7102</v>
          </cell>
          <cell r="G3437" t="str">
            <v>218026-RH</v>
          </cell>
        </row>
        <row r="3438">
          <cell r="A3438">
            <v>218027</v>
          </cell>
          <cell r="B3438" t="str">
            <v>BRKT,SWITCH MOUNT</v>
          </cell>
          <cell r="C3438" t="str">
            <v>EA</v>
          </cell>
          <cell r="D3438" t="str">
            <v>RM100</v>
          </cell>
          <cell r="E3438">
            <v>15</v>
          </cell>
          <cell r="G3438">
            <v>218027</v>
          </cell>
        </row>
        <row r="3439">
          <cell r="A3439">
            <v>218028</v>
          </cell>
          <cell r="B3439" t="str">
            <v>ACTIVATOR, SWITCH</v>
          </cell>
          <cell r="C3439" t="str">
            <v>EA</v>
          </cell>
          <cell r="D3439" t="str">
            <v>RM100</v>
          </cell>
          <cell r="E3439">
            <v>31.5</v>
          </cell>
          <cell r="G3439">
            <v>218028</v>
          </cell>
        </row>
        <row r="3440">
          <cell r="A3440">
            <v>218033</v>
          </cell>
          <cell r="B3440" t="str">
            <v>KIT, IOSD PULL HANDLES</v>
          </cell>
          <cell r="C3440" t="str">
            <v>EA</v>
          </cell>
          <cell r="D3440" t="str">
            <v>MA100</v>
          </cell>
          <cell r="E3440">
            <v>403.61</v>
          </cell>
          <cell r="G3440">
            <v>218033</v>
          </cell>
        </row>
        <row r="3441">
          <cell r="A3441">
            <v>218034</v>
          </cell>
          <cell r="B3441" t="str">
            <v>SUPPORT, FINGER GUARD</v>
          </cell>
          <cell r="C3441" t="str">
            <v>EA</v>
          </cell>
          <cell r="D3441" t="str">
            <v>RM100</v>
          </cell>
          <cell r="E3441">
            <v>49.75</v>
          </cell>
          <cell r="G3441">
            <v>218034</v>
          </cell>
        </row>
        <row r="3442">
          <cell r="A3442">
            <v>218035</v>
          </cell>
          <cell r="B3442" t="str">
            <v>FINGER GUARD</v>
          </cell>
          <cell r="C3442" t="str">
            <v>EA</v>
          </cell>
          <cell r="D3442" t="str">
            <v>RM100</v>
          </cell>
          <cell r="E3442">
            <v>108.02</v>
          </cell>
          <cell r="G3442">
            <v>218035</v>
          </cell>
        </row>
        <row r="3443">
          <cell r="A3443">
            <v>218036</v>
          </cell>
          <cell r="B3443" t="str">
            <v>SEAL, RF, TRAILING EDGE TOP/BOTTOM</v>
          </cell>
          <cell r="C3443" t="str">
            <v>EA</v>
          </cell>
          <cell r="D3443" t="str">
            <v>RM100</v>
          </cell>
          <cell r="E3443">
            <v>59.69</v>
          </cell>
          <cell r="G3443">
            <v>218036</v>
          </cell>
        </row>
        <row r="3444">
          <cell r="A3444" t="str">
            <v>218036-OP1</v>
          </cell>
          <cell r="B3444" t="str">
            <v>SEAL,RF,TRLING EDGE TOP/BTM,FAB S/O*</v>
          </cell>
          <cell r="C3444" t="str">
            <v>EA</v>
          </cell>
          <cell r="D3444" t="str">
            <v>MA100</v>
          </cell>
          <cell r="E3444">
            <v>85.35</v>
          </cell>
          <cell r="G3444" t="str">
            <v>218036-OP1</v>
          </cell>
        </row>
        <row r="3445">
          <cell r="A3445" t="str">
            <v>218036-TP</v>
          </cell>
          <cell r="B3445" t="str">
            <v>SEAL,RF,TRLING EDGE TOP/BTM,TIN-PLATE</v>
          </cell>
          <cell r="C3445" t="str">
            <v>EA</v>
          </cell>
          <cell r="D3445" t="str">
            <v>MA100</v>
          </cell>
          <cell r="E3445">
            <v>6.7</v>
          </cell>
          <cell r="G3445" t="str">
            <v>218036-TP</v>
          </cell>
        </row>
        <row r="3446">
          <cell r="A3446">
            <v>218037</v>
          </cell>
          <cell r="B3446" t="str">
            <v>SEAL, RF, TRAILING EDGE TOP/BOTTOM</v>
          </cell>
          <cell r="C3446" t="str">
            <v>EA</v>
          </cell>
          <cell r="D3446" t="str">
            <v>RM100</v>
          </cell>
          <cell r="E3446">
            <v>95.424000000000007</v>
          </cell>
          <cell r="G3446">
            <v>218037</v>
          </cell>
        </row>
        <row r="3447">
          <cell r="A3447">
            <v>218038</v>
          </cell>
          <cell r="B3447" t="str">
            <v>CLMP, TRAILING EDGE RF ACOUSTIC SEAL</v>
          </cell>
          <cell r="C3447" t="str">
            <v>EA</v>
          </cell>
          <cell r="D3447" t="str">
            <v>RM100</v>
          </cell>
          <cell r="E3447">
            <v>35.4679</v>
          </cell>
          <cell r="G3447">
            <v>218038</v>
          </cell>
        </row>
        <row r="3448">
          <cell r="A3448">
            <v>218040</v>
          </cell>
          <cell r="B3448" t="str">
            <v>SEAL,AS2,DOUBLE DR#2 MIDLE/TIN* (RH)</v>
          </cell>
          <cell r="C3448" t="str">
            <v>EA</v>
          </cell>
          <cell r="D3448" t="str">
            <v>RM100</v>
          </cell>
          <cell r="E3448">
            <v>0</v>
          </cell>
          <cell r="G3448">
            <v>218040</v>
          </cell>
        </row>
        <row r="3449">
          <cell r="A3449">
            <v>218041</v>
          </cell>
          <cell r="B3449" t="str">
            <v>MTG PLATE, ROD SUPPORT BRKT</v>
          </cell>
          <cell r="C3449" t="str">
            <v>EA</v>
          </cell>
          <cell r="D3449" t="str">
            <v>RM100</v>
          </cell>
          <cell r="E3449">
            <v>39.880000000000003</v>
          </cell>
          <cell r="G3449">
            <v>218041</v>
          </cell>
        </row>
        <row r="3450">
          <cell r="A3450">
            <v>218042</v>
          </cell>
          <cell r="B3450" t="str">
            <v>BRKT,ROD SUPPORT</v>
          </cell>
          <cell r="C3450" t="str">
            <v>EA</v>
          </cell>
          <cell r="D3450" t="str">
            <v>RM100</v>
          </cell>
          <cell r="E3450">
            <v>134</v>
          </cell>
          <cell r="G3450">
            <v>218042</v>
          </cell>
        </row>
        <row r="3451">
          <cell r="A3451">
            <v>218043</v>
          </cell>
          <cell r="B3451" t="str">
            <v>GUIDE TUBE, PUSH ROD</v>
          </cell>
          <cell r="C3451" t="str">
            <v>EA</v>
          </cell>
          <cell r="D3451" t="str">
            <v>RM100</v>
          </cell>
          <cell r="E3451">
            <v>18.239999999999998</v>
          </cell>
          <cell r="G3451">
            <v>218043</v>
          </cell>
        </row>
        <row r="3452">
          <cell r="A3452">
            <v>218044</v>
          </cell>
          <cell r="B3452" t="str">
            <v>ASSY,SSD DR W/WINDOW LEAF KIT</v>
          </cell>
          <cell r="C3452" t="str">
            <v>EA</v>
          </cell>
          <cell r="D3452" t="str">
            <v>RM100</v>
          </cell>
          <cell r="E3452">
            <v>927.58</v>
          </cell>
          <cell r="G3452">
            <v>218044</v>
          </cell>
        </row>
        <row r="3453">
          <cell r="A3453" t="str">
            <v>218045-RH-SS</v>
          </cell>
          <cell r="B3453" t="str">
            <v>SKIN,NON-RF,SLDG DR W/WINDOW,SS</v>
          </cell>
          <cell r="C3453" t="str">
            <v>EA</v>
          </cell>
          <cell r="D3453" t="str">
            <v>RM100</v>
          </cell>
          <cell r="E3453">
            <v>563.36</v>
          </cell>
          <cell r="G3453" t="str">
            <v>218045-RH-SS</v>
          </cell>
        </row>
        <row r="3454">
          <cell r="A3454">
            <v>218046</v>
          </cell>
          <cell r="B3454" t="str">
            <v>BRKT,WINDOW MOUNT</v>
          </cell>
          <cell r="C3454" t="str">
            <v>EA</v>
          </cell>
          <cell r="D3454" t="str">
            <v>RM100</v>
          </cell>
          <cell r="E3454">
            <v>77.44</v>
          </cell>
          <cell r="G3454">
            <v>218046</v>
          </cell>
        </row>
        <row r="3455">
          <cell r="A3455">
            <v>218047</v>
          </cell>
          <cell r="B3455" t="str">
            <v>BRKT,WINDOW MOUNT</v>
          </cell>
          <cell r="C3455" t="str">
            <v>EA</v>
          </cell>
          <cell r="D3455" t="str">
            <v>RM100</v>
          </cell>
          <cell r="E3455">
            <v>75.09</v>
          </cell>
          <cell r="G3455">
            <v>218047</v>
          </cell>
        </row>
        <row r="3456">
          <cell r="A3456">
            <v>218048</v>
          </cell>
          <cell r="B3456" t="str">
            <v>BRKT,LATCH MOUNT, RF SIDE</v>
          </cell>
          <cell r="C3456" t="str">
            <v>EA</v>
          </cell>
          <cell r="D3456" t="str">
            <v>RM100</v>
          </cell>
          <cell r="E3456">
            <v>50.34</v>
          </cell>
          <cell r="G3456">
            <v>218048</v>
          </cell>
        </row>
        <row r="3457">
          <cell r="A3457">
            <v>218049</v>
          </cell>
          <cell r="B3457" t="str">
            <v>BRKT,LATCH MOUNT,RF SIDE</v>
          </cell>
          <cell r="C3457" t="str">
            <v>EA</v>
          </cell>
          <cell r="D3457" t="str">
            <v>RM100</v>
          </cell>
          <cell r="E3457">
            <v>71.260000000000005</v>
          </cell>
          <cell r="G3457">
            <v>218049</v>
          </cell>
        </row>
        <row r="3458">
          <cell r="A3458">
            <v>218051</v>
          </cell>
          <cell r="B3458" t="str">
            <v>TRIM, WINDOW (RF SIDE)</v>
          </cell>
          <cell r="C3458" t="str">
            <v>EA</v>
          </cell>
          <cell r="D3458" t="str">
            <v>RM100</v>
          </cell>
          <cell r="E3458">
            <v>17.82</v>
          </cell>
          <cell r="G3458">
            <v>218051</v>
          </cell>
        </row>
        <row r="3459">
          <cell r="A3459" t="str">
            <v>218052-RH</v>
          </cell>
          <cell r="B3459" t="str">
            <v>SKIN,RF SHLD,SLDG DR W/WINDOW</v>
          </cell>
          <cell r="C3459" t="str">
            <v>EA</v>
          </cell>
          <cell r="D3459" t="str">
            <v>RM100</v>
          </cell>
          <cell r="E3459">
            <v>875.64</v>
          </cell>
          <cell r="G3459" t="str">
            <v>218052-RH</v>
          </cell>
        </row>
        <row r="3460">
          <cell r="A3460">
            <v>218053</v>
          </cell>
          <cell r="B3460" t="str">
            <v>NUT,BAR,STL,28.93"</v>
          </cell>
          <cell r="C3460" t="str">
            <v>EA</v>
          </cell>
          <cell r="D3460" t="str">
            <v>RM100</v>
          </cell>
          <cell r="E3460">
            <v>33.119999999999997</v>
          </cell>
          <cell r="G3460">
            <v>218053</v>
          </cell>
        </row>
        <row r="3461">
          <cell r="A3461">
            <v>218054</v>
          </cell>
          <cell r="B3461" t="str">
            <v>NUT,BAR,STL,13.65"</v>
          </cell>
          <cell r="C3461" t="str">
            <v>EA</v>
          </cell>
          <cell r="D3461" t="str">
            <v>RM100</v>
          </cell>
          <cell r="E3461">
            <v>28.12</v>
          </cell>
          <cell r="G3461">
            <v>218054</v>
          </cell>
        </row>
        <row r="3462">
          <cell r="A3462">
            <v>218055</v>
          </cell>
          <cell r="B3462" t="str">
            <v>BRKT,LATCH MOUNT, NON-RF SIDE</v>
          </cell>
          <cell r="C3462" t="str">
            <v>EA</v>
          </cell>
          <cell r="D3462" t="str">
            <v>RM100</v>
          </cell>
          <cell r="E3462">
            <v>50.34</v>
          </cell>
          <cell r="G3462">
            <v>218055</v>
          </cell>
        </row>
        <row r="3463">
          <cell r="A3463">
            <v>218056</v>
          </cell>
          <cell r="B3463" t="str">
            <v>BRKT,LATCH MOUNT,NON-RF SIDE</v>
          </cell>
          <cell r="C3463" t="str">
            <v>EA</v>
          </cell>
          <cell r="D3463" t="str">
            <v>RM100</v>
          </cell>
          <cell r="E3463">
            <v>71.260000000000005</v>
          </cell>
          <cell r="G3463">
            <v>218056</v>
          </cell>
        </row>
        <row r="3464">
          <cell r="A3464">
            <v>218057</v>
          </cell>
          <cell r="B3464" t="str">
            <v>NUT,BAR,STL,28.93"</v>
          </cell>
          <cell r="C3464" t="str">
            <v>EA</v>
          </cell>
          <cell r="D3464" t="str">
            <v>RM100</v>
          </cell>
          <cell r="E3464">
            <v>33.119999999999997</v>
          </cell>
          <cell r="G3464">
            <v>218057</v>
          </cell>
        </row>
        <row r="3465">
          <cell r="A3465">
            <v>218058</v>
          </cell>
          <cell r="B3465" t="str">
            <v>BAR,MNTG,WINDOW TRIM,NON-RF SIDE</v>
          </cell>
          <cell r="C3465" t="str">
            <v>EA</v>
          </cell>
          <cell r="D3465" t="str">
            <v>RM100</v>
          </cell>
          <cell r="E3465">
            <v>30.42</v>
          </cell>
          <cell r="G3465">
            <v>218058</v>
          </cell>
        </row>
        <row r="3466">
          <cell r="A3466">
            <v>218059</v>
          </cell>
          <cell r="B3466" t="str">
            <v>TRIM,WDW,HORIZ,SSD DR,NON-RF SIDE</v>
          </cell>
          <cell r="C3466" t="str">
            <v>EA</v>
          </cell>
          <cell r="D3466" t="str">
            <v>RM100</v>
          </cell>
          <cell r="E3466">
            <v>124.45</v>
          </cell>
          <cell r="G3466">
            <v>218059</v>
          </cell>
        </row>
        <row r="3467">
          <cell r="A3467">
            <v>218060</v>
          </cell>
          <cell r="B3467" t="str">
            <v>TRIM,WDW,VERT,SSD DR,NON-RF SIDE</v>
          </cell>
          <cell r="C3467" t="str">
            <v>EA</v>
          </cell>
          <cell r="D3467" t="str">
            <v>RM100</v>
          </cell>
          <cell r="E3467">
            <v>104.68</v>
          </cell>
          <cell r="G3467">
            <v>218060</v>
          </cell>
        </row>
        <row r="3468">
          <cell r="A3468" t="str">
            <v>218061-R-SS</v>
          </cell>
          <cell r="B3468" t="str">
            <v>ASSY,DR, SNGL SLDG W/WNDW,60"x83.625",RH</v>
          </cell>
          <cell r="C3468" t="str">
            <v>EA</v>
          </cell>
          <cell r="D3468" t="str">
            <v>MA100</v>
          </cell>
          <cell r="E3468">
            <v>8943.2145999999993</v>
          </cell>
          <cell r="G3468" t="str">
            <v>218061-R-SS</v>
          </cell>
        </row>
        <row r="3469">
          <cell r="A3469">
            <v>218065</v>
          </cell>
          <cell r="B3469" t="str">
            <v>RAIL, AUTO-LATCH MOUNTING,RH</v>
          </cell>
          <cell r="C3469" t="str">
            <v>EA</v>
          </cell>
          <cell r="D3469" t="str">
            <v>RM100</v>
          </cell>
          <cell r="E3469">
            <v>0</v>
          </cell>
          <cell r="G3469">
            <v>218065</v>
          </cell>
        </row>
        <row r="3470">
          <cell r="A3470">
            <v>218066</v>
          </cell>
          <cell r="B3470" t="str">
            <v>BLOCK,CAM FOLLOWER</v>
          </cell>
          <cell r="C3470" t="str">
            <v>EA</v>
          </cell>
          <cell r="D3470" t="str">
            <v>RM100</v>
          </cell>
          <cell r="E3470">
            <v>0</v>
          </cell>
          <cell r="G3470">
            <v>218066</v>
          </cell>
        </row>
        <row r="3471">
          <cell r="A3471">
            <v>218067</v>
          </cell>
          <cell r="B3471" t="str">
            <v>COVER,AUTO-LATCH</v>
          </cell>
          <cell r="C3471" t="str">
            <v>EA</v>
          </cell>
          <cell r="D3471" t="str">
            <v>RM100</v>
          </cell>
          <cell r="E3471">
            <v>163.76</v>
          </cell>
          <cell r="G3471">
            <v>218067</v>
          </cell>
        </row>
        <row r="3472">
          <cell r="A3472">
            <v>218068</v>
          </cell>
          <cell r="B3472" t="str">
            <v>COVER,AUTO-LATCH</v>
          </cell>
          <cell r="C3472" t="str">
            <v>EA</v>
          </cell>
          <cell r="D3472" t="str">
            <v>RM100</v>
          </cell>
          <cell r="E3472">
            <v>0</v>
          </cell>
          <cell r="G3472">
            <v>218068</v>
          </cell>
        </row>
        <row r="3473">
          <cell r="A3473">
            <v>218069</v>
          </cell>
          <cell r="B3473" t="str">
            <v>COVER,SIDE,AUTO-LATCH,RH</v>
          </cell>
          <cell r="C3473" t="str">
            <v>EA</v>
          </cell>
          <cell r="D3473" t="str">
            <v>RM100</v>
          </cell>
          <cell r="E3473">
            <v>0</v>
          </cell>
          <cell r="G3473">
            <v>218069</v>
          </cell>
        </row>
        <row r="3474">
          <cell r="A3474">
            <v>218070</v>
          </cell>
          <cell r="B3474" t="str">
            <v>STRIKE PLATE,SLIDE BOLT</v>
          </cell>
          <cell r="C3474" t="str">
            <v>EA</v>
          </cell>
          <cell r="D3474" t="str">
            <v>RM100</v>
          </cell>
          <cell r="E3474">
            <v>0</v>
          </cell>
          <cell r="G3474">
            <v>218070</v>
          </cell>
        </row>
        <row r="3475">
          <cell r="A3475">
            <v>218071</v>
          </cell>
          <cell r="B3475" t="str">
            <v>COVER, STRIKE PLATE</v>
          </cell>
          <cell r="C3475" t="str">
            <v>EA</v>
          </cell>
          <cell r="D3475" t="str">
            <v>RM100</v>
          </cell>
          <cell r="E3475">
            <v>0</v>
          </cell>
          <cell r="G3475">
            <v>218071</v>
          </cell>
        </row>
        <row r="3476">
          <cell r="A3476">
            <v>218072</v>
          </cell>
          <cell r="B3476" t="str">
            <v>INSTALL KIT,ASDS AUTO-LATCH,DBL DR</v>
          </cell>
          <cell r="C3476" t="str">
            <v>EA</v>
          </cell>
          <cell r="D3476" t="str">
            <v>MA100</v>
          </cell>
          <cell r="E3476">
            <v>0.95199999999999996</v>
          </cell>
          <cell r="G3476">
            <v>218072</v>
          </cell>
        </row>
        <row r="3477">
          <cell r="A3477" t="str">
            <v>218073-RH-SS</v>
          </cell>
          <cell r="B3477" t="str">
            <v>SKIN,RF,SLDG DR W/WINDOW,SS</v>
          </cell>
          <cell r="C3477" t="str">
            <v>EA</v>
          </cell>
          <cell r="D3477" t="str">
            <v>RM100</v>
          </cell>
          <cell r="E3477">
            <v>345.65</v>
          </cell>
          <cell r="G3477" t="str">
            <v>218073-RH-SS</v>
          </cell>
        </row>
        <row r="3478">
          <cell r="A3478" t="str">
            <v>218075-R-SS</v>
          </cell>
          <cell r="B3478" t="str">
            <v>ASSY,DR&amp;JB,SNGL SLDG,60"x84"RH,SS FNSH</v>
          </cell>
          <cell r="C3478" t="str">
            <v>EA</v>
          </cell>
          <cell r="D3478" t="str">
            <v>MA100</v>
          </cell>
          <cell r="E3478">
            <v>16382.93124</v>
          </cell>
          <cell r="G3478" t="str">
            <v>218075-R-SS</v>
          </cell>
        </row>
        <row r="3479">
          <cell r="A3479">
            <v>218117</v>
          </cell>
          <cell r="B3479" t="str">
            <v>ASSY,AS2 3' DR FOR 6' DBLSWG,VON DUP, LH</v>
          </cell>
          <cell r="C3479" t="str">
            <v>EA</v>
          </cell>
          <cell r="D3479" t="str">
            <v>FG055</v>
          </cell>
          <cell r="E3479">
            <v>4806.7983999999997</v>
          </cell>
          <cell r="G3479">
            <v>218117</v>
          </cell>
        </row>
        <row r="3480">
          <cell r="A3480">
            <v>218118</v>
          </cell>
          <cell r="B3480" t="str">
            <v>DOOR SLAB, AS2 3X7 DOOR RH/LHR</v>
          </cell>
          <cell r="C3480" t="str">
            <v>EA</v>
          </cell>
          <cell r="D3480" t="str">
            <v>RM100</v>
          </cell>
          <cell r="E3480">
            <v>1420.66</v>
          </cell>
          <cell r="G3480">
            <v>218118</v>
          </cell>
        </row>
        <row r="3481">
          <cell r="A3481" t="str">
            <v>218118-SS</v>
          </cell>
          <cell r="B3481" t="str">
            <v>LAMINATE,IOSD,RF,STNLS STL</v>
          </cell>
          <cell r="C3481" t="str">
            <v>EA</v>
          </cell>
          <cell r="D3481" t="str">
            <v>MA100</v>
          </cell>
          <cell r="E3481">
            <v>194.05</v>
          </cell>
          <cell r="G3481" t="str">
            <v>218118-SS</v>
          </cell>
        </row>
        <row r="3482">
          <cell r="A3482">
            <v>218121</v>
          </cell>
          <cell r="B3482" t="str">
            <v>ASSY,DOOR #2 AS2 FOR 6' DBLSWING,w/WDW</v>
          </cell>
          <cell r="C3482" t="str">
            <v>EA</v>
          </cell>
          <cell r="D3482" t="str">
            <v>FG055</v>
          </cell>
          <cell r="E3482">
            <v>2518.2367899999999</v>
          </cell>
          <cell r="G3482">
            <v>218121</v>
          </cell>
        </row>
        <row r="3483">
          <cell r="A3483">
            <v>218122</v>
          </cell>
          <cell r="B3483" t="str">
            <v>OBSOLETE</v>
          </cell>
          <cell r="C3483" t="str">
            <v>EA</v>
          </cell>
          <cell r="D3483" t="str">
            <v>FG055</v>
          </cell>
          <cell r="E3483">
            <v>12450.37938</v>
          </cell>
          <cell r="G3483">
            <v>218122</v>
          </cell>
        </row>
        <row r="3484">
          <cell r="A3484" t="str">
            <v>218123-SS</v>
          </cell>
          <cell r="B3484" t="str">
            <v>LAMINATE,AS-II INACTIVE,RF,STNLS STL</v>
          </cell>
          <cell r="C3484" t="str">
            <v>EA</v>
          </cell>
          <cell r="D3484" t="str">
            <v>MA100</v>
          </cell>
          <cell r="E3484">
            <v>0</v>
          </cell>
          <cell r="G3484" t="str">
            <v>218123-SS</v>
          </cell>
        </row>
        <row r="3485">
          <cell r="A3485" t="str">
            <v>218124-SS</v>
          </cell>
          <cell r="B3485" t="str">
            <v>LAMINATE,AS-II INACTIVE,NON-RF,STNLS STL</v>
          </cell>
          <cell r="C3485" t="str">
            <v>EA</v>
          </cell>
          <cell r="D3485" t="str">
            <v>MA100</v>
          </cell>
          <cell r="E3485">
            <v>0</v>
          </cell>
          <cell r="G3485" t="str">
            <v>218124-SS</v>
          </cell>
        </row>
        <row r="3486">
          <cell r="A3486" t="str">
            <v>218125-SS</v>
          </cell>
          <cell r="B3486" t="str">
            <v>LAMINATE,AS-II VON DUPRIN,RF,STNLS STL</v>
          </cell>
          <cell r="C3486" t="str">
            <v>EA</v>
          </cell>
          <cell r="D3486" t="str">
            <v>MA100</v>
          </cell>
          <cell r="E3486">
            <v>0</v>
          </cell>
          <cell r="G3486" t="str">
            <v>218125-SS</v>
          </cell>
        </row>
        <row r="3487">
          <cell r="A3487" t="str">
            <v>218126-SS</v>
          </cell>
          <cell r="B3487" t="str">
            <v>LAMINATE,AS-II VON DUPR,NON-RF,STNLS STL</v>
          </cell>
          <cell r="C3487" t="str">
            <v>EA</v>
          </cell>
          <cell r="D3487" t="str">
            <v>MA100</v>
          </cell>
          <cell r="E3487">
            <v>0</v>
          </cell>
          <cell r="G3487" t="str">
            <v>218126-SS</v>
          </cell>
        </row>
        <row r="3488">
          <cell r="A3488">
            <v>218127</v>
          </cell>
          <cell r="B3488" t="str">
            <v>COVER,JB-RM INTERFACE, TOP 6' DR</v>
          </cell>
          <cell r="C3488" t="str">
            <v>EA</v>
          </cell>
          <cell r="D3488" t="str">
            <v>MA100</v>
          </cell>
          <cell r="E3488">
            <v>25.56287</v>
          </cell>
          <cell r="G3488">
            <v>218127</v>
          </cell>
        </row>
        <row r="3489">
          <cell r="A3489" t="str">
            <v>218129-SS</v>
          </cell>
          <cell r="B3489" t="str">
            <v>LAMINATE,SS, 4' RH, NON-RF</v>
          </cell>
          <cell r="C3489" t="str">
            <v>EA</v>
          </cell>
          <cell r="D3489" t="str">
            <v>MA100</v>
          </cell>
          <cell r="E3489">
            <v>189.536</v>
          </cell>
          <cell r="G3489" t="str">
            <v>218129-SS</v>
          </cell>
        </row>
        <row r="3490">
          <cell r="A3490" t="str">
            <v>218133-SS</v>
          </cell>
          <cell r="B3490" t="str">
            <v>LAMINATE,SS, 4' LH, RF SIDE</v>
          </cell>
          <cell r="C3490" t="str">
            <v>EA</v>
          </cell>
          <cell r="D3490" t="str">
            <v>MA100</v>
          </cell>
          <cell r="E3490">
            <v>189.536</v>
          </cell>
          <cell r="G3490" t="str">
            <v>218133-SS</v>
          </cell>
        </row>
        <row r="3491">
          <cell r="A3491">
            <v>220000</v>
          </cell>
          <cell r="B3491" t="str">
            <v>TUBE,PNU 1/8 OD BLACK,SMC #TIUB01B-33</v>
          </cell>
          <cell r="C3491" t="str">
            <v>FT</v>
          </cell>
          <cell r="D3491" t="str">
            <v>RM100</v>
          </cell>
          <cell r="E3491">
            <v>7.9100000000000004E-2</v>
          </cell>
          <cell r="G3491">
            <v>220000</v>
          </cell>
        </row>
        <row r="3492">
          <cell r="A3492">
            <v>220013</v>
          </cell>
          <cell r="B3492" t="str">
            <v>TUBE,PNU 1/8 OD RED,SMC#TIUB01R-33</v>
          </cell>
          <cell r="C3492" t="str">
            <v>FT</v>
          </cell>
          <cell r="D3492" t="str">
            <v>RM100</v>
          </cell>
          <cell r="E3492">
            <v>7.9100000000000004E-2</v>
          </cell>
          <cell r="G3492">
            <v>220013</v>
          </cell>
        </row>
        <row r="3493">
          <cell r="A3493">
            <v>220030</v>
          </cell>
          <cell r="B3493" t="str">
            <v>TUBE,PNU 1/8 OD WHITE,SMC# TIUB01W-33</v>
          </cell>
          <cell r="C3493" t="str">
            <v>FT</v>
          </cell>
          <cell r="D3493" t="str">
            <v>RM100</v>
          </cell>
          <cell r="E3493">
            <v>7.9100000000000004E-2</v>
          </cell>
          <cell r="G3493">
            <v>220030</v>
          </cell>
        </row>
        <row r="3494">
          <cell r="A3494">
            <v>220035</v>
          </cell>
          <cell r="B3494" t="str">
            <v>OBSOLETE</v>
          </cell>
          <cell r="C3494" t="str">
            <v>EA</v>
          </cell>
          <cell r="D3494" t="str">
            <v>RM100</v>
          </cell>
          <cell r="E3494">
            <v>4.1500000000000004</v>
          </cell>
          <cell r="G3494">
            <v>220035</v>
          </cell>
        </row>
        <row r="3495">
          <cell r="A3495">
            <v>220037</v>
          </cell>
          <cell r="B3495" t="str">
            <v>OBSOLETE</v>
          </cell>
          <cell r="C3495" t="str">
            <v>EA</v>
          </cell>
          <cell r="D3495" t="str">
            <v>RM100</v>
          </cell>
          <cell r="E3495">
            <v>2.42</v>
          </cell>
          <cell r="G3495">
            <v>220037</v>
          </cell>
        </row>
        <row r="3496">
          <cell r="A3496">
            <v>220044</v>
          </cell>
          <cell r="B3496" t="str">
            <v>TUBE,PNU 1/8 OD GREEN,SMC# TIUB01G-33</v>
          </cell>
          <cell r="C3496" t="str">
            <v>FT</v>
          </cell>
          <cell r="D3496" t="str">
            <v>RM100</v>
          </cell>
          <cell r="E3496">
            <v>7.9100000000000004E-2</v>
          </cell>
          <cell r="G3496">
            <v>220044</v>
          </cell>
        </row>
        <row r="3497">
          <cell r="A3497">
            <v>220051</v>
          </cell>
          <cell r="B3497" t="str">
            <v>VALVE,SLOW START SMC ASS-300-NO2B</v>
          </cell>
          <cell r="C3497" t="str">
            <v>EA</v>
          </cell>
          <cell r="D3497" t="str">
            <v>RM100</v>
          </cell>
          <cell r="E3497">
            <v>28.81</v>
          </cell>
          <cell r="G3497">
            <v>220051</v>
          </cell>
        </row>
        <row r="3498">
          <cell r="A3498">
            <v>220052</v>
          </cell>
          <cell r="B3498" t="str">
            <v>VALVE,LIMIT SMC VM131-NO1-01A</v>
          </cell>
          <cell r="C3498" t="str">
            <v>EA</v>
          </cell>
          <cell r="D3498" t="str">
            <v>RM100</v>
          </cell>
          <cell r="E3498">
            <v>10.15</v>
          </cell>
          <cell r="G3498">
            <v>220052</v>
          </cell>
        </row>
        <row r="3499">
          <cell r="A3499">
            <v>220064</v>
          </cell>
          <cell r="B3499" t="str">
            <v>TUBE,PNU 1/8 OD,BLUE,SMC# TIUB01BU-33</v>
          </cell>
          <cell r="C3499" t="str">
            <v>FT</v>
          </cell>
          <cell r="D3499" t="str">
            <v>RM100</v>
          </cell>
          <cell r="E3499">
            <v>7.9100000000000004E-2</v>
          </cell>
          <cell r="G3499">
            <v>220064</v>
          </cell>
        </row>
        <row r="3500">
          <cell r="A3500">
            <v>220065</v>
          </cell>
          <cell r="B3500" t="str">
            <v>TUBE,PNU 1/8 OD,YELLOW,SMC# TIUBO1Y-33</v>
          </cell>
          <cell r="C3500" t="str">
            <v>FT</v>
          </cell>
          <cell r="D3500" t="str">
            <v>RM100</v>
          </cell>
          <cell r="E3500">
            <v>7.9100000000000004E-2</v>
          </cell>
          <cell r="G3500">
            <v>220065</v>
          </cell>
        </row>
        <row r="3501">
          <cell r="A3501">
            <v>220066</v>
          </cell>
          <cell r="B3501" t="str">
            <v>DUCT,SLOTED PVC 1-1\2"X2-1\4"MCM#7578K17</v>
          </cell>
          <cell r="C3501" t="str">
            <v>FT</v>
          </cell>
          <cell r="D3501" t="str">
            <v>RM100</v>
          </cell>
          <cell r="E3501">
            <v>34.299999999999997</v>
          </cell>
          <cell r="G3501">
            <v>220066</v>
          </cell>
        </row>
        <row r="3502">
          <cell r="A3502">
            <v>220078</v>
          </cell>
          <cell r="B3502" t="str">
            <v>TUBE,PNU 1/8 OD ORANGE SCM#TIUB01OR-33</v>
          </cell>
          <cell r="C3502" t="str">
            <v>FT</v>
          </cell>
          <cell r="D3502" t="str">
            <v>RM100</v>
          </cell>
          <cell r="E3502">
            <v>7.9100000000000004E-2</v>
          </cell>
          <cell r="G3502">
            <v>220078</v>
          </cell>
        </row>
        <row r="3503">
          <cell r="A3503">
            <v>220154</v>
          </cell>
          <cell r="B3503" t="str">
            <v>FITTING,EL,1/4NPTX3/8OD SMC KQ2L11-35AS</v>
          </cell>
          <cell r="C3503" t="str">
            <v>EA</v>
          </cell>
          <cell r="D3503" t="str">
            <v>RM100</v>
          </cell>
          <cell r="E3503">
            <v>2.04</v>
          </cell>
          <cell r="G3503">
            <v>220154</v>
          </cell>
        </row>
        <row r="3504">
          <cell r="A3504">
            <v>220187</v>
          </cell>
          <cell r="B3504" t="str">
            <v>TUBE,PNU 5/32-inch OD, BLACK</v>
          </cell>
          <cell r="C3504" t="str">
            <v>FT</v>
          </cell>
          <cell r="D3504" t="str">
            <v>RM100</v>
          </cell>
          <cell r="E3504">
            <v>0.10489999999999999</v>
          </cell>
          <cell r="G3504">
            <v>220187</v>
          </cell>
        </row>
        <row r="3505">
          <cell r="A3505">
            <v>220191</v>
          </cell>
          <cell r="B3505" t="str">
            <v>TUBE,PNU 5/32OD RED (100' ROLL)</v>
          </cell>
          <cell r="C3505" t="str">
            <v>FT</v>
          </cell>
          <cell r="D3505" t="str">
            <v>RM100</v>
          </cell>
          <cell r="E3505">
            <v>0.124</v>
          </cell>
          <cell r="G3505">
            <v>220191</v>
          </cell>
        </row>
        <row r="3506">
          <cell r="A3506">
            <v>220192</v>
          </cell>
          <cell r="B3506" t="str">
            <v>TUBE,PNU 5/32-inch OD, RED (500' ROLL)</v>
          </cell>
          <cell r="C3506" t="str">
            <v>FT</v>
          </cell>
          <cell r="D3506" t="str">
            <v>RM100</v>
          </cell>
          <cell r="E3506">
            <v>0.10489999999999999</v>
          </cell>
          <cell r="G3506">
            <v>220192</v>
          </cell>
        </row>
        <row r="3507">
          <cell r="A3507">
            <v>220194</v>
          </cell>
          <cell r="B3507" t="str">
            <v>TUBE,PNU 3/8"OD,RED,SMC#TIUB11R-20</v>
          </cell>
          <cell r="C3507" t="str">
            <v>RL</v>
          </cell>
          <cell r="D3507" t="str">
            <v>RM100</v>
          </cell>
          <cell r="E3507">
            <v>25.03</v>
          </cell>
          <cell r="G3507">
            <v>220194</v>
          </cell>
        </row>
        <row r="3508">
          <cell r="A3508">
            <v>220195</v>
          </cell>
          <cell r="B3508" t="str">
            <v>TUBE,PNU 3/8"OD,GREEN,SMC#TIUB11G-20</v>
          </cell>
          <cell r="C3508" t="str">
            <v>RL</v>
          </cell>
          <cell r="D3508" t="str">
            <v>RM100</v>
          </cell>
          <cell r="E3508">
            <v>25.03</v>
          </cell>
          <cell r="G3508">
            <v>220195</v>
          </cell>
        </row>
        <row r="3509">
          <cell r="A3509">
            <v>220202</v>
          </cell>
          <cell r="B3509" t="str">
            <v>CASTER,2"DIA.x1"Wx3.218" GD-60F</v>
          </cell>
          <cell r="C3509" t="str">
            <v>EA</v>
          </cell>
          <cell r="D3509" t="str">
            <v>MA100</v>
          </cell>
          <cell r="E3509">
            <v>38.33</v>
          </cell>
          <cell r="G3509">
            <v>220202</v>
          </cell>
        </row>
        <row r="3510">
          <cell r="A3510">
            <v>250005</v>
          </cell>
          <cell r="B3510" t="str">
            <v>XLHEAD SCR,ALUM,10-24X3/4 (5/PKG)</v>
          </cell>
          <cell r="C3510" t="str">
            <v>EA</v>
          </cell>
          <cell r="D3510" t="str">
            <v>RM100</v>
          </cell>
          <cell r="E3510">
            <v>2.4220000000000002</v>
          </cell>
          <cell r="G3510">
            <v>250005</v>
          </cell>
        </row>
        <row r="3511">
          <cell r="A3511">
            <v>250006</v>
          </cell>
          <cell r="B3511" t="str">
            <v>NUT,ALUM,10-24,NYLOCK (25/PKG)</v>
          </cell>
          <cell r="C3511" t="str">
            <v>EA</v>
          </cell>
          <cell r="D3511" t="str">
            <v>RM100</v>
          </cell>
          <cell r="E3511">
            <v>3.76</v>
          </cell>
          <cell r="G3511">
            <v>250006</v>
          </cell>
        </row>
        <row r="3512">
          <cell r="A3512">
            <v>250008</v>
          </cell>
          <cell r="B3512" t="str">
            <v>SWITCH, DOOR PUSH BUTTON CARLING#172-CBL</v>
          </cell>
          <cell r="C3512" t="str">
            <v>EA</v>
          </cell>
          <cell r="D3512" t="str">
            <v>RM100</v>
          </cell>
          <cell r="E3512">
            <v>3.5</v>
          </cell>
          <cell r="G3512">
            <v>250008</v>
          </cell>
        </row>
        <row r="3513">
          <cell r="A3513">
            <v>250009</v>
          </cell>
          <cell r="B3513" t="str">
            <v>ALUM, SWITCH COVER .125X1.25X2.75</v>
          </cell>
          <cell r="C3513" t="str">
            <v>EA</v>
          </cell>
          <cell r="D3513" t="str">
            <v>RM100</v>
          </cell>
          <cell r="E3513">
            <v>2.68</v>
          </cell>
          <cell r="G3513">
            <v>250009</v>
          </cell>
        </row>
        <row r="3514">
          <cell r="A3514">
            <v>250010</v>
          </cell>
          <cell r="B3514" t="str">
            <v>KIT, DOOR SWITCH</v>
          </cell>
          <cell r="C3514" t="str">
            <v>EA</v>
          </cell>
          <cell r="D3514" t="str">
            <v>MA100</v>
          </cell>
          <cell r="E3514">
            <v>17.175599999999999</v>
          </cell>
          <cell r="G3514">
            <v>250010</v>
          </cell>
        </row>
        <row r="3515">
          <cell r="A3515">
            <v>250011</v>
          </cell>
          <cell r="B3515" t="str">
            <v>RACEWAY, CBL 5'-0 L (IVORY)</v>
          </cell>
          <cell r="C3515" t="str">
            <v>EA</v>
          </cell>
          <cell r="D3515" t="str">
            <v>RM100</v>
          </cell>
          <cell r="E3515">
            <v>10.7</v>
          </cell>
          <cell r="G3515">
            <v>250011</v>
          </cell>
        </row>
        <row r="3516">
          <cell r="A3516">
            <v>250012</v>
          </cell>
          <cell r="B3516" t="str">
            <v>END CAP, RACEWAY (IVORY)</v>
          </cell>
          <cell r="C3516" t="str">
            <v>EA</v>
          </cell>
          <cell r="D3516" t="str">
            <v>RM100</v>
          </cell>
          <cell r="E3516">
            <v>0.76</v>
          </cell>
          <cell r="G3516">
            <v>250012</v>
          </cell>
        </row>
        <row r="3517">
          <cell r="A3517">
            <v>250016</v>
          </cell>
          <cell r="B3517" t="str">
            <v>KIT, HINGE, SWTCH, DR, 4'/2', O.S.</v>
          </cell>
          <cell r="C3517" t="str">
            <v>EA</v>
          </cell>
          <cell r="D3517" t="str">
            <v>MA100</v>
          </cell>
          <cell r="E3517">
            <v>130.42357999999999</v>
          </cell>
          <cell r="G3517">
            <v>250016</v>
          </cell>
        </row>
        <row r="3518">
          <cell r="A3518">
            <v>250017</v>
          </cell>
          <cell r="B3518" t="str">
            <v>KIT, HINGE, SWTCH, DR, 4'/2', I.S.</v>
          </cell>
          <cell r="C3518" t="str">
            <v>EA</v>
          </cell>
          <cell r="D3518" t="str">
            <v>MA100</v>
          </cell>
          <cell r="E3518">
            <v>587.28256999999996</v>
          </cell>
          <cell r="G3518">
            <v>250017</v>
          </cell>
        </row>
        <row r="3519">
          <cell r="A3519">
            <v>250018</v>
          </cell>
          <cell r="B3519" t="str">
            <v>OBSOLETE</v>
          </cell>
          <cell r="C3519" t="str">
            <v>EA</v>
          </cell>
          <cell r="D3519" t="str">
            <v>MA100</v>
          </cell>
          <cell r="E3519">
            <v>340.3655</v>
          </cell>
          <cell r="G3519">
            <v>250018</v>
          </cell>
        </row>
        <row r="3520">
          <cell r="A3520">
            <v>250019</v>
          </cell>
          <cell r="B3520" t="str">
            <v>KIT,SWITCH,OMRON,OUTSWING</v>
          </cell>
          <cell r="C3520" t="str">
            <v>EA</v>
          </cell>
          <cell r="D3520" t="str">
            <v>MA100</v>
          </cell>
          <cell r="E3520">
            <v>581.00672999999995</v>
          </cell>
          <cell r="G3520">
            <v>250019</v>
          </cell>
        </row>
        <row r="3521">
          <cell r="A3521">
            <v>250020</v>
          </cell>
          <cell r="B3521" t="str">
            <v>KIT,HINGE SWTCH,6' DBL DR,3'/3'</v>
          </cell>
          <cell r="C3521" t="str">
            <v>EA</v>
          </cell>
          <cell r="D3521" t="str">
            <v>MA100</v>
          </cell>
          <cell r="E3521">
            <v>72.076279999999997</v>
          </cell>
          <cell r="G3521">
            <v>250020</v>
          </cell>
        </row>
        <row r="3522">
          <cell r="A3522">
            <v>250021</v>
          </cell>
          <cell r="B3522" t="str">
            <v>KIT,SWITCH,OMRON,INSWING</v>
          </cell>
          <cell r="C3522" t="str">
            <v>EA</v>
          </cell>
          <cell r="D3522" t="str">
            <v>MA100</v>
          </cell>
          <cell r="E3522">
            <v>110.25503999999999</v>
          </cell>
          <cell r="G3522">
            <v>250021</v>
          </cell>
        </row>
        <row r="3523">
          <cell r="A3523">
            <v>250022</v>
          </cell>
          <cell r="B3523" t="str">
            <v>KIT,LOGICS,6' DBL DOOR</v>
          </cell>
          <cell r="C3523" t="str">
            <v>EA</v>
          </cell>
          <cell r="D3523" t="str">
            <v>MA100</v>
          </cell>
          <cell r="E3523">
            <v>181.7533</v>
          </cell>
          <cell r="G3523">
            <v>250022</v>
          </cell>
        </row>
        <row r="3524">
          <cell r="A3524">
            <v>250023</v>
          </cell>
          <cell r="B3524" t="str">
            <v>KIT,MAGLOCK,RELAY,AS2 DBL DOOR</v>
          </cell>
          <cell r="C3524" t="str">
            <v>EA</v>
          </cell>
          <cell r="D3524" t="str">
            <v>MA100</v>
          </cell>
          <cell r="E3524">
            <v>45.671669999999999</v>
          </cell>
          <cell r="G3524">
            <v>250023</v>
          </cell>
        </row>
        <row r="3525">
          <cell r="A3525">
            <v>250024</v>
          </cell>
          <cell r="B3525" t="str">
            <v>KIT,MAGLOCK,3'/3',OUTSWING</v>
          </cell>
          <cell r="C3525" t="str">
            <v>EA</v>
          </cell>
          <cell r="D3525" t="str">
            <v>MA100</v>
          </cell>
          <cell r="E3525">
            <v>975.98199999999997</v>
          </cell>
          <cell r="G3525">
            <v>250024</v>
          </cell>
        </row>
        <row r="3526">
          <cell r="A3526">
            <v>250027</v>
          </cell>
          <cell r="B3526" t="str">
            <v>WIRE,18-2 PLEN WHT (HWCHW40501802)</v>
          </cell>
          <cell r="C3526" t="str">
            <v>FT</v>
          </cell>
          <cell r="D3526" t="str">
            <v>RM100</v>
          </cell>
          <cell r="E3526">
            <v>9.3950000000000006E-2</v>
          </cell>
          <cell r="G3526">
            <v>250027</v>
          </cell>
        </row>
        <row r="3527">
          <cell r="A3527">
            <v>250030</v>
          </cell>
          <cell r="B3527" t="str">
            <v>KIT,MOTION SENSOR, EVO, O.S.</v>
          </cell>
          <cell r="C3527" t="str">
            <v>EA</v>
          </cell>
          <cell r="D3527" t="str">
            <v>MA100</v>
          </cell>
          <cell r="E3527">
            <v>772.17939999999999</v>
          </cell>
          <cell r="G3527">
            <v>250030</v>
          </cell>
        </row>
        <row r="3528">
          <cell r="A3528">
            <v>250058</v>
          </cell>
          <cell r="B3528" t="str">
            <v>TUBING,SS TYPE 304 1/2" x .049</v>
          </cell>
          <cell r="C3528" t="str">
            <v>EA</v>
          </cell>
          <cell r="D3528" t="str">
            <v>RM100</v>
          </cell>
          <cell r="E3528">
            <v>18.63</v>
          </cell>
          <cell r="G3528">
            <v>250058</v>
          </cell>
        </row>
        <row r="3529">
          <cell r="A3529">
            <v>250061</v>
          </cell>
          <cell r="B3529" t="str">
            <v>HDL,CLAMPING BLOCK 2x2 ALUM LITE BRUSH</v>
          </cell>
          <cell r="C3529" t="str">
            <v>EA</v>
          </cell>
          <cell r="D3529" t="str">
            <v>RM100</v>
          </cell>
          <cell r="E3529">
            <v>11.5</v>
          </cell>
          <cell r="G3529">
            <v>250061</v>
          </cell>
        </row>
        <row r="3530">
          <cell r="A3530">
            <v>250062</v>
          </cell>
          <cell r="B3530" t="str">
            <v xml:space="preserve"> HDL,TAPERED BLOCK 2x2 ALUM LITE BRUSH</v>
          </cell>
          <cell r="C3530" t="str">
            <v>EA</v>
          </cell>
          <cell r="D3530" t="str">
            <v>RM100</v>
          </cell>
          <cell r="E3530">
            <v>11.41</v>
          </cell>
          <cell r="G3530">
            <v>250062</v>
          </cell>
        </row>
        <row r="3531">
          <cell r="A3531">
            <v>250063</v>
          </cell>
          <cell r="B3531" t="str">
            <v>HDL,GRIP 6" ALUM LITE BRUSH</v>
          </cell>
          <cell r="C3531" t="str">
            <v>EA</v>
          </cell>
          <cell r="D3531" t="str">
            <v>RM100</v>
          </cell>
          <cell r="E3531">
            <v>18.5</v>
          </cell>
          <cell r="G3531">
            <v>250063</v>
          </cell>
        </row>
        <row r="3532">
          <cell r="A3532">
            <v>250076</v>
          </cell>
          <cell r="B3532" t="str">
            <v>CONN,RJ45 BREAK OUT BOARD</v>
          </cell>
          <cell r="C3532" t="str">
            <v>EA</v>
          </cell>
          <cell r="D3532" t="str">
            <v>FG055</v>
          </cell>
          <cell r="E3532">
            <v>7.6</v>
          </cell>
          <cell r="G3532">
            <v>250076</v>
          </cell>
        </row>
        <row r="3533">
          <cell r="A3533">
            <v>250095</v>
          </cell>
          <cell r="B3533" t="str">
            <v>SWI,DR,HONEYWELL #914CE16-3</v>
          </cell>
          <cell r="C3533" t="str">
            <v>EA</v>
          </cell>
          <cell r="D3533" t="str">
            <v>RM100</v>
          </cell>
          <cell r="E3533">
            <v>103.06</v>
          </cell>
          <cell r="G3533">
            <v>250095</v>
          </cell>
        </row>
        <row r="3534">
          <cell r="A3534">
            <v>250097</v>
          </cell>
          <cell r="B3534" t="str">
            <v>CONN,TNC BULK HD 1.25" AMPHENOL 79100*</v>
          </cell>
          <cell r="C3534" t="str">
            <v>EA</v>
          </cell>
          <cell r="D3534" t="str">
            <v>RM100</v>
          </cell>
          <cell r="E3534">
            <v>40.11</v>
          </cell>
          <cell r="G3534">
            <v>250097</v>
          </cell>
        </row>
        <row r="3535">
          <cell r="A3535">
            <v>250098</v>
          </cell>
          <cell r="B3535" t="str">
            <v>SWI,DR SQUARE D #9007MS04S0202* 6'CORD</v>
          </cell>
          <cell r="C3535" t="str">
            <v>EA</v>
          </cell>
          <cell r="D3535" t="str">
            <v>RM100</v>
          </cell>
          <cell r="E3535">
            <v>52.5</v>
          </cell>
          <cell r="G3535">
            <v>250098</v>
          </cell>
        </row>
        <row r="3536">
          <cell r="A3536">
            <v>250099</v>
          </cell>
          <cell r="B3536" t="str">
            <v>LVR,SWI,DR,SQUARE"D"#7DN</v>
          </cell>
          <cell r="C3536" t="str">
            <v>EA</v>
          </cell>
          <cell r="D3536" t="str">
            <v>RM100</v>
          </cell>
          <cell r="E3536">
            <v>6.74</v>
          </cell>
          <cell r="G3536">
            <v>250099</v>
          </cell>
        </row>
        <row r="3537">
          <cell r="A3537">
            <v>250102</v>
          </cell>
          <cell r="B3537" t="str">
            <v>OBSOLETE</v>
          </cell>
          <cell r="C3537" t="str">
            <v>EA</v>
          </cell>
          <cell r="D3537" t="str">
            <v>RM100</v>
          </cell>
          <cell r="E3537">
            <v>12.68</v>
          </cell>
          <cell r="G3537">
            <v>250102</v>
          </cell>
        </row>
        <row r="3538">
          <cell r="A3538">
            <v>250103</v>
          </cell>
          <cell r="B3538" t="str">
            <v>CONN,BNC BLKHD J/J AMPHENOL #031-220H</v>
          </cell>
          <cell r="C3538" t="str">
            <v>EA</v>
          </cell>
          <cell r="D3538" t="str">
            <v>RM100</v>
          </cell>
          <cell r="E3538">
            <v>4.93</v>
          </cell>
          <cell r="G3538">
            <v>250103</v>
          </cell>
        </row>
        <row r="3539">
          <cell r="A3539">
            <v>250199</v>
          </cell>
          <cell r="B3539" t="str">
            <v>CONN,BNC BULKHD J-J 75OHM*</v>
          </cell>
          <cell r="C3539" t="str">
            <v>EA</v>
          </cell>
          <cell r="D3539" t="str">
            <v>RM100</v>
          </cell>
          <cell r="E3539">
            <v>14.44</v>
          </cell>
          <cell r="G3539">
            <v>250199</v>
          </cell>
        </row>
        <row r="3540">
          <cell r="A3540">
            <v>250200</v>
          </cell>
          <cell r="B3540" t="str">
            <v>TRANSFORMER,500W,240-110V</v>
          </cell>
          <cell r="C3540" t="str">
            <v>EA</v>
          </cell>
          <cell r="D3540" t="str">
            <v>RM100</v>
          </cell>
          <cell r="E3540">
            <v>125.63</v>
          </cell>
          <cell r="G3540">
            <v>250200</v>
          </cell>
        </row>
        <row r="3541">
          <cell r="A3541">
            <v>250276</v>
          </cell>
          <cell r="B3541" t="str">
            <v>CONN,SMA BULKHEAD,JACK/JACK (51F3842)*</v>
          </cell>
          <cell r="C3541" t="str">
            <v>EA</v>
          </cell>
          <cell r="D3541" t="str">
            <v>RM100</v>
          </cell>
          <cell r="E3541">
            <v>9.85</v>
          </cell>
          <cell r="G3541">
            <v>250276</v>
          </cell>
        </row>
        <row r="3542">
          <cell r="A3542">
            <v>250303</v>
          </cell>
          <cell r="B3542" t="str">
            <v>FXTR,INCADASCENT LIGHT OLIER ALUM*</v>
          </cell>
          <cell r="C3542" t="str">
            <v>EA</v>
          </cell>
          <cell r="D3542" t="str">
            <v>RM100</v>
          </cell>
          <cell r="E3542">
            <v>103.91</v>
          </cell>
          <cell r="G3542">
            <v>250303</v>
          </cell>
        </row>
        <row r="3543">
          <cell r="A3543">
            <v>250304</v>
          </cell>
          <cell r="B3543" t="str">
            <v>BULB,INCANDSCENT SUPREME SUP150A-130v*</v>
          </cell>
          <cell r="C3543" t="str">
            <v>EA</v>
          </cell>
          <cell r="D3543" t="str">
            <v>RM100</v>
          </cell>
          <cell r="E3543">
            <v>2.9249999999999998</v>
          </cell>
          <cell r="G3543">
            <v>250304</v>
          </cell>
        </row>
        <row r="3544">
          <cell r="A3544">
            <v>250424</v>
          </cell>
          <cell r="B3544" t="str">
            <v>FXTR,INCANDESCENT LIGHT (SINGAPORE)*</v>
          </cell>
          <cell r="C3544" t="str">
            <v>EA</v>
          </cell>
          <cell r="D3544" t="str">
            <v>RM100</v>
          </cell>
          <cell r="E3544">
            <v>73.900000000000006</v>
          </cell>
          <cell r="G3544">
            <v>250424</v>
          </cell>
        </row>
        <row r="3545">
          <cell r="A3545">
            <v>250467</v>
          </cell>
          <cell r="B3545" t="str">
            <v>Dimmer, Faceplate MRI-DIMPLATE</v>
          </cell>
          <cell r="C3545" t="str">
            <v>EA</v>
          </cell>
          <cell r="D3545" t="str">
            <v>RM100</v>
          </cell>
          <cell r="E3545">
            <v>14.8</v>
          </cell>
          <cell r="G3545">
            <v>250467</v>
          </cell>
        </row>
        <row r="3546">
          <cell r="A3546">
            <v>250468</v>
          </cell>
          <cell r="B3546" t="str">
            <v>Down Light,ZXR,Dimmer GB#DL-H-DIMMER</v>
          </cell>
          <cell r="C3546" t="str">
            <v>EA</v>
          </cell>
          <cell r="D3546" t="str">
            <v>RM100</v>
          </cell>
          <cell r="E3546">
            <v>517.5</v>
          </cell>
          <cell r="G3546">
            <v>250468</v>
          </cell>
        </row>
        <row r="3547">
          <cell r="A3547">
            <v>250470</v>
          </cell>
          <cell r="B3547" t="str">
            <v>Down Light,ZXR,Fixture GB#DL-4000H</v>
          </cell>
          <cell r="C3547" t="str">
            <v>EA</v>
          </cell>
          <cell r="D3547" t="str">
            <v>RM100</v>
          </cell>
          <cell r="E3547">
            <v>349.45</v>
          </cell>
          <cell r="G3547">
            <v>250470</v>
          </cell>
        </row>
        <row r="3548">
          <cell r="A3548">
            <v>250471</v>
          </cell>
          <cell r="B3548" t="str">
            <v>Dimmer Switch,ZXR,GB#DL-DIMMER</v>
          </cell>
          <cell r="C3548" t="str">
            <v>EA</v>
          </cell>
          <cell r="D3548" t="str">
            <v>RM100</v>
          </cell>
          <cell r="E3548">
            <v>414</v>
          </cell>
          <cell r="G3548">
            <v>250471</v>
          </cell>
        </row>
        <row r="3549">
          <cell r="A3549">
            <v>250475</v>
          </cell>
          <cell r="B3549" t="str">
            <v>Down Light,ZXR,Fxtr GB#DL-4000(CELL RM)</v>
          </cell>
          <cell r="C3549" t="str">
            <v>EA</v>
          </cell>
          <cell r="D3549" t="str">
            <v>RM100</v>
          </cell>
          <cell r="E3549">
            <v>386.7</v>
          </cell>
          <cell r="G3549">
            <v>250475</v>
          </cell>
        </row>
        <row r="3550">
          <cell r="A3550">
            <v>250498</v>
          </cell>
          <cell r="B3550" t="str">
            <v>Down Light,Trim Ring,1" GB#DL-TR50</v>
          </cell>
          <cell r="C3550" t="str">
            <v>EA</v>
          </cell>
          <cell r="D3550" t="str">
            <v>RM100</v>
          </cell>
          <cell r="E3550">
            <v>19.5</v>
          </cell>
          <cell r="G3550">
            <v>250498</v>
          </cell>
        </row>
        <row r="3551">
          <cell r="A3551">
            <v>250499</v>
          </cell>
          <cell r="B3551" t="str">
            <v>Down Light,Lens,Frosted GB#DL-FRLENS06</v>
          </cell>
          <cell r="C3551" t="str">
            <v>EA</v>
          </cell>
          <cell r="D3551" t="str">
            <v>RM100</v>
          </cell>
          <cell r="E3551">
            <v>8.1999999999999993</v>
          </cell>
          <cell r="G3551">
            <v>250499</v>
          </cell>
        </row>
        <row r="3552">
          <cell r="A3552">
            <v>250500</v>
          </cell>
          <cell r="B3552" t="str">
            <v>Down Light,Lens,Clear GB#DL-CRLENS06</v>
          </cell>
          <cell r="C3552" t="str">
            <v>EA</v>
          </cell>
          <cell r="D3552" t="str">
            <v>RM100</v>
          </cell>
          <cell r="E3552">
            <v>13.5</v>
          </cell>
          <cell r="G3552">
            <v>250500</v>
          </cell>
        </row>
        <row r="3553">
          <cell r="A3553">
            <v>250501</v>
          </cell>
          <cell r="B3553" t="str">
            <v>Down Light,ZXR,Fixture GB#DL-3000H</v>
          </cell>
          <cell r="C3553" t="str">
            <v>EA</v>
          </cell>
          <cell r="D3553" t="str">
            <v>RM100</v>
          </cell>
          <cell r="E3553">
            <v>349.45</v>
          </cell>
          <cell r="G3553">
            <v>250501</v>
          </cell>
        </row>
        <row r="3554">
          <cell r="A3554">
            <v>250511</v>
          </cell>
          <cell r="B3554" t="str">
            <v>GDP, CEILING 4x4 QTY1 GB#C441</v>
          </cell>
          <cell r="C3554" t="str">
            <v>EA</v>
          </cell>
          <cell r="D3554" t="str">
            <v>RM100</v>
          </cell>
          <cell r="E3554">
            <v>1706.83</v>
          </cell>
          <cell r="G3554">
            <v>250511</v>
          </cell>
        </row>
        <row r="3555">
          <cell r="A3555">
            <v>250512</v>
          </cell>
          <cell r="B3555" t="str">
            <v>SWI,LIMIT DPST OMRON#DZ-10GV22-1B</v>
          </cell>
          <cell r="C3555" t="str">
            <v>EA</v>
          </cell>
          <cell r="D3555" t="str">
            <v>RM100</v>
          </cell>
          <cell r="E3555">
            <v>23.98</v>
          </cell>
          <cell r="G3555">
            <v>250512</v>
          </cell>
        </row>
        <row r="3556">
          <cell r="A3556">
            <v>250513</v>
          </cell>
          <cell r="B3556" t="str">
            <v>Trim Ring,ZXR WHITE T03WW 6"</v>
          </cell>
          <cell r="C3556" t="str">
            <v>EA</v>
          </cell>
          <cell r="D3556" t="str">
            <v>RM100</v>
          </cell>
          <cell r="E3556">
            <v>34</v>
          </cell>
          <cell r="G3556">
            <v>250513</v>
          </cell>
        </row>
        <row r="3557">
          <cell r="A3557">
            <v>250514</v>
          </cell>
          <cell r="B3557" t="str">
            <v>Trim Ring,ZXR Brushed Nickel T03BN 6"</v>
          </cell>
          <cell r="C3557" t="str">
            <v>EA</v>
          </cell>
          <cell r="D3557" t="str">
            <v>RM100</v>
          </cell>
          <cell r="E3557">
            <v>15.48</v>
          </cell>
          <cell r="G3557">
            <v>250514</v>
          </cell>
        </row>
        <row r="3558">
          <cell r="A3558">
            <v>250515</v>
          </cell>
          <cell r="B3558" t="str">
            <v>Trim Ring,ZXR Antique Bronze T03ABZ 6"</v>
          </cell>
          <cell r="C3558" t="str">
            <v>EA</v>
          </cell>
          <cell r="D3558" t="str">
            <v>RM100</v>
          </cell>
          <cell r="E3558">
            <v>15.48</v>
          </cell>
          <cell r="G3558">
            <v>250515</v>
          </cell>
        </row>
        <row r="3559">
          <cell r="A3559">
            <v>250516</v>
          </cell>
          <cell r="B3559" t="str">
            <v>Trim Ring,ZXR AM White T02AAL Clear Lens</v>
          </cell>
          <cell r="C3559" t="str">
            <v>EA</v>
          </cell>
          <cell r="D3559" t="str">
            <v>MA100</v>
          </cell>
          <cell r="E3559">
            <v>36</v>
          </cell>
          <cell r="G3559">
            <v>250516</v>
          </cell>
        </row>
        <row r="3560">
          <cell r="A3560">
            <v>250517</v>
          </cell>
          <cell r="B3560" t="str">
            <v>Trim Ring,ZXR AM WHITE T03AAL 93% Frst</v>
          </cell>
          <cell r="C3560" t="str">
            <v>EA</v>
          </cell>
          <cell r="D3560" t="str">
            <v>RM100</v>
          </cell>
          <cell r="E3560">
            <v>36</v>
          </cell>
          <cell r="G3560">
            <v>250517</v>
          </cell>
        </row>
        <row r="3561">
          <cell r="A3561">
            <v>250518</v>
          </cell>
          <cell r="B3561" t="str">
            <v>LFP,2x2,Hard Ceiling Framing Kit, NTSK22</v>
          </cell>
          <cell r="C3561" t="str">
            <v>EA</v>
          </cell>
          <cell r="D3561" t="str">
            <v>MA100</v>
          </cell>
          <cell r="E3561">
            <v>73.91</v>
          </cell>
          <cell r="G3561">
            <v>250518</v>
          </cell>
        </row>
        <row r="3562">
          <cell r="A3562">
            <v>250519</v>
          </cell>
          <cell r="B3562" t="str">
            <v>LFP,2x4,Hard Ceiling Framing Kit, NTSK24</v>
          </cell>
          <cell r="C3562" t="str">
            <v>EA</v>
          </cell>
          <cell r="D3562" t="str">
            <v>MA100</v>
          </cell>
          <cell r="E3562">
            <v>120</v>
          </cell>
          <cell r="G3562">
            <v>250519</v>
          </cell>
        </row>
        <row r="3563">
          <cell r="A3563">
            <v>250520</v>
          </cell>
          <cell r="B3563" t="str">
            <v>GDP,IMAGE,MONTE NAGLER 4x4 OR LESS</v>
          </cell>
          <cell r="C3563" t="str">
            <v>EA</v>
          </cell>
          <cell r="D3563" t="str">
            <v>RM100</v>
          </cell>
          <cell r="E3563">
            <v>400</v>
          </cell>
          <cell r="G3563">
            <v>250520</v>
          </cell>
        </row>
        <row r="3564">
          <cell r="A3564">
            <v>250521</v>
          </cell>
          <cell r="B3564" t="str">
            <v>GDP,IMAGE,MONTE NAGLER GREATER THAN 4x4</v>
          </cell>
          <cell r="C3564" t="str">
            <v>EA</v>
          </cell>
          <cell r="D3564" t="str">
            <v>RM100</v>
          </cell>
          <cell r="E3564">
            <v>500</v>
          </cell>
          <cell r="G3564">
            <v>250521</v>
          </cell>
        </row>
        <row r="3565">
          <cell r="A3565">
            <v>250522</v>
          </cell>
          <cell r="B3565" t="str">
            <v>GDP,IMAGE,NORTECH W/NAGLER IMAGE</v>
          </cell>
          <cell r="C3565" t="str">
            <v>SF</v>
          </cell>
          <cell r="D3565" t="str">
            <v>RM100</v>
          </cell>
          <cell r="E3565">
            <v>30</v>
          </cell>
          <cell r="G3565">
            <v>250522</v>
          </cell>
        </row>
        <row r="3566">
          <cell r="A3566">
            <v>250530</v>
          </cell>
          <cell r="B3566" t="str">
            <v>GDP,IMAGE,PER SQ. FT.</v>
          </cell>
          <cell r="C3566" t="str">
            <v>SF</v>
          </cell>
          <cell r="D3566" t="str">
            <v>RM100</v>
          </cell>
          <cell r="E3566">
            <v>35</v>
          </cell>
          <cell r="G3566">
            <v>250530</v>
          </cell>
        </row>
        <row r="3567">
          <cell r="A3567">
            <v>250531</v>
          </cell>
          <cell r="B3567" t="str">
            <v>GDP,ROUND,6'</v>
          </cell>
          <cell r="C3567" t="str">
            <v>EA</v>
          </cell>
          <cell r="D3567" t="str">
            <v>RM100</v>
          </cell>
          <cell r="E3567">
            <v>4583.32</v>
          </cell>
          <cell r="G3567">
            <v>250531</v>
          </cell>
        </row>
        <row r="3568">
          <cell r="A3568">
            <v>250532</v>
          </cell>
          <cell r="B3568" t="str">
            <v>GDP,ROUND,8'</v>
          </cell>
          <cell r="C3568" t="str">
            <v>EA</v>
          </cell>
          <cell r="D3568" t="str">
            <v>RM100</v>
          </cell>
          <cell r="E3568">
            <v>9177.76</v>
          </cell>
          <cell r="G3568">
            <v>250532</v>
          </cell>
        </row>
        <row r="3569">
          <cell r="A3569">
            <v>250533</v>
          </cell>
          <cell r="B3569" t="str">
            <v>GDP,ROUND,10'</v>
          </cell>
          <cell r="C3569" t="str">
            <v>EA</v>
          </cell>
          <cell r="D3569" t="str">
            <v>RM100</v>
          </cell>
          <cell r="E3569">
            <v>11400</v>
          </cell>
          <cell r="G3569">
            <v>250533</v>
          </cell>
        </row>
        <row r="3570">
          <cell r="A3570">
            <v>250534</v>
          </cell>
          <cell r="B3570" t="str">
            <v>GDP,ROUND,12'</v>
          </cell>
          <cell r="C3570" t="str">
            <v>EA</v>
          </cell>
          <cell r="D3570" t="str">
            <v>RM100</v>
          </cell>
          <cell r="E3570">
            <v>14500</v>
          </cell>
          <cell r="G3570">
            <v>250534</v>
          </cell>
        </row>
        <row r="3571">
          <cell r="A3571">
            <v>250535</v>
          </cell>
          <cell r="B3571" t="str">
            <v>GDP,WALL,30X40</v>
          </cell>
          <cell r="C3571" t="str">
            <v>EA</v>
          </cell>
          <cell r="D3571" t="str">
            <v>RM100</v>
          </cell>
          <cell r="E3571">
            <v>940</v>
          </cell>
          <cell r="G3571">
            <v>250535</v>
          </cell>
        </row>
        <row r="3572">
          <cell r="A3572">
            <v>250536</v>
          </cell>
          <cell r="B3572" t="str">
            <v>GDP,WALL,3X5</v>
          </cell>
          <cell r="C3572" t="str">
            <v>EA</v>
          </cell>
          <cell r="D3572" t="str">
            <v>RM100</v>
          </cell>
          <cell r="E3572">
            <v>1700</v>
          </cell>
          <cell r="G3572">
            <v>250536</v>
          </cell>
        </row>
        <row r="3573">
          <cell r="A3573">
            <v>250537</v>
          </cell>
          <cell r="B3573" t="str">
            <v>GDP,WALL,4X4</v>
          </cell>
          <cell r="C3573" t="str">
            <v>EA</v>
          </cell>
          <cell r="D3573" t="str">
            <v>RM100</v>
          </cell>
          <cell r="E3573">
            <v>1940</v>
          </cell>
          <cell r="G3573">
            <v>250537</v>
          </cell>
        </row>
        <row r="3574">
          <cell r="A3574">
            <v>250538</v>
          </cell>
          <cell r="B3574" t="str">
            <v>GDP,WALL,4X5</v>
          </cell>
          <cell r="C3574" t="str">
            <v>EA</v>
          </cell>
          <cell r="D3574" t="str">
            <v>RM100</v>
          </cell>
          <cell r="E3574">
            <v>2245</v>
          </cell>
          <cell r="G3574">
            <v>250538</v>
          </cell>
        </row>
        <row r="3575">
          <cell r="A3575">
            <v>250539</v>
          </cell>
          <cell r="B3575" t="str">
            <v>GDP,WALL,4X6</v>
          </cell>
          <cell r="C3575" t="str">
            <v>EA</v>
          </cell>
          <cell r="D3575" t="str">
            <v>RM100</v>
          </cell>
          <cell r="E3575">
            <v>2633.65</v>
          </cell>
          <cell r="G3575">
            <v>250539</v>
          </cell>
        </row>
        <row r="3576">
          <cell r="A3576">
            <v>250540</v>
          </cell>
          <cell r="B3576" t="str">
            <v>GDP,WALL,4X8</v>
          </cell>
          <cell r="C3576" t="str">
            <v>EA</v>
          </cell>
          <cell r="D3576" t="str">
            <v>RM100</v>
          </cell>
          <cell r="E3576">
            <v>3415</v>
          </cell>
          <cell r="G3576">
            <v>250540</v>
          </cell>
        </row>
        <row r="3577">
          <cell r="A3577">
            <v>250541</v>
          </cell>
          <cell r="B3577" t="str">
            <v>GDP,W45,WALL 4'X5'</v>
          </cell>
          <cell r="C3577" t="str">
            <v>EA</v>
          </cell>
          <cell r="D3577" t="str">
            <v>RM100</v>
          </cell>
          <cell r="E3577">
            <v>2243.65</v>
          </cell>
          <cell r="G3577">
            <v>250541</v>
          </cell>
        </row>
        <row r="3578">
          <cell r="A3578">
            <v>250542</v>
          </cell>
          <cell r="B3578" t="str">
            <v>GDP,CEILING,23 625X23.625</v>
          </cell>
          <cell r="C3578" t="str">
            <v>EA</v>
          </cell>
          <cell r="D3578" t="str">
            <v>RM100</v>
          </cell>
          <cell r="E3578">
            <v>398</v>
          </cell>
          <cell r="G3578">
            <v>250542</v>
          </cell>
        </row>
        <row r="3579">
          <cell r="A3579" t="str">
            <v>250542-1</v>
          </cell>
          <cell r="B3579" t="str">
            <v>GDP,CEILING,23 625X23.625 QTY1</v>
          </cell>
          <cell r="C3579" t="str">
            <v>EA</v>
          </cell>
          <cell r="D3579" t="str">
            <v>RM100</v>
          </cell>
          <cell r="E3579">
            <v>430</v>
          </cell>
          <cell r="G3579" t="str">
            <v>250542-1</v>
          </cell>
        </row>
        <row r="3580">
          <cell r="A3580" t="str">
            <v>250542-2</v>
          </cell>
          <cell r="B3580" t="str">
            <v>GDP,CEILING,23 625X23.625 QTY2</v>
          </cell>
          <cell r="C3580" t="str">
            <v>EA</v>
          </cell>
          <cell r="D3580" t="str">
            <v>RM100</v>
          </cell>
          <cell r="E3580">
            <v>855</v>
          </cell>
          <cell r="G3580" t="str">
            <v>250542-2</v>
          </cell>
        </row>
        <row r="3581">
          <cell r="A3581" t="str">
            <v>250542-20-EU</v>
          </cell>
          <cell r="B3581" t="str">
            <v>GDP,CEILING 23.25x23.25 QTY 20</v>
          </cell>
          <cell r="C3581" t="str">
            <v>EA</v>
          </cell>
          <cell r="D3581" t="str">
            <v>RM100</v>
          </cell>
          <cell r="E3581">
            <v>8640</v>
          </cell>
          <cell r="G3581" t="str">
            <v>250542-20-EU</v>
          </cell>
        </row>
        <row r="3582">
          <cell r="A3582" t="str">
            <v>250542-4</v>
          </cell>
          <cell r="B3582" t="str">
            <v>GDP,CEILING,23 625X23.625 QTY4</v>
          </cell>
          <cell r="C3582" t="str">
            <v>EA</v>
          </cell>
          <cell r="D3582" t="str">
            <v>RM100</v>
          </cell>
          <cell r="E3582">
            <v>1710</v>
          </cell>
          <cell r="G3582" t="str">
            <v>250542-4</v>
          </cell>
        </row>
        <row r="3583">
          <cell r="A3583" t="str">
            <v>250542-6</v>
          </cell>
          <cell r="B3583" t="str">
            <v>GDP,CEILING,23 625X23.625 QTY6</v>
          </cell>
          <cell r="C3583" t="str">
            <v>EA</v>
          </cell>
          <cell r="D3583" t="str">
            <v>RM100</v>
          </cell>
          <cell r="E3583">
            <v>2592</v>
          </cell>
          <cell r="G3583" t="str">
            <v>250542-6</v>
          </cell>
        </row>
        <row r="3584">
          <cell r="A3584" t="str">
            <v>250542-6-EU</v>
          </cell>
          <cell r="B3584" t="str">
            <v>GDP,CEILING 23.25x23.25 QTY 6</v>
          </cell>
          <cell r="C3584" t="str">
            <v>EA</v>
          </cell>
          <cell r="D3584" t="str">
            <v>RM100</v>
          </cell>
          <cell r="E3584">
            <v>2592</v>
          </cell>
          <cell r="G3584" t="str">
            <v>250542-6-EU</v>
          </cell>
        </row>
        <row r="3585">
          <cell r="A3585" t="str">
            <v>250542-8</v>
          </cell>
          <cell r="B3585" t="str">
            <v>GDP,CEILING,23 625X23.625 QTY8</v>
          </cell>
          <cell r="C3585" t="str">
            <v>EA</v>
          </cell>
          <cell r="D3585" t="str">
            <v>RM100</v>
          </cell>
          <cell r="E3585">
            <v>3415</v>
          </cell>
          <cell r="G3585" t="str">
            <v>250542-8</v>
          </cell>
        </row>
        <row r="3586">
          <cell r="A3586" t="str">
            <v>250542-9</v>
          </cell>
          <cell r="B3586" t="str">
            <v>GDP,CEILING,23 625X23.625 QTY9</v>
          </cell>
          <cell r="C3586" t="str">
            <v>EA</v>
          </cell>
          <cell r="D3586" t="str">
            <v>RM100</v>
          </cell>
          <cell r="E3586">
            <v>3888</v>
          </cell>
          <cell r="G3586" t="str">
            <v>250542-9</v>
          </cell>
        </row>
        <row r="3587">
          <cell r="A3587" t="str">
            <v>250543-1</v>
          </cell>
          <cell r="B3587" t="str">
            <v>GDP,CEILING,23.625X47.625 QTY1</v>
          </cell>
          <cell r="C3587" t="str">
            <v>EA</v>
          </cell>
          <cell r="D3587" t="str">
            <v>RM100</v>
          </cell>
          <cell r="E3587">
            <v>864</v>
          </cell>
          <cell r="G3587" t="str">
            <v>250543-1</v>
          </cell>
        </row>
        <row r="3588">
          <cell r="A3588" t="str">
            <v>250543-10</v>
          </cell>
          <cell r="B3588" t="str">
            <v>GDP,CEILING,23.625X47.625 QTY10</v>
          </cell>
          <cell r="C3588" t="str">
            <v>EA</v>
          </cell>
          <cell r="D3588" t="str">
            <v>RM100</v>
          </cell>
          <cell r="E3588">
            <v>8535</v>
          </cell>
          <cell r="G3588" t="str">
            <v>250543-10</v>
          </cell>
        </row>
        <row r="3589">
          <cell r="A3589" t="str">
            <v>250543-10-EU</v>
          </cell>
          <cell r="B3589" t="str">
            <v>GDP,CEILING 23.25x47 QTY10</v>
          </cell>
          <cell r="C3589" t="str">
            <v>EA</v>
          </cell>
          <cell r="D3589" t="str">
            <v>RM100</v>
          </cell>
          <cell r="E3589">
            <v>8535</v>
          </cell>
          <cell r="G3589" t="str">
            <v>250543-10-EU</v>
          </cell>
        </row>
        <row r="3590">
          <cell r="A3590" t="str">
            <v>250543-2</v>
          </cell>
          <cell r="B3590" t="str">
            <v>GDP,CEILING,23.625X47.625 QTY2</v>
          </cell>
          <cell r="C3590" t="str">
            <v>EA</v>
          </cell>
          <cell r="D3590" t="str">
            <v>RM100</v>
          </cell>
          <cell r="E3590">
            <v>1706.82</v>
          </cell>
          <cell r="G3590" t="str">
            <v>250543-2</v>
          </cell>
        </row>
        <row r="3591">
          <cell r="A3591" t="str">
            <v>250543-3</v>
          </cell>
          <cell r="B3591" t="str">
            <v>GDP,CEILING,23.625X47.625 QTY3</v>
          </cell>
          <cell r="C3591" t="str">
            <v>EA</v>
          </cell>
          <cell r="D3591" t="str">
            <v>RM100</v>
          </cell>
          <cell r="E3591">
            <v>2560.23</v>
          </cell>
          <cell r="G3591" t="str">
            <v>250543-3</v>
          </cell>
        </row>
        <row r="3592">
          <cell r="A3592" t="str">
            <v>250543-3-EU</v>
          </cell>
          <cell r="B3592" t="str">
            <v>GDP,CEILING 23.25x47 QTY 3</v>
          </cell>
          <cell r="C3592" t="str">
            <v>EA</v>
          </cell>
          <cell r="D3592" t="str">
            <v>RM100</v>
          </cell>
          <cell r="E3592">
            <v>2378</v>
          </cell>
          <cell r="G3592" t="str">
            <v>250543-3-EU</v>
          </cell>
        </row>
        <row r="3593">
          <cell r="A3593" t="str">
            <v>250543-4</v>
          </cell>
          <cell r="B3593" t="str">
            <v>GDP,CEILING,23.625X47.625 QTY4</v>
          </cell>
          <cell r="C3593" t="str">
            <v>EA</v>
          </cell>
          <cell r="D3593" t="str">
            <v>RM100</v>
          </cell>
          <cell r="E3593">
            <v>3415</v>
          </cell>
          <cell r="G3593" t="str">
            <v>250543-4</v>
          </cell>
        </row>
        <row r="3594">
          <cell r="A3594" t="str">
            <v>250543-5</v>
          </cell>
          <cell r="B3594" t="str">
            <v>GDP,CEILING,23.625X47.625 QTY5</v>
          </cell>
          <cell r="C3594" t="str">
            <v>EA</v>
          </cell>
          <cell r="D3594" t="str">
            <v>RM100</v>
          </cell>
          <cell r="E3594">
            <v>4270</v>
          </cell>
          <cell r="G3594" t="str">
            <v>250543-5</v>
          </cell>
        </row>
        <row r="3595">
          <cell r="A3595" t="str">
            <v>250543-6</v>
          </cell>
          <cell r="B3595" t="str">
            <v>GDP,CEILING,23.625X47.625 QTY6</v>
          </cell>
          <cell r="C3595" t="str">
            <v>EA</v>
          </cell>
          <cell r="D3595" t="str">
            <v>RM100</v>
          </cell>
          <cell r="E3595">
            <v>5184</v>
          </cell>
          <cell r="G3595" t="str">
            <v>250543-6</v>
          </cell>
        </row>
        <row r="3596">
          <cell r="A3596">
            <v>250544</v>
          </cell>
          <cell r="B3596" t="str">
            <v>DIALITE,DIMMER,LIGHT CONTROL do not buy</v>
          </cell>
          <cell r="C3596" t="str">
            <v>EA</v>
          </cell>
          <cell r="D3596" t="str">
            <v>RM100</v>
          </cell>
          <cell r="E3596">
            <v>422</v>
          </cell>
          <cell r="G3596">
            <v>250544</v>
          </cell>
        </row>
        <row r="3597">
          <cell r="A3597">
            <v>250545</v>
          </cell>
          <cell r="B3597" t="str">
            <v>DIALITE,4210 FIXTURE TRIM COVER</v>
          </cell>
          <cell r="C3597" t="str">
            <v>EA</v>
          </cell>
          <cell r="D3597" t="str">
            <v>RM100</v>
          </cell>
          <cell r="E3597">
            <v>72</v>
          </cell>
          <cell r="G3597">
            <v>250545</v>
          </cell>
        </row>
        <row r="3598">
          <cell r="A3598">
            <v>250546</v>
          </cell>
          <cell r="B3598" t="str">
            <v>DIALITE,COLOR DRIVER</v>
          </cell>
          <cell r="C3598" t="str">
            <v>EA</v>
          </cell>
          <cell r="D3598" t="str">
            <v>RM100</v>
          </cell>
          <cell r="E3598">
            <v>223.94</v>
          </cell>
          <cell r="G3598">
            <v>250546</v>
          </cell>
        </row>
        <row r="3599">
          <cell r="A3599">
            <v>250547</v>
          </cell>
          <cell r="B3599" t="str">
            <v>DIALITE,RJ45 to MOLEX CABLE</v>
          </cell>
          <cell r="C3599" t="str">
            <v>EA</v>
          </cell>
          <cell r="D3599" t="str">
            <v>RM100</v>
          </cell>
          <cell r="E3599">
            <v>42.79</v>
          </cell>
          <cell r="G3599">
            <v>250547</v>
          </cell>
        </row>
        <row r="3600">
          <cell r="A3600">
            <v>250548</v>
          </cell>
          <cell r="B3600" t="str">
            <v>DIALITE,LED LIGHT FIXTURE</v>
          </cell>
          <cell r="C3600" t="str">
            <v>EA</v>
          </cell>
          <cell r="D3600" t="str">
            <v>RM100</v>
          </cell>
          <cell r="E3600">
            <v>45</v>
          </cell>
          <cell r="G3600">
            <v>250548</v>
          </cell>
        </row>
        <row r="3601">
          <cell r="A3601">
            <v>250549</v>
          </cell>
          <cell r="B3601" t="str">
            <v>DIALITE,RJ45 CONNECTOR ASSY.</v>
          </cell>
          <cell r="C3601" t="str">
            <v>EA</v>
          </cell>
          <cell r="D3601" t="str">
            <v>RM100</v>
          </cell>
          <cell r="E3601">
            <v>5.69</v>
          </cell>
          <cell r="G3601">
            <v>250549</v>
          </cell>
        </row>
        <row r="3602">
          <cell r="A3602">
            <v>250550</v>
          </cell>
          <cell r="B3602" t="str">
            <v>DIALITE,RJ45 CONNECTOR</v>
          </cell>
          <cell r="C3602" t="str">
            <v>EA</v>
          </cell>
          <cell r="D3602" t="str">
            <v>RM100</v>
          </cell>
          <cell r="E3602">
            <v>1.47</v>
          </cell>
          <cell r="G3602">
            <v>250550</v>
          </cell>
        </row>
        <row r="3603">
          <cell r="A3603">
            <v>250551</v>
          </cell>
          <cell r="B3603" t="str">
            <v>DIALITE,RJ45 (2'-0 LONG) CABLE</v>
          </cell>
          <cell r="C3603" t="str">
            <v>EA</v>
          </cell>
          <cell r="D3603" t="str">
            <v>RM100</v>
          </cell>
          <cell r="E3603">
            <v>7.51</v>
          </cell>
          <cell r="G3603">
            <v>250551</v>
          </cell>
        </row>
        <row r="3604">
          <cell r="A3604">
            <v>250552</v>
          </cell>
          <cell r="B3604" t="str">
            <v>DIALITE,RJ45 5M CABLE (do not buy)</v>
          </cell>
          <cell r="C3604" t="str">
            <v>EA</v>
          </cell>
          <cell r="D3604" t="str">
            <v>RM100</v>
          </cell>
          <cell r="E3604">
            <v>14.05</v>
          </cell>
          <cell r="G3604">
            <v>250552</v>
          </cell>
        </row>
        <row r="3605">
          <cell r="A3605">
            <v>250553</v>
          </cell>
          <cell r="B3605" t="str">
            <v>DIALITE,RJ45-2 (2 METER LONG) CABLE</v>
          </cell>
          <cell r="C3605" t="str">
            <v>EA</v>
          </cell>
          <cell r="D3605" t="str">
            <v>RM100</v>
          </cell>
          <cell r="E3605">
            <v>7.51</v>
          </cell>
          <cell r="G3605">
            <v>250553</v>
          </cell>
        </row>
        <row r="3606">
          <cell r="A3606">
            <v>250554</v>
          </cell>
          <cell r="B3606" t="str">
            <v>DIALITE,RJ45F ADAPTER CABLE</v>
          </cell>
          <cell r="C3606" t="str">
            <v>EA</v>
          </cell>
          <cell r="D3606" t="str">
            <v>RM100</v>
          </cell>
          <cell r="E3606">
            <v>18.2</v>
          </cell>
          <cell r="G3606">
            <v>250554</v>
          </cell>
        </row>
        <row r="3607">
          <cell r="A3607">
            <v>250556</v>
          </cell>
          <cell r="B3607" t="str">
            <v>PS,,ZXR EXT DRVR 6 OUTPUT 4-6 FIXTURES</v>
          </cell>
          <cell r="C3607" t="str">
            <v>EA</v>
          </cell>
          <cell r="D3607" t="str">
            <v>MA100</v>
          </cell>
          <cell r="E3607">
            <v>1160</v>
          </cell>
          <cell r="G3607">
            <v>250556</v>
          </cell>
        </row>
        <row r="3608">
          <cell r="A3608">
            <v>250557</v>
          </cell>
          <cell r="B3608" t="str">
            <v>PS,,ZXR EXT DRVR 7 OUTPUT 7 FIXTURES</v>
          </cell>
          <cell r="C3608" t="str">
            <v>EA</v>
          </cell>
          <cell r="D3608" t="str">
            <v>MA100</v>
          </cell>
          <cell r="E3608">
            <v>1160</v>
          </cell>
          <cell r="G3608">
            <v>250557</v>
          </cell>
        </row>
        <row r="3609">
          <cell r="A3609">
            <v>250558</v>
          </cell>
          <cell r="B3609" t="str">
            <v>PS,,ZXR EXT DRVR 14 OUTPUT 8-14 FIXTURES</v>
          </cell>
          <cell r="C3609" t="str">
            <v>EA</v>
          </cell>
          <cell r="D3609" t="str">
            <v>RM100</v>
          </cell>
          <cell r="E3609">
            <v>1160</v>
          </cell>
          <cell r="G3609">
            <v>250558</v>
          </cell>
        </row>
        <row r="3610">
          <cell r="A3610">
            <v>250559</v>
          </cell>
          <cell r="B3610" t="str">
            <v>PS,,ZXR EXT DRVR 21 OUTPUT 15-21 FIXTURE</v>
          </cell>
          <cell r="C3610" t="str">
            <v>EA</v>
          </cell>
          <cell r="D3610" t="str">
            <v>RM100</v>
          </cell>
          <cell r="E3610">
            <v>1464</v>
          </cell>
          <cell r="G3610">
            <v>250559</v>
          </cell>
        </row>
        <row r="3611">
          <cell r="A3611">
            <v>250560</v>
          </cell>
          <cell r="B3611" t="str">
            <v>Down Light,ZXR,Fixture Ext Drvr 3000K</v>
          </cell>
          <cell r="C3611" t="str">
            <v>EA</v>
          </cell>
          <cell r="D3611" t="str">
            <v>MA100</v>
          </cell>
          <cell r="E3611">
            <v>255</v>
          </cell>
          <cell r="G3611">
            <v>250560</v>
          </cell>
        </row>
        <row r="3612">
          <cell r="A3612">
            <v>250561</v>
          </cell>
          <cell r="B3612" t="str">
            <v>Down Light,ZXR,Fixture Ext Drvr 3500K</v>
          </cell>
          <cell r="C3612" t="str">
            <v>EA</v>
          </cell>
          <cell r="D3612" t="str">
            <v>RM100</v>
          </cell>
          <cell r="E3612">
            <v>255</v>
          </cell>
          <cell r="G3612">
            <v>250561</v>
          </cell>
        </row>
        <row r="3613">
          <cell r="A3613">
            <v>250562</v>
          </cell>
          <cell r="B3613" t="str">
            <v>Down Light,ZXR,Fixture Ext Drvr 4000K</v>
          </cell>
          <cell r="C3613" t="str">
            <v>EA</v>
          </cell>
          <cell r="D3613" t="str">
            <v>RM100</v>
          </cell>
          <cell r="E3613">
            <v>255</v>
          </cell>
          <cell r="G3613">
            <v>250562</v>
          </cell>
        </row>
        <row r="3614">
          <cell r="A3614">
            <v>250563</v>
          </cell>
          <cell r="B3614" t="str">
            <v>KIT,PS,ZXR EXT DRVR 10 OUTPUT 2-10 FIXTR</v>
          </cell>
          <cell r="C3614" t="str">
            <v>EA</v>
          </cell>
          <cell r="D3614" t="str">
            <v>MA100</v>
          </cell>
          <cell r="E3614">
            <v>1160</v>
          </cell>
          <cell r="G3614">
            <v>250563</v>
          </cell>
        </row>
        <row r="3615">
          <cell r="A3615">
            <v>250564</v>
          </cell>
          <cell r="B3615" t="str">
            <v>KIT,PS,ZXR EXT DRVR 1 OUTPUT 1-2 FIXT</v>
          </cell>
          <cell r="C3615" t="str">
            <v>EA</v>
          </cell>
          <cell r="D3615" t="str">
            <v>MA100</v>
          </cell>
          <cell r="E3615">
            <v>870</v>
          </cell>
          <cell r="G3615">
            <v>250564</v>
          </cell>
        </row>
        <row r="3616">
          <cell r="A3616">
            <v>250565</v>
          </cell>
          <cell r="B3616" t="str">
            <v>KIT,PS,ZXR EXT DRVR 3 OUTPUT 11-15 FIXT</v>
          </cell>
          <cell r="C3616" t="str">
            <v>EA</v>
          </cell>
          <cell r="D3616" t="str">
            <v>MA100</v>
          </cell>
          <cell r="E3616">
            <v>1464</v>
          </cell>
          <cell r="G3616">
            <v>250565</v>
          </cell>
        </row>
        <row r="3617">
          <cell r="A3617">
            <v>250566</v>
          </cell>
          <cell r="B3617" t="str">
            <v>DIMMER, ZXR EXT DRVR 0-10V</v>
          </cell>
          <cell r="C3617" t="str">
            <v>EA</v>
          </cell>
          <cell r="D3617" t="str">
            <v>MA100</v>
          </cell>
          <cell r="E3617">
            <v>108</v>
          </cell>
          <cell r="G3617">
            <v>250566</v>
          </cell>
        </row>
        <row r="3618">
          <cell r="A3618">
            <v>250567</v>
          </cell>
          <cell r="B3618" t="str">
            <v>DIST BOX,NTDB-1-2,ZXR,EXT</v>
          </cell>
          <cell r="C3618" t="str">
            <v>EA</v>
          </cell>
          <cell r="D3618" t="str">
            <v>MA100</v>
          </cell>
          <cell r="E3618">
            <v>260</v>
          </cell>
          <cell r="G3618">
            <v>250567</v>
          </cell>
        </row>
        <row r="3619">
          <cell r="A3619">
            <v>250568</v>
          </cell>
          <cell r="B3619" t="str">
            <v>DIST BOX, NTDB-2-10,ZXR,EXT</v>
          </cell>
          <cell r="C3619" t="str">
            <v>EA</v>
          </cell>
          <cell r="D3619" t="str">
            <v>MA100</v>
          </cell>
          <cell r="E3619">
            <v>355</v>
          </cell>
          <cell r="G3619">
            <v>250568</v>
          </cell>
        </row>
        <row r="3620">
          <cell r="A3620">
            <v>250569</v>
          </cell>
          <cell r="B3620" t="str">
            <v>DIST BOX,NTDB-11-15,ZXR,EXT</v>
          </cell>
          <cell r="C3620" t="str">
            <v>EA</v>
          </cell>
          <cell r="D3620" t="str">
            <v>MA100</v>
          </cell>
          <cell r="E3620">
            <v>460</v>
          </cell>
          <cell r="G3620">
            <v>250569</v>
          </cell>
        </row>
        <row r="3621">
          <cell r="A3621">
            <v>250570</v>
          </cell>
          <cell r="B3621" t="str">
            <v>FXTR,PNL LED 2X2 45W 4000K,3300 LUMEN</v>
          </cell>
          <cell r="C3621" t="str">
            <v>EA</v>
          </cell>
          <cell r="D3621" t="str">
            <v>RM100</v>
          </cell>
          <cell r="E3621">
            <v>390</v>
          </cell>
          <cell r="G3621">
            <v>250570</v>
          </cell>
        </row>
        <row r="3622">
          <cell r="A3622" t="str">
            <v>250570-10</v>
          </cell>
          <cell r="B3622" t="str">
            <v>KIT,LFP2X2-40K,3300L,35W,10 FIX W/DRIVR</v>
          </cell>
          <cell r="C3622" t="str">
            <v>EA</v>
          </cell>
          <cell r="D3622" t="str">
            <v>RM100</v>
          </cell>
          <cell r="E3622">
            <v>4515</v>
          </cell>
          <cell r="G3622" t="str">
            <v>250570-10</v>
          </cell>
        </row>
        <row r="3623">
          <cell r="A3623" t="str">
            <v>250570-12</v>
          </cell>
          <cell r="B3623" t="str">
            <v>KIT,LFP2X2-40K,3300L,35W,12 FIX W/DRIVR</v>
          </cell>
          <cell r="C3623" t="str">
            <v>EA</v>
          </cell>
          <cell r="D3623" t="str">
            <v>RM100</v>
          </cell>
          <cell r="E3623">
            <v>5375</v>
          </cell>
          <cell r="G3623" t="str">
            <v>250570-12</v>
          </cell>
        </row>
        <row r="3624">
          <cell r="A3624" t="str">
            <v>250570-2</v>
          </cell>
          <cell r="B3624" t="str">
            <v>KIT,LFP2X2-40K,3300L,35W,2 FIX W/DRIVR</v>
          </cell>
          <cell r="C3624" t="str">
            <v>EA</v>
          </cell>
          <cell r="D3624" t="str">
            <v>RM100</v>
          </cell>
          <cell r="E3624">
            <v>1265</v>
          </cell>
          <cell r="G3624" t="str">
            <v>250570-2</v>
          </cell>
        </row>
        <row r="3625">
          <cell r="A3625" t="str">
            <v>250570-4</v>
          </cell>
          <cell r="B3625" t="str">
            <v>KIT,LFP2X2-40K,3300L,35W,4 FIX W/DRIVR</v>
          </cell>
          <cell r="C3625" t="str">
            <v>EA</v>
          </cell>
          <cell r="D3625" t="str">
            <v>RM100</v>
          </cell>
          <cell r="E3625">
            <v>1935</v>
          </cell>
          <cell r="G3625" t="str">
            <v>250570-4</v>
          </cell>
        </row>
        <row r="3626">
          <cell r="A3626" t="str">
            <v>250570-5</v>
          </cell>
          <cell r="B3626" t="str">
            <v>KIT,LFP2X2-40K,3300L,35W,5 FIX W/DRIVR</v>
          </cell>
          <cell r="C3626" t="str">
            <v>EA</v>
          </cell>
          <cell r="D3626" t="str">
            <v>RM100</v>
          </cell>
          <cell r="E3626">
            <v>2365</v>
          </cell>
          <cell r="G3626" t="str">
            <v>250570-5</v>
          </cell>
        </row>
        <row r="3627">
          <cell r="A3627" t="str">
            <v>250570-6</v>
          </cell>
          <cell r="B3627" t="str">
            <v>KIT,LFP2X2-40K,3300L,35W,6 FIX W/DRIVR</v>
          </cell>
          <cell r="C3627" t="str">
            <v>EA</v>
          </cell>
          <cell r="D3627" t="str">
            <v>RM100</v>
          </cell>
          <cell r="E3627">
            <v>2795</v>
          </cell>
          <cell r="G3627" t="str">
            <v>250570-6</v>
          </cell>
        </row>
        <row r="3628">
          <cell r="A3628" t="str">
            <v>250570-8</v>
          </cell>
          <cell r="B3628" t="str">
            <v>KIT,LFP2X2-40K,3300L,35W,8 FIX W/DRIVR</v>
          </cell>
          <cell r="C3628" t="str">
            <v>EA</v>
          </cell>
          <cell r="D3628" t="str">
            <v>RM100</v>
          </cell>
          <cell r="E3628">
            <v>3655</v>
          </cell>
          <cell r="G3628" t="str">
            <v>250570-8</v>
          </cell>
        </row>
        <row r="3629">
          <cell r="A3629" t="str">
            <v>250570-9</v>
          </cell>
          <cell r="B3629" t="str">
            <v>KIT,LFP2X2-40K,3300L,35W,9 FIX W/DRIVR</v>
          </cell>
          <cell r="C3629" t="str">
            <v>EA</v>
          </cell>
          <cell r="D3629" t="str">
            <v>RM100</v>
          </cell>
          <cell r="E3629">
            <v>4185</v>
          </cell>
          <cell r="G3629" t="str">
            <v>250570-9</v>
          </cell>
        </row>
        <row r="3630">
          <cell r="A3630">
            <v>250571</v>
          </cell>
          <cell r="B3630" t="str">
            <v>FXTR,PNL LED 2X4 45W 4000K,3300 LUMEN</v>
          </cell>
          <cell r="C3630" t="str">
            <v>EA</v>
          </cell>
          <cell r="D3630" t="str">
            <v>MA100</v>
          </cell>
          <cell r="E3630">
            <v>440</v>
          </cell>
          <cell r="G3630">
            <v>250571</v>
          </cell>
        </row>
        <row r="3631">
          <cell r="A3631" t="str">
            <v>250571-10</v>
          </cell>
          <cell r="B3631" t="str">
            <v>KIT,LFP2X4-40K,4700L,48W,10 FIX W/DRIVR</v>
          </cell>
          <cell r="C3631" t="str">
            <v>EA</v>
          </cell>
          <cell r="D3631" t="str">
            <v>RM100</v>
          </cell>
          <cell r="E3631">
            <v>5990</v>
          </cell>
          <cell r="G3631" t="str">
            <v>250571-10</v>
          </cell>
        </row>
        <row r="3632">
          <cell r="A3632" t="str">
            <v>250571-12</v>
          </cell>
          <cell r="B3632" t="str">
            <v>KIT,LFP2X4-40K,4700L,48W,12 FIX W/DRIVR</v>
          </cell>
          <cell r="C3632" t="str">
            <v>EA</v>
          </cell>
          <cell r="D3632" t="str">
            <v>RM100</v>
          </cell>
          <cell r="E3632">
            <v>7140</v>
          </cell>
          <cell r="G3632" t="str">
            <v>250571-12</v>
          </cell>
        </row>
        <row r="3633">
          <cell r="A3633" t="str">
            <v>250571-2</v>
          </cell>
          <cell r="B3633" t="str">
            <v>KIT,LFP2X4-40K,4700L,48W,2 FIX W/DRIVR</v>
          </cell>
          <cell r="C3633" t="str">
            <v>EA</v>
          </cell>
          <cell r="D3633" t="str">
            <v>MA100</v>
          </cell>
          <cell r="E3633">
            <v>1870</v>
          </cell>
          <cell r="G3633" t="str">
            <v>250571-2</v>
          </cell>
        </row>
        <row r="3634">
          <cell r="A3634" t="str">
            <v>250571-4</v>
          </cell>
          <cell r="B3634" t="str">
            <v>KIT,LFP2X4-40K,4700L,48W,4 FIX W/DRIVR</v>
          </cell>
          <cell r="C3634" t="str">
            <v>EA</v>
          </cell>
          <cell r="D3634" t="str">
            <v>RM100</v>
          </cell>
          <cell r="E3634">
            <v>2540</v>
          </cell>
          <cell r="G3634" t="str">
            <v>250571-4</v>
          </cell>
        </row>
        <row r="3635">
          <cell r="A3635" t="str">
            <v>250571-5</v>
          </cell>
          <cell r="B3635" t="str">
            <v>KIT,LFP2X4-40K,4700L,48W,5 FIX W/DRIVR</v>
          </cell>
          <cell r="C3635" t="str">
            <v>EA</v>
          </cell>
          <cell r="D3635" t="str">
            <v>RM100</v>
          </cell>
          <cell r="E3635">
            <v>3115</v>
          </cell>
          <cell r="G3635" t="str">
            <v>250571-5</v>
          </cell>
        </row>
        <row r="3636">
          <cell r="A3636" t="str">
            <v>250571-6</v>
          </cell>
          <cell r="B3636" t="str">
            <v>KIT,LFP2X4-40K,4700L,48W,6 FIX W/DRIVR</v>
          </cell>
          <cell r="C3636" t="str">
            <v>EA</v>
          </cell>
          <cell r="D3636" t="str">
            <v>RM100</v>
          </cell>
          <cell r="E3636">
            <v>3690</v>
          </cell>
          <cell r="G3636" t="str">
            <v>250571-6</v>
          </cell>
        </row>
        <row r="3637">
          <cell r="A3637" t="str">
            <v>250571-7</v>
          </cell>
          <cell r="B3637" t="str">
            <v>KIT,LFP2X4-40K,4700L,48W,7 FIX W/DRIVR</v>
          </cell>
          <cell r="C3637" t="str">
            <v>EA</v>
          </cell>
          <cell r="D3637" t="str">
            <v>RM100</v>
          </cell>
          <cell r="E3637">
            <v>4265</v>
          </cell>
          <cell r="G3637" t="str">
            <v>250571-7</v>
          </cell>
        </row>
        <row r="3638">
          <cell r="A3638" t="str">
            <v>250571-8</v>
          </cell>
          <cell r="B3638" t="str">
            <v>KIT,LFP2X4-40K,4700L,48W,8 FIX W/DRIVR</v>
          </cell>
          <cell r="C3638" t="str">
            <v>EA</v>
          </cell>
          <cell r="D3638" t="str">
            <v>RM100</v>
          </cell>
          <cell r="E3638">
            <v>4840</v>
          </cell>
          <cell r="G3638" t="str">
            <v>250571-8</v>
          </cell>
        </row>
        <row r="3639">
          <cell r="A3639" t="str">
            <v>250571-9</v>
          </cell>
          <cell r="B3639" t="str">
            <v>KIT,LFP2X4-40K,4700L,48W,9 FIX W/DRIVR</v>
          </cell>
          <cell r="C3639" t="str">
            <v>EA</v>
          </cell>
          <cell r="D3639" t="str">
            <v>RM100</v>
          </cell>
          <cell r="E3639">
            <v>5415</v>
          </cell>
          <cell r="G3639" t="str">
            <v>250571-9</v>
          </cell>
        </row>
        <row r="3640">
          <cell r="A3640">
            <v>250573</v>
          </cell>
          <cell r="B3640" t="str">
            <v>FXTR, PDS 8 LIGHT FLAT PANEL LED</v>
          </cell>
          <cell r="C3640" t="str">
            <v>EA</v>
          </cell>
          <cell r="D3640" t="str">
            <v>RM100</v>
          </cell>
          <cell r="E3640">
            <v>520</v>
          </cell>
          <cell r="G3640">
            <v>250573</v>
          </cell>
        </row>
        <row r="3641">
          <cell r="A3641">
            <v>250574</v>
          </cell>
          <cell r="B3641" t="str">
            <v>CBL, AMBIENT SYSTEM, DRIVER TO CONN #1</v>
          </cell>
          <cell r="C3641" t="str">
            <v>EA</v>
          </cell>
          <cell r="D3641" t="str">
            <v>RM100</v>
          </cell>
          <cell r="E3641">
            <v>48</v>
          </cell>
          <cell r="G3641">
            <v>250574</v>
          </cell>
        </row>
        <row r="3642">
          <cell r="A3642">
            <v>250575</v>
          </cell>
          <cell r="B3642" t="str">
            <v>ENCL, AMBIENT SYSTEM, POWER SUPPLY</v>
          </cell>
          <cell r="C3642" t="str">
            <v>EA</v>
          </cell>
          <cell r="D3642" t="str">
            <v>RM100</v>
          </cell>
          <cell r="E3642">
            <v>260</v>
          </cell>
          <cell r="G3642">
            <v>250575</v>
          </cell>
        </row>
        <row r="3643">
          <cell r="A3643">
            <v>250578</v>
          </cell>
          <cell r="B3643" t="str">
            <v>MANUAL,AMBIENT LIGHTING SPOT</v>
          </cell>
          <cell r="C3643" t="str">
            <v>EA</v>
          </cell>
          <cell r="D3643" t="str">
            <v>RM100</v>
          </cell>
          <cell r="E3643">
            <v>0</v>
          </cell>
          <cell r="G3643">
            <v>250578</v>
          </cell>
        </row>
        <row r="3644">
          <cell r="A3644">
            <v>250580</v>
          </cell>
          <cell r="B3644" t="str">
            <v>FXTR,PNL LED 2X2 45W 3500K,3300 LUMEN</v>
          </cell>
          <cell r="C3644" t="str">
            <v>EA</v>
          </cell>
          <cell r="D3644" t="str">
            <v>MA100</v>
          </cell>
          <cell r="E3644">
            <v>390</v>
          </cell>
          <cell r="G3644">
            <v>250580</v>
          </cell>
        </row>
        <row r="3645">
          <cell r="A3645" t="str">
            <v>250580-10</v>
          </cell>
          <cell r="B3645" t="str">
            <v>KIT,LFP2X2-35K,3000L,35W,10 FIX W/DRIVR</v>
          </cell>
          <cell r="C3645" t="str">
            <v>EA</v>
          </cell>
          <cell r="D3645" t="str">
            <v>RM100</v>
          </cell>
          <cell r="E3645">
            <v>4515</v>
          </cell>
          <cell r="G3645" t="str">
            <v>250580-10</v>
          </cell>
        </row>
        <row r="3646">
          <cell r="A3646" t="str">
            <v>250580-12</v>
          </cell>
          <cell r="B3646" t="str">
            <v>KIT,LFP2X2-35K,3000L,35W,12 FIX W/DRIVR</v>
          </cell>
          <cell r="C3646" t="str">
            <v>EA</v>
          </cell>
          <cell r="D3646" t="str">
            <v>RM100</v>
          </cell>
          <cell r="E3646">
            <v>5375</v>
          </cell>
          <cell r="G3646" t="str">
            <v>250580-12</v>
          </cell>
        </row>
        <row r="3647">
          <cell r="A3647" t="str">
            <v>250580-2</v>
          </cell>
          <cell r="B3647" t="str">
            <v>KIT,LFP2X2-35K,3000L,35W,2 FIX W/DRIVR</v>
          </cell>
          <cell r="C3647" t="str">
            <v>EA</v>
          </cell>
          <cell r="D3647" t="str">
            <v>RM100</v>
          </cell>
          <cell r="E3647">
            <v>1265</v>
          </cell>
          <cell r="G3647" t="str">
            <v>250580-2</v>
          </cell>
        </row>
        <row r="3648">
          <cell r="A3648" t="str">
            <v>250580-4</v>
          </cell>
          <cell r="B3648" t="str">
            <v>KIT,LFP2X2-35K,3000L,35W,4 FIX W/DRIVR</v>
          </cell>
          <cell r="C3648" t="str">
            <v>EA</v>
          </cell>
          <cell r="D3648" t="str">
            <v>RM100</v>
          </cell>
          <cell r="E3648">
            <v>1935</v>
          </cell>
          <cell r="G3648" t="str">
            <v>250580-4</v>
          </cell>
        </row>
        <row r="3649">
          <cell r="A3649" t="str">
            <v>250580-5</v>
          </cell>
          <cell r="B3649" t="str">
            <v>KIT,LFP2X2-35K,3000L,35W,5 FIX W/DRIVR</v>
          </cell>
          <cell r="C3649" t="str">
            <v>EA</v>
          </cell>
          <cell r="D3649" t="str">
            <v>RM100</v>
          </cell>
          <cell r="E3649">
            <v>2365</v>
          </cell>
          <cell r="G3649" t="str">
            <v>250580-5</v>
          </cell>
        </row>
        <row r="3650">
          <cell r="A3650" t="str">
            <v>250580-6</v>
          </cell>
          <cell r="B3650" t="str">
            <v>KIT,LFP2X2-35K,3000L,35W,6 FIX W/DRIVR</v>
          </cell>
          <cell r="C3650" t="str">
            <v>EA</v>
          </cell>
          <cell r="D3650" t="str">
            <v>RM100</v>
          </cell>
          <cell r="E3650">
            <v>2795</v>
          </cell>
          <cell r="G3650" t="str">
            <v>250580-6</v>
          </cell>
        </row>
        <row r="3651">
          <cell r="A3651" t="str">
            <v>250580-8</v>
          </cell>
          <cell r="B3651" t="str">
            <v>KIT,LFP2X2-35K,3000L,35W,8 FIX W/DRIVR</v>
          </cell>
          <cell r="C3651" t="str">
            <v>EA</v>
          </cell>
          <cell r="D3651" t="str">
            <v>RM100</v>
          </cell>
          <cell r="E3651">
            <v>3655</v>
          </cell>
          <cell r="G3651" t="str">
            <v>250580-8</v>
          </cell>
        </row>
        <row r="3652">
          <cell r="A3652" t="str">
            <v>250580-9</v>
          </cell>
          <cell r="B3652" t="str">
            <v>KIT,LFP2X2-35K,3000L,35W,9 FIX W/DRIVR</v>
          </cell>
          <cell r="C3652" t="str">
            <v>EA</v>
          </cell>
          <cell r="D3652" t="str">
            <v>RM100</v>
          </cell>
          <cell r="E3652">
            <v>4185</v>
          </cell>
          <cell r="G3652" t="str">
            <v>250580-9</v>
          </cell>
        </row>
        <row r="3653">
          <cell r="A3653">
            <v>250581</v>
          </cell>
          <cell r="B3653" t="str">
            <v>FXTR,PNL LED 2X4 45W 3500K,3300 LUMEN</v>
          </cell>
          <cell r="C3653" t="str">
            <v>EA</v>
          </cell>
          <cell r="D3653" t="str">
            <v>MA100</v>
          </cell>
          <cell r="E3653">
            <v>440</v>
          </cell>
          <cell r="G3653">
            <v>250581</v>
          </cell>
        </row>
        <row r="3654">
          <cell r="A3654" t="str">
            <v>250581-10</v>
          </cell>
          <cell r="B3654" t="str">
            <v>KIT,LFP2X4-35K,4500L,48W,10 FIX W/DRIVR</v>
          </cell>
          <cell r="C3654" t="str">
            <v>EA</v>
          </cell>
          <cell r="D3654" t="str">
            <v>RM100</v>
          </cell>
          <cell r="E3654">
            <v>5990</v>
          </cell>
          <cell r="G3654" t="str">
            <v>250581-10</v>
          </cell>
        </row>
        <row r="3655">
          <cell r="A3655" t="str">
            <v>250581-12</v>
          </cell>
          <cell r="B3655" t="str">
            <v>KIT,LFP2X4-35K,4500L,48W,12 FIX W/DRIVR</v>
          </cell>
          <cell r="C3655" t="str">
            <v>EA</v>
          </cell>
          <cell r="D3655" t="str">
            <v>RM100</v>
          </cell>
          <cell r="E3655">
            <v>7140</v>
          </cell>
          <cell r="G3655" t="str">
            <v>250581-12</v>
          </cell>
        </row>
        <row r="3656">
          <cell r="A3656" t="str">
            <v>250581-2</v>
          </cell>
          <cell r="B3656" t="str">
            <v>KIT,LFP2X4-35K,4500L,48W,2 FIX W/DRIVR</v>
          </cell>
          <cell r="C3656" t="str">
            <v>EA</v>
          </cell>
          <cell r="D3656" t="str">
            <v>MA100</v>
          </cell>
          <cell r="E3656">
            <v>1870</v>
          </cell>
          <cell r="G3656" t="str">
            <v>250581-2</v>
          </cell>
        </row>
        <row r="3657">
          <cell r="A3657" t="str">
            <v>250581-4</v>
          </cell>
          <cell r="B3657" t="str">
            <v>KIT,LFP2X4-35K,4500L,48W,4 FIX W/DRIVR</v>
          </cell>
          <cell r="C3657" t="str">
            <v>EA</v>
          </cell>
          <cell r="D3657" t="str">
            <v>RM100</v>
          </cell>
          <cell r="E3657">
            <v>2540</v>
          </cell>
          <cell r="G3657" t="str">
            <v>250581-4</v>
          </cell>
        </row>
        <row r="3658">
          <cell r="A3658" t="str">
            <v>250581-5</v>
          </cell>
          <cell r="B3658" t="str">
            <v>KIT,LFP2X4-35K,4500L,48W,4 FIX W/DRIVR</v>
          </cell>
          <cell r="C3658" t="str">
            <v>EA</v>
          </cell>
          <cell r="D3658" t="str">
            <v>RM100</v>
          </cell>
          <cell r="E3658">
            <v>3115</v>
          </cell>
          <cell r="G3658" t="str">
            <v>250581-5</v>
          </cell>
        </row>
        <row r="3659">
          <cell r="A3659" t="str">
            <v>250581-6</v>
          </cell>
          <cell r="B3659" t="str">
            <v>KIT,LFP2X4-35K,4500L,48W,6 FIX W/DRIVR</v>
          </cell>
          <cell r="C3659" t="str">
            <v>EA</v>
          </cell>
          <cell r="D3659" t="str">
            <v>RM100</v>
          </cell>
          <cell r="E3659">
            <v>3690</v>
          </cell>
          <cell r="G3659" t="str">
            <v>250581-6</v>
          </cell>
        </row>
        <row r="3660">
          <cell r="A3660" t="str">
            <v>250581-8</v>
          </cell>
          <cell r="B3660" t="str">
            <v>KIT,LFP2X4-35K,4500L,48W,8 FIX W/DRIVR</v>
          </cell>
          <cell r="C3660" t="str">
            <v>EA</v>
          </cell>
          <cell r="D3660" t="str">
            <v>RM100</v>
          </cell>
          <cell r="E3660">
            <v>4840</v>
          </cell>
          <cell r="G3660" t="str">
            <v>250581-8</v>
          </cell>
        </row>
        <row r="3661">
          <cell r="A3661" t="str">
            <v>250581-9</v>
          </cell>
          <cell r="B3661" t="str">
            <v>KIT,LFP2X4-35K,4500L,48W,9 FIX W/DRIVR</v>
          </cell>
          <cell r="C3661" t="str">
            <v>EA</v>
          </cell>
          <cell r="D3661" t="str">
            <v>RM100</v>
          </cell>
          <cell r="E3661">
            <v>5415</v>
          </cell>
          <cell r="G3661" t="str">
            <v>250581-9</v>
          </cell>
        </row>
        <row r="3662">
          <cell r="A3662">
            <v>250582</v>
          </cell>
          <cell r="B3662" t="str">
            <v>FXTR,PNL LED 2X2 45W 3000K,3300 LUMEN</v>
          </cell>
          <cell r="C3662" t="str">
            <v>EA</v>
          </cell>
          <cell r="D3662" t="str">
            <v>MA100</v>
          </cell>
          <cell r="E3662">
            <v>390</v>
          </cell>
          <cell r="G3662">
            <v>250582</v>
          </cell>
        </row>
        <row r="3663">
          <cell r="A3663" t="str">
            <v>250582-10</v>
          </cell>
          <cell r="B3663" t="str">
            <v>KIT,LFP2X2-30K,3000L,35W,10 FIX W/DRIVR</v>
          </cell>
          <cell r="C3663" t="str">
            <v>EA</v>
          </cell>
          <cell r="D3663" t="str">
            <v>RM100</v>
          </cell>
          <cell r="E3663">
            <v>4515</v>
          </cell>
          <cell r="G3663" t="str">
            <v>250582-10</v>
          </cell>
        </row>
        <row r="3664">
          <cell r="A3664" t="str">
            <v>250582-12</v>
          </cell>
          <cell r="B3664" t="str">
            <v>KIT,LFP2X2-30K,3000L,35W,12 FIX W/DRIVR</v>
          </cell>
          <cell r="C3664" t="str">
            <v>EA</v>
          </cell>
          <cell r="D3664" t="str">
            <v>RM100</v>
          </cell>
          <cell r="E3664">
            <v>5375</v>
          </cell>
          <cell r="G3664" t="str">
            <v>250582-12</v>
          </cell>
        </row>
        <row r="3665">
          <cell r="A3665" t="str">
            <v>250582-2</v>
          </cell>
          <cell r="B3665" t="str">
            <v>KIT,LFP2X2-30K,3000L,35W,2 FIX W/DRIVR</v>
          </cell>
          <cell r="C3665" t="str">
            <v>EA</v>
          </cell>
          <cell r="D3665" t="str">
            <v>RM100</v>
          </cell>
          <cell r="E3665">
            <v>1265</v>
          </cell>
          <cell r="G3665" t="str">
            <v>250582-2</v>
          </cell>
        </row>
        <row r="3666">
          <cell r="A3666" t="str">
            <v>250582-4</v>
          </cell>
          <cell r="B3666" t="str">
            <v>KIT,LFP2X2-30K,3000L,35W,4 FIX W/DRIVR</v>
          </cell>
          <cell r="C3666" t="str">
            <v>EA</v>
          </cell>
          <cell r="D3666" t="str">
            <v>RM100</v>
          </cell>
          <cell r="E3666">
            <v>1935</v>
          </cell>
          <cell r="G3666" t="str">
            <v>250582-4</v>
          </cell>
        </row>
        <row r="3667">
          <cell r="A3667" t="str">
            <v>250582-5</v>
          </cell>
          <cell r="B3667" t="str">
            <v>KIT,LFP2X2-30K,3000L,35W,5 FIX W/DRIVR</v>
          </cell>
          <cell r="C3667" t="str">
            <v>EA</v>
          </cell>
          <cell r="D3667" t="str">
            <v>RM100</v>
          </cell>
          <cell r="E3667">
            <v>2365</v>
          </cell>
          <cell r="G3667" t="str">
            <v>250582-5</v>
          </cell>
        </row>
        <row r="3668">
          <cell r="A3668" t="str">
            <v>250582-6</v>
          </cell>
          <cell r="B3668" t="str">
            <v>KIT,LFP2X2-30K,3000L,35W,6 FIX W/DRIVR</v>
          </cell>
          <cell r="C3668" t="str">
            <v>EA</v>
          </cell>
          <cell r="D3668" t="str">
            <v>RM100</v>
          </cell>
          <cell r="E3668">
            <v>2795</v>
          </cell>
          <cell r="G3668" t="str">
            <v>250582-6</v>
          </cell>
        </row>
        <row r="3669">
          <cell r="A3669" t="str">
            <v>250582-8</v>
          </cell>
          <cell r="B3669" t="str">
            <v>KIT,LFP2X2-30K,3000L,35W,8 FIX W/DRIVR</v>
          </cell>
          <cell r="C3669" t="str">
            <v>EA</v>
          </cell>
          <cell r="D3669" t="str">
            <v>RM100</v>
          </cell>
          <cell r="E3669">
            <v>3655</v>
          </cell>
          <cell r="G3669" t="str">
            <v>250582-8</v>
          </cell>
        </row>
        <row r="3670">
          <cell r="A3670" t="str">
            <v>250582-9</v>
          </cell>
          <cell r="B3670" t="str">
            <v>KIT,LFP2X2-30K,3000L,35W,9 FIX W/DRIVR</v>
          </cell>
          <cell r="C3670" t="str">
            <v>EA</v>
          </cell>
          <cell r="D3670" t="str">
            <v>RM100</v>
          </cell>
          <cell r="E3670">
            <v>4185</v>
          </cell>
          <cell r="G3670" t="str">
            <v>250582-9</v>
          </cell>
        </row>
        <row r="3671">
          <cell r="A3671">
            <v>250583</v>
          </cell>
          <cell r="B3671" t="str">
            <v>FXTR,PNL LED 2X4 45W 3000K,3300 LUMEN</v>
          </cell>
          <cell r="C3671" t="str">
            <v>EA</v>
          </cell>
          <cell r="D3671" t="str">
            <v>MA100</v>
          </cell>
          <cell r="E3671">
            <v>440</v>
          </cell>
          <cell r="G3671">
            <v>250583</v>
          </cell>
        </row>
        <row r="3672">
          <cell r="A3672" t="str">
            <v>250583-10</v>
          </cell>
          <cell r="B3672" t="str">
            <v>KIT,LFP2X4-30K,4500L,48W,10 FIX W/DRIVR</v>
          </cell>
          <cell r="C3672" t="str">
            <v>EA</v>
          </cell>
          <cell r="D3672" t="str">
            <v>RM100</v>
          </cell>
          <cell r="E3672">
            <v>5990</v>
          </cell>
          <cell r="G3672" t="str">
            <v>250583-10</v>
          </cell>
        </row>
        <row r="3673">
          <cell r="A3673" t="str">
            <v>250583-12</v>
          </cell>
          <cell r="B3673" t="str">
            <v>KIT,LFP2X4-30K,4500L,48W,12 FIX W/DRIVR</v>
          </cell>
          <cell r="C3673" t="str">
            <v>EA</v>
          </cell>
          <cell r="D3673" t="str">
            <v>RM100</v>
          </cell>
          <cell r="E3673">
            <v>7140</v>
          </cell>
          <cell r="G3673" t="str">
            <v>250583-12</v>
          </cell>
        </row>
        <row r="3674">
          <cell r="A3674" t="str">
            <v>250583-2</v>
          </cell>
          <cell r="B3674" t="str">
            <v>KIT,LFP2X4-30K,4500L,48W,2 FIX W/DRIVR</v>
          </cell>
          <cell r="C3674" t="str">
            <v>EA</v>
          </cell>
          <cell r="D3674" t="str">
            <v>MA100</v>
          </cell>
          <cell r="E3674">
            <v>1870</v>
          </cell>
          <cell r="G3674" t="str">
            <v>250583-2</v>
          </cell>
        </row>
        <row r="3675">
          <cell r="A3675" t="str">
            <v>250583-4</v>
          </cell>
          <cell r="B3675" t="str">
            <v>KIT,LFP2X4-30K,4500L,48W,4 FIX W/DRIVR</v>
          </cell>
          <cell r="C3675" t="str">
            <v>EA</v>
          </cell>
          <cell r="D3675" t="str">
            <v>RM100</v>
          </cell>
          <cell r="E3675">
            <v>2540</v>
          </cell>
          <cell r="G3675" t="str">
            <v>250583-4</v>
          </cell>
        </row>
        <row r="3676">
          <cell r="A3676" t="str">
            <v>250583-5</v>
          </cell>
          <cell r="B3676" t="str">
            <v>KIT,LFP2X4-30K,4500L,48W,5 FIX W/DRIVR</v>
          </cell>
          <cell r="C3676" t="str">
            <v>EA</v>
          </cell>
          <cell r="D3676" t="str">
            <v>RM100</v>
          </cell>
          <cell r="E3676">
            <v>3115</v>
          </cell>
          <cell r="G3676" t="str">
            <v>250583-5</v>
          </cell>
        </row>
        <row r="3677">
          <cell r="A3677" t="str">
            <v>250583-6</v>
          </cell>
          <cell r="B3677" t="str">
            <v>KIT,LFP2X4-30K,4500L,48W,6 FIX W/DRIVR</v>
          </cell>
          <cell r="C3677" t="str">
            <v>EA</v>
          </cell>
          <cell r="D3677" t="str">
            <v>RM100</v>
          </cell>
          <cell r="E3677">
            <v>3690</v>
          </cell>
          <cell r="G3677" t="str">
            <v>250583-6</v>
          </cell>
        </row>
        <row r="3678">
          <cell r="A3678" t="str">
            <v>250583-8</v>
          </cell>
          <cell r="B3678" t="str">
            <v>KIT,LFP2X4-30K,4500L,48W,8 FIX W/DRIVR</v>
          </cell>
          <cell r="C3678" t="str">
            <v>EA</v>
          </cell>
          <cell r="D3678" t="str">
            <v>RM100</v>
          </cell>
          <cell r="E3678">
            <v>4840</v>
          </cell>
          <cell r="G3678" t="str">
            <v>250583-8</v>
          </cell>
        </row>
        <row r="3679">
          <cell r="A3679" t="str">
            <v>250583-9</v>
          </cell>
          <cell r="B3679" t="str">
            <v>KIT,LFP2X4-30K, 9 FIXTURES W/DRIVERS</v>
          </cell>
          <cell r="C3679" t="str">
            <v>EA</v>
          </cell>
          <cell r="D3679" t="str">
            <v>RM100</v>
          </cell>
          <cell r="E3679">
            <v>5415</v>
          </cell>
          <cell r="G3679" t="str">
            <v>250583-9</v>
          </cell>
        </row>
        <row r="3680">
          <cell r="A3680">
            <v>250584</v>
          </cell>
          <cell r="B3680" t="str">
            <v>PS,ZXR EXT DRVR 1 OUTPUT 1-2 FIXTURES</v>
          </cell>
          <cell r="C3680" t="str">
            <v>EA</v>
          </cell>
          <cell r="D3680" t="str">
            <v>MA100</v>
          </cell>
          <cell r="E3680">
            <v>515</v>
          </cell>
          <cell r="G3680">
            <v>250584</v>
          </cell>
        </row>
        <row r="3681">
          <cell r="A3681">
            <v>250585</v>
          </cell>
          <cell r="B3681" t="str">
            <v>PS,ZXR EXT DRVR 2 OUTPUT 2-10 FIXTURES</v>
          </cell>
          <cell r="C3681" t="str">
            <v>EA</v>
          </cell>
          <cell r="D3681" t="str">
            <v>MA100</v>
          </cell>
          <cell r="E3681">
            <v>715</v>
          </cell>
          <cell r="G3681">
            <v>250585</v>
          </cell>
        </row>
        <row r="3682">
          <cell r="A3682">
            <v>250586</v>
          </cell>
          <cell r="B3682" t="str">
            <v>PS,ZXR EXT DRVR 3 OUTPUT 11-15 FIXTURES</v>
          </cell>
          <cell r="C3682" t="str">
            <v>EA</v>
          </cell>
          <cell r="D3682" t="str">
            <v>MA100</v>
          </cell>
          <cell r="E3682">
            <v>925</v>
          </cell>
          <cell r="G3682">
            <v>250586</v>
          </cell>
        </row>
        <row r="3683">
          <cell r="A3683">
            <v>250587</v>
          </cell>
          <cell r="B3683" t="str">
            <v>DRVR,LED,DIMMABLE,150W</v>
          </cell>
          <cell r="C3683" t="str">
            <v>EA</v>
          </cell>
          <cell r="D3683" t="str">
            <v>MA100</v>
          </cell>
          <cell r="E3683">
            <v>0</v>
          </cell>
          <cell r="G3683">
            <v>250587</v>
          </cell>
        </row>
        <row r="3684">
          <cell r="A3684">
            <v>250588</v>
          </cell>
          <cell r="B3684" t="str">
            <v>DRVR,LED,DIMMABLE,75W</v>
          </cell>
          <cell r="C3684" t="str">
            <v>EA</v>
          </cell>
          <cell r="D3684" t="str">
            <v>MA100</v>
          </cell>
          <cell r="E3684">
            <v>0</v>
          </cell>
          <cell r="G3684">
            <v>250588</v>
          </cell>
        </row>
        <row r="3685">
          <cell r="A3685">
            <v>250589</v>
          </cell>
          <cell r="B3685" t="str">
            <v>Down Light,ZXR,Fix Ext Drvr 3000K W/Lens</v>
          </cell>
          <cell r="C3685" t="str">
            <v>EA</v>
          </cell>
          <cell r="D3685" t="str">
            <v>MA100</v>
          </cell>
          <cell r="E3685">
            <v>288</v>
          </cell>
          <cell r="G3685">
            <v>250589</v>
          </cell>
        </row>
        <row r="3686">
          <cell r="A3686">
            <v>250590</v>
          </cell>
          <cell r="B3686" t="str">
            <v>Down Light,ZXR,Fix Ext Drvr 3500K W/Lens</v>
          </cell>
          <cell r="C3686" t="str">
            <v>EA</v>
          </cell>
          <cell r="D3686" t="str">
            <v>MA100</v>
          </cell>
          <cell r="E3686">
            <v>288</v>
          </cell>
          <cell r="G3686">
            <v>250590</v>
          </cell>
        </row>
        <row r="3687">
          <cell r="A3687">
            <v>250591</v>
          </cell>
          <cell r="B3687" t="str">
            <v>Down Light,ZXR,Fix Ext Drvr 4000K W/Lens</v>
          </cell>
          <cell r="C3687" t="str">
            <v>EA</v>
          </cell>
          <cell r="D3687" t="str">
            <v>MA100</v>
          </cell>
          <cell r="E3687">
            <v>288</v>
          </cell>
          <cell r="G3687">
            <v>250591</v>
          </cell>
        </row>
        <row r="3688">
          <cell r="A3688">
            <v>250592</v>
          </cell>
          <cell r="B3688" t="str">
            <v>Down Light,ZXR,Ext Drvr 3500K W/FRST Len</v>
          </cell>
          <cell r="C3688" t="str">
            <v>EA</v>
          </cell>
          <cell r="D3688" t="str">
            <v>MA100</v>
          </cell>
          <cell r="E3688">
            <v>269.5</v>
          </cell>
          <cell r="G3688">
            <v>250592</v>
          </cell>
        </row>
        <row r="3689">
          <cell r="A3689">
            <v>250593</v>
          </cell>
          <cell r="B3689" t="str">
            <v>Down Light,ZXR,Ext Drvr 4000K W/FRST Len</v>
          </cell>
          <cell r="C3689" t="str">
            <v>EA</v>
          </cell>
          <cell r="D3689" t="str">
            <v>MA100</v>
          </cell>
          <cell r="E3689">
            <v>269.5</v>
          </cell>
          <cell r="G3689">
            <v>250593</v>
          </cell>
        </row>
        <row r="3690">
          <cell r="A3690">
            <v>250594</v>
          </cell>
          <cell r="B3690" t="str">
            <v>Dimmer Switch,GDP</v>
          </cell>
          <cell r="C3690" t="str">
            <v>EA</v>
          </cell>
          <cell r="D3690" t="str">
            <v>MA100</v>
          </cell>
          <cell r="E3690">
            <v>108</v>
          </cell>
          <cell r="G3690">
            <v>250594</v>
          </cell>
        </row>
        <row r="3691">
          <cell r="A3691">
            <v>250602</v>
          </cell>
          <cell r="B3691" t="str">
            <v>FXTR,PROG #P3520-30 2-BULB INCAND</v>
          </cell>
          <cell r="C3691" t="str">
            <v>EA</v>
          </cell>
          <cell r="D3691" t="str">
            <v>RM100</v>
          </cell>
          <cell r="E3691">
            <v>23.839848490000001</v>
          </cell>
          <cell r="G3691">
            <v>250602</v>
          </cell>
        </row>
        <row r="3692">
          <cell r="A3692">
            <v>250603</v>
          </cell>
          <cell r="B3692" t="str">
            <v>FXTR,FLUOR,2X4,RFI SUPPRES BALLAST</v>
          </cell>
          <cell r="C3692" t="str">
            <v>EA</v>
          </cell>
          <cell r="D3692" t="str">
            <v>RM100</v>
          </cell>
          <cell r="E3692">
            <v>71.7</v>
          </cell>
          <cell r="G3692">
            <v>250603</v>
          </cell>
        </row>
        <row r="3693">
          <cell r="A3693">
            <v>250607</v>
          </cell>
          <cell r="B3693" t="str">
            <v>FXTR,FLUOR,4 TUBE #N440A-RI-60HZ 48"*</v>
          </cell>
          <cell r="C3693" t="str">
            <v>EA</v>
          </cell>
          <cell r="D3693" t="str">
            <v>RM100</v>
          </cell>
          <cell r="E3693">
            <v>102.75</v>
          </cell>
          <cell r="G3693">
            <v>250607</v>
          </cell>
        </row>
        <row r="3694">
          <cell r="A3694">
            <v>250610</v>
          </cell>
          <cell r="B3694" t="str">
            <v>Down Light,ZXR,Fix Ext Drvr 3000K w/lens</v>
          </cell>
          <cell r="C3694" t="str">
            <v>EA</v>
          </cell>
          <cell r="D3694" t="str">
            <v>MA100</v>
          </cell>
          <cell r="E3694">
            <v>288</v>
          </cell>
          <cell r="G3694">
            <v>250610</v>
          </cell>
        </row>
        <row r="3695">
          <cell r="A3695">
            <v>250611</v>
          </cell>
          <cell r="B3695" t="str">
            <v>Down Light,ZXR,Fix Ext Drvr 3500K w/lens</v>
          </cell>
          <cell r="C3695" t="str">
            <v>EA</v>
          </cell>
          <cell r="D3695" t="str">
            <v>MA100</v>
          </cell>
          <cell r="E3695">
            <v>288</v>
          </cell>
          <cell r="G3695">
            <v>250611</v>
          </cell>
        </row>
        <row r="3696">
          <cell r="A3696">
            <v>250612</v>
          </cell>
          <cell r="B3696" t="str">
            <v>Down Light,ZXR,Fix Ext Drvr 4000K w/lens</v>
          </cell>
          <cell r="C3696" t="str">
            <v>EA</v>
          </cell>
          <cell r="D3696" t="str">
            <v>MA100</v>
          </cell>
          <cell r="E3696">
            <v>288</v>
          </cell>
          <cell r="G3696">
            <v>250612</v>
          </cell>
        </row>
        <row r="3697">
          <cell r="A3697">
            <v>250620</v>
          </cell>
          <cell r="B3697" t="str">
            <v>KIT,TRIM,ZXR AM,WHT,FRST/CLR LENS</v>
          </cell>
          <cell r="C3697" t="str">
            <v>EA</v>
          </cell>
          <cell r="D3697" t="str">
            <v>MA100</v>
          </cell>
          <cell r="E3697">
            <v>54.5</v>
          </cell>
          <cell r="G3697">
            <v>250620</v>
          </cell>
        </row>
        <row r="3698">
          <cell r="A3698">
            <v>250693</v>
          </cell>
          <cell r="B3698" t="str">
            <v>WIRE,12 AWG,BLACK,STRANDED</v>
          </cell>
          <cell r="C3698" t="str">
            <v>FT</v>
          </cell>
          <cell r="D3698" t="str">
            <v>RM100</v>
          </cell>
          <cell r="E3698">
            <v>0.12928000000000001</v>
          </cell>
          <cell r="G3698">
            <v>250693</v>
          </cell>
        </row>
        <row r="3699">
          <cell r="A3699">
            <v>250694</v>
          </cell>
          <cell r="B3699" t="str">
            <v>WIRE,12 AWG,WHITE,STRANDED</v>
          </cell>
          <cell r="C3699" t="str">
            <v>FT</v>
          </cell>
          <cell r="D3699" t="str">
            <v>RM100</v>
          </cell>
          <cell r="E3699">
            <v>0.12928000000000001</v>
          </cell>
          <cell r="G3699">
            <v>250694</v>
          </cell>
        </row>
        <row r="3700">
          <cell r="A3700">
            <v>250695</v>
          </cell>
          <cell r="B3700" t="str">
            <v>WIRE,12 AWG,GREEN,STRANDED</v>
          </cell>
          <cell r="C3700" t="str">
            <v>FT</v>
          </cell>
          <cell r="D3700" t="str">
            <v>RM100</v>
          </cell>
          <cell r="E3700">
            <v>9.0810000000000002E-2</v>
          </cell>
          <cell r="G3700">
            <v>250695</v>
          </cell>
        </row>
        <row r="3701">
          <cell r="A3701">
            <v>250700</v>
          </cell>
          <cell r="B3701" t="str">
            <v>WIRE,18 AWG,BLACK,STRANDED PVC*</v>
          </cell>
          <cell r="C3701" t="str">
            <v>FT</v>
          </cell>
          <cell r="D3701" t="str">
            <v>RM100</v>
          </cell>
          <cell r="E3701">
            <v>5.7630000000000001E-2</v>
          </cell>
          <cell r="G3701">
            <v>250700</v>
          </cell>
        </row>
        <row r="3702">
          <cell r="A3702">
            <v>250701</v>
          </cell>
          <cell r="B3702" t="str">
            <v>WIRE,18 AWG,WHITE,STRANDED PVC*</v>
          </cell>
          <cell r="C3702" t="str">
            <v>FT</v>
          </cell>
          <cell r="D3702" t="str">
            <v>RM100</v>
          </cell>
          <cell r="E3702">
            <v>0.43099999999999999</v>
          </cell>
          <cell r="G3702">
            <v>250701</v>
          </cell>
        </row>
        <row r="3703">
          <cell r="A3703">
            <v>250702</v>
          </cell>
          <cell r="B3703" t="str">
            <v>WIRE,18 AWG,GREEN,STRANDED PVC*</v>
          </cell>
          <cell r="C3703" t="str">
            <v>FT</v>
          </cell>
          <cell r="D3703" t="str">
            <v>RM100</v>
          </cell>
          <cell r="E3703">
            <v>3.7990000000000003E-2</v>
          </cell>
          <cell r="G3703">
            <v>250702</v>
          </cell>
        </row>
        <row r="3704">
          <cell r="A3704">
            <v>250703</v>
          </cell>
          <cell r="B3704" t="str">
            <v>WIRE,18 AWG,RED,STRANDED PVC*</v>
          </cell>
          <cell r="C3704" t="str">
            <v>FT</v>
          </cell>
          <cell r="D3704" t="str">
            <v>RM100</v>
          </cell>
          <cell r="E3704">
            <v>5.7630000000000001E-2</v>
          </cell>
          <cell r="G3704">
            <v>250703</v>
          </cell>
        </row>
        <row r="3705">
          <cell r="A3705">
            <v>250704</v>
          </cell>
          <cell r="B3705" t="str">
            <v>WIRE,18 AWG,YELLOW,STRANDED PVC*</v>
          </cell>
          <cell r="C3705" t="str">
            <v>FT</v>
          </cell>
          <cell r="D3705" t="str">
            <v>RM100</v>
          </cell>
          <cell r="E3705">
            <v>3.7990000000000003E-2</v>
          </cell>
          <cell r="G3705">
            <v>250704</v>
          </cell>
        </row>
        <row r="3706">
          <cell r="A3706">
            <v>250705</v>
          </cell>
          <cell r="B3706" t="str">
            <v>WIRE,18 AWG,DK.BLUE,STD PVC INSULATED*</v>
          </cell>
          <cell r="C3706" t="str">
            <v>FT</v>
          </cell>
          <cell r="D3706" t="str">
            <v>RM100</v>
          </cell>
          <cell r="E3706">
            <v>7.6999999999999999E-2</v>
          </cell>
          <cell r="G3706">
            <v>250705</v>
          </cell>
        </row>
        <row r="3707">
          <cell r="A3707">
            <v>250706</v>
          </cell>
          <cell r="B3707" t="str">
            <v>WIRE,14 AWG CU. SOLID BARE</v>
          </cell>
          <cell r="C3707" t="str">
            <v>FT</v>
          </cell>
          <cell r="D3707" t="str">
            <v>RM100</v>
          </cell>
          <cell r="E3707">
            <v>0.28799999999999998</v>
          </cell>
          <cell r="G3707">
            <v>250706</v>
          </cell>
        </row>
        <row r="3708">
          <cell r="A3708">
            <v>250850</v>
          </cell>
          <cell r="B3708" t="str">
            <v>OBSOLETE</v>
          </cell>
          <cell r="C3708" t="str">
            <v>FT</v>
          </cell>
          <cell r="D3708" t="str">
            <v>RM100</v>
          </cell>
          <cell r="E3708">
            <v>0.65</v>
          </cell>
          <cell r="G3708">
            <v>250850</v>
          </cell>
        </row>
        <row r="3709">
          <cell r="A3709">
            <v>251001</v>
          </cell>
          <cell r="B3709" t="str">
            <v>KIT,FXTR 2x100W PAR LIGHTS LAMP HOLDER*</v>
          </cell>
          <cell r="C3709" t="str">
            <v>EA</v>
          </cell>
          <cell r="D3709" t="str">
            <v>MA100</v>
          </cell>
          <cell r="E3709">
            <v>43.682400000000001</v>
          </cell>
          <cell r="G3709">
            <v>251001</v>
          </cell>
        </row>
        <row r="3710">
          <cell r="A3710">
            <v>251050</v>
          </cell>
          <cell r="B3710" t="str">
            <v>SWI,ASSY,HONEYWELL,W/LEVER,MRI DR,5A*</v>
          </cell>
          <cell r="C3710" t="str">
            <v>EA</v>
          </cell>
          <cell r="D3710" t="str">
            <v>MA100</v>
          </cell>
          <cell r="E3710">
            <v>148.65700000000001</v>
          </cell>
          <cell r="G3710">
            <v>251050</v>
          </cell>
        </row>
        <row r="3711">
          <cell r="A3711">
            <v>251068</v>
          </cell>
          <cell r="B3711" t="str">
            <v>SWI,ASSY SQ"D" W/LEVER MRI DR 5A*</v>
          </cell>
          <cell r="C3711" t="str">
            <v>EA</v>
          </cell>
          <cell r="D3711" t="str">
            <v>MA100</v>
          </cell>
          <cell r="E3711">
            <v>68.069500000000005</v>
          </cell>
          <cell r="G3711">
            <v>251068</v>
          </cell>
        </row>
        <row r="3712">
          <cell r="A3712">
            <v>251602</v>
          </cell>
          <cell r="B3712" t="str">
            <v>ASSY,FXTR PROG #P3520-30 2INCANBULB</v>
          </cell>
          <cell r="C3712" t="str">
            <v>EA</v>
          </cell>
          <cell r="D3712" t="str">
            <v>MA100</v>
          </cell>
          <cell r="E3712">
            <v>94.671000000000006</v>
          </cell>
          <cell r="G3712">
            <v>251602</v>
          </cell>
        </row>
        <row r="3713">
          <cell r="A3713">
            <v>254001</v>
          </cell>
          <cell r="B3713" t="str">
            <v>BOX,ELECT,SNG,WHT Pand#JB1FSWH-A*</v>
          </cell>
          <cell r="C3713" t="str">
            <v>EA</v>
          </cell>
          <cell r="D3713" t="str">
            <v>RM100</v>
          </cell>
          <cell r="E3713">
            <v>5</v>
          </cell>
          <cell r="G3713">
            <v>254001</v>
          </cell>
        </row>
        <row r="3714">
          <cell r="A3714">
            <v>254012</v>
          </cell>
          <cell r="B3714" t="str">
            <v>CVR,PLT,SGL,WHT,#T70PNWH*</v>
          </cell>
          <cell r="C3714" t="str">
            <v>EA</v>
          </cell>
          <cell r="D3714" t="str">
            <v>RM100</v>
          </cell>
          <cell r="E3714">
            <v>3.91</v>
          </cell>
          <cell r="G3714">
            <v>254012</v>
          </cell>
        </row>
        <row r="3715">
          <cell r="A3715">
            <v>254018</v>
          </cell>
          <cell r="B3715" t="str">
            <v>BUY AS NON-INVENTORY / INSTALLER KT</v>
          </cell>
          <cell r="C3715" t="str">
            <v>EA</v>
          </cell>
          <cell r="D3715" t="str">
            <v>RM100</v>
          </cell>
          <cell r="E3715">
            <v>3.65</v>
          </cell>
          <cell r="G3715">
            <v>254018</v>
          </cell>
        </row>
        <row r="3716">
          <cell r="A3716">
            <v>254065</v>
          </cell>
          <cell r="B3716" t="str">
            <v>BOX,OUTLET SIGNL DUPLEX, PLSTC</v>
          </cell>
          <cell r="C3716" t="str">
            <v>EA</v>
          </cell>
          <cell r="D3716" t="str">
            <v>MA100</v>
          </cell>
          <cell r="E3716">
            <v>2.39</v>
          </cell>
          <cell r="G3716">
            <v>254065</v>
          </cell>
        </row>
        <row r="3717">
          <cell r="A3717">
            <v>254067</v>
          </cell>
          <cell r="B3717" t="str">
            <v>RECP,DUPLEX 15A,120V,3WIR</v>
          </cell>
          <cell r="C3717" t="str">
            <v>EA</v>
          </cell>
          <cell r="D3717" t="str">
            <v>RM100</v>
          </cell>
          <cell r="E3717">
            <v>1.79</v>
          </cell>
          <cell r="G3717">
            <v>254067</v>
          </cell>
        </row>
        <row r="3718">
          <cell r="A3718">
            <v>254069</v>
          </cell>
          <cell r="B3718" t="str">
            <v>SWITCH,RCKR,ILLUM,DPST,PNL-MNT</v>
          </cell>
          <cell r="C3718" t="str">
            <v>EA</v>
          </cell>
          <cell r="D3718" t="str">
            <v>FG055</v>
          </cell>
          <cell r="E3718">
            <v>3.43</v>
          </cell>
          <cell r="G3718">
            <v>254069</v>
          </cell>
        </row>
        <row r="3719">
          <cell r="A3719">
            <v>254100</v>
          </cell>
          <cell r="B3719" t="str">
            <v>GROMMET, RUBBER MCMASTER CARR</v>
          </cell>
          <cell r="C3719" t="str">
            <v>EA</v>
          </cell>
          <cell r="D3719" t="str">
            <v>RM100</v>
          </cell>
          <cell r="E3719">
            <v>0.06</v>
          </cell>
          <cell r="G3719">
            <v>254100</v>
          </cell>
        </row>
        <row r="3720">
          <cell r="A3720">
            <v>254106</v>
          </cell>
          <cell r="B3720" t="str">
            <v>BOX,ELCT SQ4"OUTLET1/2KO RACO1901-1/2"D*</v>
          </cell>
          <cell r="C3720" t="str">
            <v>EA</v>
          </cell>
          <cell r="D3720" t="str">
            <v>RM100</v>
          </cell>
          <cell r="E3720">
            <v>1.22</v>
          </cell>
          <cell r="G3720">
            <v>254106</v>
          </cell>
        </row>
        <row r="3721">
          <cell r="A3721">
            <v>254128</v>
          </cell>
          <cell r="B3721" t="str">
            <v>BOX,ELCT SQ4"OUTLET,2.125 DEEP RACO232 *</v>
          </cell>
          <cell r="C3721" t="str">
            <v>EA</v>
          </cell>
          <cell r="D3721" t="str">
            <v>RM100</v>
          </cell>
          <cell r="E3721">
            <v>1.7395</v>
          </cell>
          <cell r="G3721">
            <v>254128</v>
          </cell>
        </row>
        <row r="3722">
          <cell r="A3722">
            <v>254140</v>
          </cell>
          <cell r="B3722" t="str">
            <v>CDT,1/2 DIA EMT 10' LG</v>
          </cell>
          <cell r="C3722" t="str">
            <v>EA</v>
          </cell>
          <cell r="D3722" t="str">
            <v>RM100</v>
          </cell>
          <cell r="E3722">
            <v>2.306</v>
          </cell>
          <cell r="G3722">
            <v>254140</v>
          </cell>
        </row>
        <row r="3723">
          <cell r="A3723">
            <v>254144</v>
          </cell>
          <cell r="B3723" t="str">
            <v>NUTS,WIRE IDEAL #74B YELLOW 100/PKG*</v>
          </cell>
          <cell r="C3723" t="str">
            <v>EA</v>
          </cell>
          <cell r="D3723" t="str">
            <v>RM100</v>
          </cell>
          <cell r="E3723">
            <v>6.5000000000000002E-2</v>
          </cell>
          <cell r="G3723">
            <v>254144</v>
          </cell>
        </row>
        <row r="3724">
          <cell r="A3724">
            <v>254150</v>
          </cell>
          <cell r="B3724" t="str">
            <v>NUTS,WIRE IDEAL #72B BLUE 100/PKG*</v>
          </cell>
          <cell r="C3724" t="str">
            <v>EA</v>
          </cell>
          <cell r="D3724" t="str">
            <v>RM100</v>
          </cell>
          <cell r="E3724">
            <v>7.6399999999999996E-2</v>
          </cell>
          <cell r="G3724">
            <v>254150</v>
          </cell>
        </row>
        <row r="3725">
          <cell r="A3725">
            <v>254162</v>
          </cell>
          <cell r="B3725" t="str">
            <v>WIRE,12 AWG,WHT,SOLID W/NYLON SLEEVE*</v>
          </cell>
          <cell r="C3725" t="str">
            <v>FT</v>
          </cell>
          <cell r="D3725" t="str">
            <v>RM100</v>
          </cell>
          <cell r="E3725">
            <v>8.337E-2</v>
          </cell>
          <cell r="G3725">
            <v>254162</v>
          </cell>
        </row>
        <row r="3726">
          <cell r="A3726">
            <v>254163</v>
          </cell>
          <cell r="B3726" t="str">
            <v>WIRE,12 AWG,BLK,SOLID W/NYLON SLEEVE</v>
          </cell>
          <cell r="C3726" t="str">
            <v>FT</v>
          </cell>
          <cell r="D3726" t="str">
            <v>RM100</v>
          </cell>
          <cell r="E3726">
            <v>8.337E-2</v>
          </cell>
          <cell r="G3726">
            <v>254163</v>
          </cell>
        </row>
        <row r="3727">
          <cell r="A3727">
            <v>254187</v>
          </cell>
          <cell r="B3727" t="str">
            <v>GRIP,CORD 1/2"DIA AL. WATER/OIL TIGHT*</v>
          </cell>
          <cell r="C3727" t="str">
            <v>EA</v>
          </cell>
          <cell r="D3727" t="str">
            <v>RM100</v>
          </cell>
          <cell r="E3727">
            <v>4.13</v>
          </cell>
          <cell r="G3727">
            <v>254187</v>
          </cell>
        </row>
        <row r="3728">
          <cell r="A3728">
            <v>254191</v>
          </cell>
          <cell r="B3728" t="str">
            <v>CORD,POWER 8FT 14/3 W/15 AMP PLUG</v>
          </cell>
          <cell r="C3728" t="str">
            <v>EA</v>
          </cell>
          <cell r="D3728" t="str">
            <v>RM100</v>
          </cell>
          <cell r="E3728">
            <v>11.21</v>
          </cell>
          <cell r="G3728">
            <v>254191</v>
          </cell>
        </row>
        <row r="3729">
          <cell r="A3729">
            <v>254203</v>
          </cell>
          <cell r="B3729" t="str">
            <v>BULB,100W,120V, INCANDESCANT</v>
          </cell>
          <cell r="C3729" t="str">
            <v>EA</v>
          </cell>
          <cell r="D3729" t="str">
            <v>RM100</v>
          </cell>
          <cell r="E3729">
            <v>2.42</v>
          </cell>
          <cell r="G3729">
            <v>254203</v>
          </cell>
        </row>
        <row r="3730">
          <cell r="A3730">
            <v>254204</v>
          </cell>
          <cell r="B3730" t="str">
            <v>SWI,TOGGLE,SPST,10A @ 250V</v>
          </cell>
          <cell r="C3730" t="str">
            <v>EA</v>
          </cell>
          <cell r="D3730" t="str">
            <v>MA100</v>
          </cell>
          <cell r="E3730">
            <v>2.2799999999999998</v>
          </cell>
          <cell r="G3730">
            <v>254204</v>
          </cell>
        </row>
        <row r="3731">
          <cell r="A3731">
            <v>254205</v>
          </cell>
          <cell r="B3731" t="str">
            <v>SWI,TOGGLE 1POLE 15A 125V WHT LEV1451WCP</v>
          </cell>
          <cell r="C3731" t="str">
            <v>EA</v>
          </cell>
          <cell r="D3731" t="str">
            <v>RM100</v>
          </cell>
          <cell r="E3731">
            <v>0.61050000000000004</v>
          </cell>
          <cell r="G3731">
            <v>254205</v>
          </cell>
        </row>
        <row r="3732">
          <cell r="A3732">
            <v>254228</v>
          </cell>
          <cell r="B3732" t="str">
            <v>CONN,SEALTITE 1/2"DIA.</v>
          </cell>
          <cell r="C3732" t="str">
            <v>EA</v>
          </cell>
          <cell r="D3732" t="str">
            <v>RM100</v>
          </cell>
          <cell r="E3732">
            <v>1.7343</v>
          </cell>
          <cell r="G3732">
            <v>254228</v>
          </cell>
        </row>
        <row r="3733">
          <cell r="A3733">
            <v>254278</v>
          </cell>
          <cell r="B3733" t="str">
            <v>NUTS,WIRE IDEAL #76B RED 100/PK*</v>
          </cell>
          <cell r="C3733" t="str">
            <v>EA</v>
          </cell>
          <cell r="D3733" t="str">
            <v>RM100</v>
          </cell>
          <cell r="E3733">
            <v>9.4500000000000001E-2</v>
          </cell>
          <cell r="G3733">
            <v>254278</v>
          </cell>
        </row>
        <row r="3734">
          <cell r="A3734">
            <v>254301</v>
          </cell>
          <cell r="B3734" t="str">
            <v>STANDOFF.ALUM,#10x5/16"OD,McM#92510A562</v>
          </cell>
          <cell r="C3734" t="str">
            <v>EA</v>
          </cell>
          <cell r="D3734" t="str">
            <v>RM100</v>
          </cell>
          <cell r="E3734">
            <v>1.01</v>
          </cell>
          <cell r="G3734">
            <v>254301</v>
          </cell>
        </row>
        <row r="3735">
          <cell r="A3735">
            <v>254302</v>
          </cell>
          <cell r="B3735" t="str">
            <v>SCR,#10-32X3/8,PH,FH,MS,SS</v>
          </cell>
          <cell r="C3735" t="str">
            <v>EA</v>
          </cell>
          <cell r="D3735" t="str">
            <v>RM100</v>
          </cell>
          <cell r="E3735">
            <v>6.7599999999999993E-2</v>
          </cell>
          <cell r="G3735">
            <v>254302</v>
          </cell>
        </row>
        <row r="3736">
          <cell r="A3736">
            <v>254314</v>
          </cell>
          <cell r="B3736" t="str">
            <v>CDT,CONN.PLSTC 1/2"CARLON#A253D W/254313</v>
          </cell>
          <cell r="C3736" t="str">
            <v>EA</v>
          </cell>
          <cell r="D3736" t="str">
            <v>RM100</v>
          </cell>
          <cell r="E3736">
            <v>0.62790000000000001</v>
          </cell>
          <cell r="G3736">
            <v>254314</v>
          </cell>
        </row>
        <row r="3737">
          <cell r="A3737">
            <v>254315</v>
          </cell>
          <cell r="B3737" t="str">
            <v>CDT,PLG PLSTC CONN1/2"RACO#7022 W/254313</v>
          </cell>
          <cell r="C3737" t="str">
            <v>EA</v>
          </cell>
          <cell r="D3737" t="str">
            <v>RM100</v>
          </cell>
          <cell r="E3737">
            <v>0.59209999999999996</v>
          </cell>
          <cell r="G3737">
            <v>254315</v>
          </cell>
        </row>
        <row r="3738">
          <cell r="A3738">
            <v>254316</v>
          </cell>
          <cell r="B3738" t="str">
            <v>BOX,4"SQ 1.5"DEEP RACO#7053 PLAS*</v>
          </cell>
          <cell r="C3738" t="str">
            <v>EA</v>
          </cell>
          <cell r="D3738" t="str">
            <v>RM100</v>
          </cell>
          <cell r="E3738">
            <v>1.6865000000000001</v>
          </cell>
          <cell r="G3738">
            <v>254316</v>
          </cell>
        </row>
        <row r="3739">
          <cell r="A3739">
            <v>254317</v>
          </cell>
          <cell r="B3739" t="str">
            <v>CVR,PLT FOR 4"SQ BX CARLON#A400 PLASTIC*</v>
          </cell>
          <cell r="C3739" t="str">
            <v>EA</v>
          </cell>
          <cell r="D3739" t="str">
            <v>RM100</v>
          </cell>
          <cell r="E3739">
            <v>0.71199999999999997</v>
          </cell>
          <cell r="G3739">
            <v>254317</v>
          </cell>
        </row>
        <row r="3740">
          <cell r="A3740">
            <v>254318</v>
          </cell>
          <cell r="B3740" t="str">
            <v>BOX,EXTN 1-GANG RACO#7070 PLASTIC*</v>
          </cell>
          <cell r="C3740" t="str">
            <v>EA</v>
          </cell>
          <cell r="D3740" t="str">
            <v>RM100</v>
          </cell>
          <cell r="E3740">
            <v>0.59209999999999996</v>
          </cell>
          <cell r="G3740">
            <v>254318</v>
          </cell>
        </row>
        <row r="3741">
          <cell r="A3741">
            <v>254319</v>
          </cell>
          <cell r="B3741" t="str">
            <v>BOX,EXTN 2 GANG RACO#7075*</v>
          </cell>
          <cell r="C3741" t="str">
            <v>EA</v>
          </cell>
          <cell r="D3741" t="str">
            <v>RM100</v>
          </cell>
          <cell r="E3741">
            <v>0.68</v>
          </cell>
          <cell r="G3741">
            <v>254319</v>
          </cell>
        </row>
        <row r="3742">
          <cell r="A3742">
            <v>254322</v>
          </cell>
          <cell r="B3742" t="str">
            <v>BOX,3-GANG ELECT RACO#7846 PLASTIC</v>
          </cell>
          <cell r="C3742" t="str">
            <v>EA</v>
          </cell>
          <cell r="D3742" t="str">
            <v>RM100</v>
          </cell>
          <cell r="E3742">
            <v>4.0789</v>
          </cell>
          <cell r="G3742">
            <v>254322</v>
          </cell>
        </row>
        <row r="3743">
          <cell r="A3743">
            <v>254327</v>
          </cell>
          <cell r="B3743" t="str">
            <v>CVR,SW 2-GANG WHITE #88009 PLASTIC</v>
          </cell>
          <cell r="C3743" t="str">
            <v>EA</v>
          </cell>
          <cell r="D3743" t="str">
            <v>RM100</v>
          </cell>
          <cell r="E3743">
            <v>1.78</v>
          </cell>
          <cell r="G3743">
            <v>254327</v>
          </cell>
        </row>
        <row r="3744">
          <cell r="A3744">
            <v>254328</v>
          </cell>
          <cell r="B3744" t="str">
            <v>CVR,SWI1TOGGLE1GANG PLASTICWHT LEV#88001</v>
          </cell>
          <cell r="C3744" t="str">
            <v>EA</v>
          </cell>
          <cell r="D3744" t="str">
            <v>RM100</v>
          </cell>
          <cell r="E3744">
            <v>0.22</v>
          </cell>
          <cell r="G3744">
            <v>254328</v>
          </cell>
        </row>
        <row r="3745">
          <cell r="A3745">
            <v>254330</v>
          </cell>
          <cell r="B3745" t="str">
            <v>CVR,RECP 2DUPLX2GANGPLASTICWHT LEV#88016</v>
          </cell>
          <cell r="C3745" t="str">
            <v>EA</v>
          </cell>
          <cell r="D3745" t="str">
            <v>RM100</v>
          </cell>
          <cell r="E3745">
            <v>0.68</v>
          </cell>
          <cell r="G3745">
            <v>254330</v>
          </cell>
        </row>
        <row r="3746">
          <cell r="A3746">
            <v>254335</v>
          </cell>
          <cell r="B3746" t="str">
            <v>FXTR,PULLCHAINPORCELAIN LEVITRON #29816C</v>
          </cell>
          <cell r="C3746" t="str">
            <v>EA</v>
          </cell>
          <cell r="D3746" t="str">
            <v>RM100</v>
          </cell>
          <cell r="E3746">
            <v>2.6974999999999998</v>
          </cell>
          <cell r="G3746">
            <v>254335</v>
          </cell>
        </row>
        <row r="3747">
          <cell r="A3747">
            <v>254458</v>
          </cell>
          <cell r="B3747" t="str">
            <v>LVR,STRT W/ADJUST NYLN ROLR #LSZ52C</v>
          </cell>
          <cell r="C3747" t="str">
            <v>EA</v>
          </cell>
          <cell r="D3747" t="str">
            <v>RM100</v>
          </cell>
          <cell r="E3747">
            <v>16.59</v>
          </cell>
          <cell r="G3747">
            <v>254458</v>
          </cell>
        </row>
        <row r="3748">
          <cell r="A3748">
            <v>254503</v>
          </cell>
          <cell r="B3748" t="str">
            <v>FXTR,EMERG. LT 2-LAMP GRB# EZ-2</v>
          </cell>
          <cell r="C3748" t="str">
            <v>EA</v>
          </cell>
          <cell r="D3748" t="str">
            <v>RM100</v>
          </cell>
          <cell r="E3748">
            <v>45.91</v>
          </cell>
          <cell r="G3748">
            <v>254503</v>
          </cell>
        </row>
        <row r="3749">
          <cell r="A3749">
            <v>254515</v>
          </cell>
          <cell r="B3749" t="str">
            <v>CVR,DUP RECP STL RACO#864 FITS 1.5x3"BOX</v>
          </cell>
          <cell r="C3749" t="str">
            <v>EA</v>
          </cell>
          <cell r="D3749" t="str">
            <v>RM100</v>
          </cell>
          <cell r="E3749">
            <v>0.45200000000000001</v>
          </cell>
          <cell r="G3749">
            <v>254515</v>
          </cell>
        </row>
        <row r="3750">
          <cell r="A3750">
            <v>254579</v>
          </cell>
          <cell r="B3750" t="str">
            <v>GSKT,EMI PROTECT MTL 25 PIN NWRK51F3662*</v>
          </cell>
          <cell r="C3750" t="str">
            <v>EA</v>
          </cell>
          <cell r="D3750" t="str">
            <v>RM100</v>
          </cell>
          <cell r="E3750">
            <v>1.29</v>
          </cell>
          <cell r="G3750">
            <v>254579</v>
          </cell>
        </row>
        <row r="3751">
          <cell r="A3751">
            <v>254621</v>
          </cell>
          <cell r="B3751" t="str">
            <v>CVR,SINGLE,DUP RECP PLASTIC WHITE</v>
          </cell>
          <cell r="C3751" t="str">
            <v>EA</v>
          </cell>
          <cell r="D3751" t="str">
            <v>RM100</v>
          </cell>
          <cell r="E3751">
            <v>0.59</v>
          </cell>
          <cell r="G3751">
            <v>254621</v>
          </cell>
        </row>
        <row r="3752">
          <cell r="A3752">
            <v>254671</v>
          </cell>
          <cell r="B3752" t="str">
            <v>STRAP,ONE HOLE 1/2" CONDUIT</v>
          </cell>
          <cell r="C3752" t="str">
            <v>EA</v>
          </cell>
          <cell r="D3752" t="str">
            <v>RM100</v>
          </cell>
          <cell r="E3752">
            <v>0.13109999999999999</v>
          </cell>
          <cell r="G3752">
            <v>254671</v>
          </cell>
        </row>
        <row r="3753">
          <cell r="A3753">
            <v>254672</v>
          </cell>
          <cell r="B3753" t="str">
            <v>STRAP,TWO HOLE 3/4" CONDUIT</v>
          </cell>
          <cell r="C3753" t="str">
            <v>EA</v>
          </cell>
          <cell r="D3753" t="str">
            <v>RM100</v>
          </cell>
          <cell r="E3753">
            <v>0.1658</v>
          </cell>
          <cell r="G3753">
            <v>254672</v>
          </cell>
        </row>
        <row r="3754">
          <cell r="A3754">
            <v>254709</v>
          </cell>
          <cell r="B3754" t="str">
            <v>CONN,DSUB 9PINSPEC#56F-705-005 EMI FLTRD</v>
          </cell>
          <cell r="C3754" t="str">
            <v>EA</v>
          </cell>
          <cell r="D3754" t="str">
            <v>RM100</v>
          </cell>
          <cell r="E3754">
            <v>22.51</v>
          </cell>
          <cell r="G3754">
            <v>254709</v>
          </cell>
        </row>
        <row r="3755">
          <cell r="A3755">
            <v>254710</v>
          </cell>
          <cell r="B3755" t="str">
            <v>GSKT,EMI PROTECT MTL 9PIN NWRK51F3658*</v>
          </cell>
          <cell r="C3755" t="str">
            <v>EA</v>
          </cell>
          <cell r="D3755" t="str">
            <v>RM100</v>
          </cell>
          <cell r="E3755">
            <v>0.84299999999999997</v>
          </cell>
          <cell r="G3755">
            <v>254710</v>
          </cell>
        </row>
        <row r="3756">
          <cell r="A3756">
            <v>254714</v>
          </cell>
          <cell r="B3756" t="str">
            <v>CONN,DSUB 15PIN SPEC#(56-715-005-LI EMI*</v>
          </cell>
          <cell r="C3756" t="str">
            <v>EA</v>
          </cell>
          <cell r="D3756" t="str">
            <v>RM100</v>
          </cell>
          <cell r="E3756">
            <v>60</v>
          </cell>
          <cell r="G3756">
            <v>254714</v>
          </cell>
        </row>
        <row r="3757">
          <cell r="A3757">
            <v>254730</v>
          </cell>
          <cell r="B3757" t="str">
            <v>TIE,CBL 4" BLACK NYLON UL94V-2</v>
          </cell>
          <cell r="C3757" t="str">
            <v>EA</v>
          </cell>
          <cell r="D3757" t="str">
            <v>RM100</v>
          </cell>
          <cell r="E3757">
            <v>2.0400000000000001E-2</v>
          </cell>
          <cell r="G3757">
            <v>254730</v>
          </cell>
        </row>
        <row r="3758">
          <cell r="A3758">
            <v>254763</v>
          </cell>
          <cell r="B3758" t="str">
            <v>BUSHING, FLEXIBLE CONDUIT FITTING 3/4"</v>
          </cell>
          <cell r="C3758" t="str">
            <v>EA</v>
          </cell>
          <cell r="D3758" t="str">
            <v>RM100</v>
          </cell>
          <cell r="E3758">
            <v>0.29959999999999998</v>
          </cell>
          <cell r="G3758">
            <v>254763</v>
          </cell>
        </row>
        <row r="3759">
          <cell r="A3759">
            <v>254766</v>
          </cell>
          <cell r="B3759" t="str">
            <v>TIE,CBL 12-14" WHT NYL W/PERM LOCK*</v>
          </cell>
          <cell r="C3759" t="str">
            <v>EA</v>
          </cell>
          <cell r="D3759" t="str">
            <v>RM100</v>
          </cell>
          <cell r="E3759">
            <v>6.4899999999999999E-2</v>
          </cell>
          <cell r="G3759">
            <v>254766</v>
          </cell>
        </row>
        <row r="3760">
          <cell r="A3760">
            <v>254810</v>
          </cell>
          <cell r="B3760" t="str">
            <v>CONN,D-SUB 25 PIN PIN/SCKT (44F8325)*</v>
          </cell>
          <cell r="C3760" t="str">
            <v>EA</v>
          </cell>
          <cell r="D3760" t="str">
            <v>RM100</v>
          </cell>
          <cell r="E3760">
            <v>41.1</v>
          </cell>
          <cell r="G3760">
            <v>254810</v>
          </cell>
        </row>
        <row r="3761">
          <cell r="A3761">
            <v>254817</v>
          </cell>
          <cell r="B3761" t="str">
            <v>CONN,D-SUB 15 PIN PIN/SCKT EMI FLTRD*</v>
          </cell>
          <cell r="C3761" t="str">
            <v>EA</v>
          </cell>
          <cell r="D3761" t="str">
            <v>RM100</v>
          </cell>
          <cell r="E3761">
            <v>40.64</v>
          </cell>
          <cell r="G3761">
            <v>254817</v>
          </cell>
        </row>
        <row r="3762">
          <cell r="A3762">
            <v>254855</v>
          </cell>
          <cell r="B3762" t="str">
            <v>TUBING,HEAT SHRINK 1/4" ID BLK POLYOLEF</v>
          </cell>
          <cell r="C3762" t="str">
            <v>FT</v>
          </cell>
          <cell r="D3762" t="str">
            <v>RM100</v>
          </cell>
          <cell r="E3762">
            <v>1.25</v>
          </cell>
          <cell r="G3762">
            <v>254855</v>
          </cell>
        </row>
        <row r="3763">
          <cell r="A3763">
            <v>254896</v>
          </cell>
          <cell r="B3763" t="str">
            <v>TERM, EXTRA GRIP RING, 22-18 AWG*</v>
          </cell>
          <cell r="C3763" t="str">
            <v>EA</v>
          </cell>
          <cell r="D3763" t="str">
            <v>RM100</v>
          </cell>
          <cell r="E3763">
            <v>6.4299999999999996E-2</v>
          </cell>
          <cell r="G3763">
            <v>254896</v>
          </cell>
        </row>
        <row r="3764">
          <cell r="A3764">
            <v>254898</v>
          </cell>
          <cell r="B3764" t="str">
            <v>LNUT,1/2" ELECTRICAL RACO#1002 OR EQUAL</v>
          </cell>
          <cell r="C3764" t="str">
            <v>EA</v>
          </cell>
          <cell r="D3764" t="str">
            <v>RM100</v>
          </cell>
          <cell r="E3764">
            <v>0.1053</v>
          </cell>
          <cell r="G3764">
            <v>254898</v>
          </cell>
        </row>
        <row r="3765">
          <cell r="A3765">
            <v>255014</v>
          </cell>
          <cell r="B3765" t="str">
            <v>SYSTEM, F/O AUDIO-ONLY MOD2829-L</v>
          </cell>
          <cell r="C3765" t="str">
            <v>EA</v>
          </cell>
          <cell r="D3765" t="str">
            <v>RM100</v>
          </cell>
          <cell r="E3765">
            <v>2042</v>
          </cell>
          <cell r="G3765">
            <v>255014</v>
          </cell>
        </row>
        <row r="3766">
          <cell r="A3766">
            <v>255015</v>
          </cell>
          <cell r="B3766" t="str">
            <v>ASSY, SYSTEM, F/O AUDIO-ONLY MOD2829-L</v>
          </cell>
          <cell r="C3766" t="str">
            <v>EA</v>
          </cell>
          <cell r="D3766" t="str">
            <v>FG424</v>
          </cell>
          <cell r="E3766">
            <v>2060.7197200000001</v>
          </cell>
          <cell r="G3766">
            <v>255015</v>
          </cell>
        </row>
        <row r="3767">
          <cell r="A3767">
            <v>255016</v>
          </cell>
          <cell r="B3767" t="str">
            <v>KIT,TIMER RELAY</v>
          </cell>
          <cell r="C3767" t="str">
            <v>EA</v>
          </cell>
          <cell r="D3767" t="str">
            <v>RM100</v>
          </cell>
          <cell r="E3767">
            <v>44.96</v>
          </cell>
          <cell r="G3767">
            <v>255016</v>
          </cell>
        </row>
        <row r="3768">
          <cell r="A3768">
            <v>255017</v>
          </cell>
          <cell r="B3768" t="str">
            <v>SWITCH, NO/NC, OMRON #Z15JQ</v>
          </cell>
          <cell r="C3768" t="str">
            <v>EA</v>
          </cell>
          <cell r="D3768" t="str">
            <v>RM100</v>
          </cell>
          <cell r="E3768">
            <v>11.02</v>
          </cell>
          <cell r="G3768">
            <v>255017</v>
          </cell>
        </row>
        <row r="3769">
          <cell r="A3769">
            <v>255025</v>
          </cell>
          <cell r="B3769" t="str">
            <v>KIT, CONNECTOR, MALE/FEMALE, SEE NOTES</v>
          </cell>
          <cell r="C3769" t="str">
            <v>EA</v>
          </cell>
          <cell r="D3769" t="str">
            <v>RM100</v>
          </cell>
          <cell r="E3769">
            <v>7.06</v>
          </cell>
          <cell r="G3769">
            <v>255025</v>
          </cell>
        </row>
        <row r="3770">
          <cell r="A3770">
            <v>255026</v>
          </cell>
          <cell r="B3770" t="str">
            <v>SWITCH, OMRON # Z-15GW22-B</v>
          </cell>
          <cell r="C3770" t="str">
            <v>EA</v>
          </cell>
          <cell r="D3770" t="str">
            <v>RM100</v>
          </cell>
          <cell r="E3770">
            <v>7.94</v>
          </cell>
          <cell r="G3770">
            <v>255026</v>
          </cell>
        </row>
        <row r="3771">
          <cell r="A3771">
            <v>255029</v>
          </cell>
          <cell r="B3771" t="str">
            <v>CORD,MUFFIN FAN RT ANGLE W/PLUG 36"*</v>
          </cell>
          <cell r="C3771" t="str">
            <v>EA</v>
          </cell>
          <cell r="D3771" t="str">
            <v>RM100</v>
          </cell>
          <cell r="E3771">
            <v>2.3199999999999998</v>
          </cell>
          <cell r="G3771">
            <v>255029</v>
          </cell>
        </row>
        <row r="3772">
          <cell r="A3772">
            <v>255030</v>
          </cell>
          <cell r="B3772" t="str">
            <v>CLMP,CBL,BLK NYLON, .50" DIA</v>
          </cell>
          <cell r="C3772" t="str">
            <v>EA</v>
          </cell>
          <cell r="D3772" t="str">
            <v>RM100</v>
          </cell>
          <cell r="E3772">
            <v>7.1300000000000002E-2</v>
          </cell>
          <cell r="G3772">
            <v>255030</v>
          </cell>
        </row>
        <row r="3773">
          <cell r="A3773">
            <v>255036</v>
          </cell>
          <cell r="B3773" t="str">
            <v>FAN,AC ORION 0A180AP-22-1WB 7.1" 230*</v>
          </cell>
          <cell r="C3773" t="str">
            <v>EA</v>
          </cell>
          <cell r="D3773" t="str">
            <v>RM100</v>
          </cell>
          <cell r="E3773">
            <v>81.11</v>
          </cell>
          <cell r="G3773">
            <v>255036</v>
          </cell>
        </row>
        <row r="3774">
          <cell r="A3774">
            <v>255044</v>
          </cell>
          <cell r="B3774" t="str">
            <v>FAN,AC ORION 0A109AP-11/22-1WB*</v>
          </cell>
          <cell r="C3774" t="str">
            <v>EA</v>
          </cell>
          <cell r="D3774" t="str">
            <v>MA100</v>
          </cell>
          <cell r="E3774">
            <v>20.010000000000002</v>
          </cell>
          <cell r="G3774">
            <v>255044</v>
          </cell>
        </row>
        <row r="3775">
          <cell r="A3775">
            <v>255061</v>
          </cell>
          <cell r="B3775" t="str">
            <v>J-BOX,1 GANG HANDY BOX RACO 663 3/4" KO*</v>
          </cell>
          <cell r="C3775" t="str">
            <v>EA</v>
          </cell>
          <cell r="D3775" t="str">
            <v>RM100</v>
          </cell>
          <cell r="E3775">
            <v>3.2850000000000001</v>
          </cell>
          <cell r="G3775">
            <v>255061</v>
          </cell>
        </row>
        <row r="3776">
          <cell r="A3776">
            <v>255069</v>
          </cell>
          <cell r="B3776" t="str">
            <v>CVR,ELEC BX BLNK 4"SQ STL RACO#752*</v>
          </cell>
          <cell r="C3776" t="str">
            <v>EA</v>
          </cell>
          <cell r="D3776" t="str">
            <v>RM100</v>
          </cell>
          <cell r="E3776">
            <v>0.33479999999999999</v>
          </cell>
          <cell r="G3776">
            <v>255069</v>
          </cell>
        </row>
        <row r="3777">
          <cell r="A3777">
            <v>255080</v>
          </cell>
          <cell r="B3777" t="str">
            <v>NUTS,WIRE IDEAL #73B ORANGE 100/PKG*</v>
          </cell>
          <cell r="C3777" t="str">
            <v>EA</v>
          </cell>
          <cell r="D3777" t="str">
            <v>RM100</v>
          </cell>
          <cell r="E3777">
            <v>0.1502</v>
          </cell>
          <cell r="G3777">
            <v>255080</v>
          </cell>
        </row>
        <row r="3778">
          <cell r="A3778">
            <v>255085</v>
          </cell>
          <cell r="B3778" t="str">
            <v>TAPE,ELEC BLK SPLICING SCOTCH 33+</v>
          </cell>
          <cell r="C3778" t="str">
            <v>RL</v>
          </cell>
          <cell r="D3778" t="str">
            <v>RM100</v>
          </cell>
          <cell r="E3778">
            <v>2.38</v>
          </cell>
          <cell r="G3778">
            <v>255085</v>
          </cell>
        </row>
        <row r="3779">
          <cell r="A3779">
            <v>255091</v>
          </cell>
          <cell r="B3779" t="str">
            <v>FAN, DC 24V 7.1" SQ 370 CFM</v>
          </cell>
          <cell r="C3779" t="str">
            <v>EA</v>
          </cell>
          <cell r="D3779" t="str">
            <v>MA470</v>
          </cell>
          <cell r="E3779">
            <v>78.58</v>
          </cell>
          <cell r="G3779">
            <v>255091</v>
          </cell>
        </row>
        <row r="3780">
          <cell r="A3780">
            <v>255121</v>
          </cell>
          <cell r="B3780" t="str">
            <v>STRAP,1" EMT 1-EYE STL CROUSE HINDS 202</v>
          </cell>
          <cell r="C3780" t="str">
            <v>EA</v>
          </cell>
          <cell r="D3780" t="str">
            <v>RM100</v>
          </cell>
          <cell r="E3780">
            <v>0.18</v>
          </cell>
          <cell r="G3780">
            <v>255121</v>
          </cell>
        </row>
        <row r="3781">
          <cell r="A3781">
            <v>255240</v>
          </cell>
          <cell r="B3781" t="str">
            <v>BOX,1-1/2"DEEP OCTAGON W/1/2&amp;3/4 K/O's*</v>
          </cell>
          <cell r="C3781" t="str">
            <v>EA</v>
          </cell>
          <cell r="D3781" t="str">
            <v>RM100</v>
          </cell>
          <cell r="E3781">
            <v>1.94</v>
          </cell>
          <cell r="G3781">
            <v>255240</v>
          </cell>
        </row>
        <row r="3782">
          <cell r="A3782">
            <v>255466</v>
          </cell>
          <cell r="B3782" t="str">
            <v>STRAP,1/2" PVC</v>
          </cell>
          <cell r="C3782" t="str">
            <v>EA</v>
          </cell>
          <cell r="D3782" t="str">
            <v>RM100</v>
          </cell>
          <cell r="E3782">
            <v>0.2094</v>
          </cell>
          <cell r="G3782">
            <v>255466</v>
          </cell>
        </row>
        <row r="3783">
          <cell r="A3783">
            <v>255489</v>
          </cell>
          <cell r="B3783" t="str">
            <v>CAP,BNC MALE W/CHAIN AMPHENOL 31-6*</v>
          </cell>
          <cell r="C3783" t="str">
            <v>EA</v>
          </cell>
          <cell r="D3783" t="str">
            <v>RM100</v>
          </cell>
          <cell r="E3783">
            <v>5.54</v>
          </cell>
          <cell r="G3783">
            <v>255489</v>
          </cell>
        </row>
        <row r="3784">
          <cell r="A3784">
            <v>255549</v>
          </cell>
          <cell r="B3784" t="str">
            <v>MONITOR, OMS OXYGEN (INTERNATL)</v>
          </cell>
          <cell r="C3784" t="str">
            <v>EA</v>
          </cell>
          <cell r="D3784" t="str">
            <v>MA100</v>
          </cell>
          <cell r="E3784">
            <v>1817.75</v>
          </cell>
          <cell r="G3784">
            <v>255549</v>
          </cell>
        </row>
        <row r="3785">
          <cell r="A3785">
            <v>255550</v>
          </cell>
          <cell r="B3785" t="str">
            <v>MONITOR, OMS OXYGEN (DOMESTIC)</v>
          </cell>
          <cell r="C3785" t="str">
            <v>EA</v>
          </cell>
          <cell r="D3785" t="str">
            <v>RM100</v>
          </cell>
          <cell r="E3785">
            <v>1751.75</v>
          </cell>
          <cell r="G3785">
            <v>255550</v>
          </cell>
        </row>
        <row r="3786">
          <cell r="A3786">
            <v>255551</v>
          </cell>
          <cell r="B3786" t="str">
            <v>MONITOR, OMS FILTER</v>
          </cell>
          <cell r="C3786" t="str">
            <v>EA</v>
          </cell>
          <cell r="D3786" t="str">
            <v>RM100</v>
          </cell>
          <cell r="E3786">
            <v>26</v>
          </cell>
          <cell r="G3786">
            <v>255551</v>
          </cell>
        </row>
        <row r="3787">
          <cell r="A3787">
            <v>255552</v>
          </cell>
          <cell r="B3787" t="str">
            <v>MONITOR, OMS REMOTE DISPLAY</v>
          </cell>
          <cell r="C3787" t="str">
            <v>EA</v>
          </cell>
          <cell r="D3787" t="str">
            <v>RM100</v>
          </cell>
          <cell r="E3787">
            <v>243.75</v>
          </cell>
          <cell r="G3787">
            <v>255552</v>
          </cell>
        </row>
        <row r="3788">
          <cell r="A3788">
            <v>255553</v>
          </cell>
          <cell r="B3788" t="str">
            <v>MONITOR, OMS HORN &amp; STROBE</v>
          </cell>
          <cell r="C3788" t="str">
            <v>EA</v>
          </cell>
          <cell r="D3788" t="str">
            <v>RM100</v>
          </cell>
          <cell r="E3788">
            <v>160</v>
          </cell>
          <cell r="G3788">
            <v>255553</v>
          </cell>
        </row>
        <row r="3789">
          <cell r="A3789">
            <v>255554</v>
          </cell>
          <cell r="B3789" t="str">
            <v>KIT, OMS OXYGEN MONITOR W/ W/G &amp; CU WSHR</v>
          </cell>
          <cell r="C3789" t="str">
            <v>EA</v>
          </cell>
          <cell r="D3789" t="str">
            <v>MA100</v>
          </cell>
          <cell r="E3789">
            <v>1802.0513699999999</v>
          </cell>
          <cell r="G3789">
            <v>255554</v>
          </cell>
        </row>
        <row r="3790">
          <cell r="A3790">
            <v>255555</v>
          </cell>
          <cell r="B3790" t="str">
            <v>MONITOR, GAS DETECTOR ENMET#67013-008</v>
          </cell>
          <cell r="C3790" t="str">
            <v>EA</v>
          </cell>
          <cell r="D3790" t="str">
            <v>MA100</v>
          </cell>
          <cell r="E3790">
            <v>236</v>
          </cell>
          <cell r="G3790">
            <v>255555</v>
          </cell>
        </row>
        <row r="3791">
          <cell r="A3791">
            <v>255556</v>
          </cell>
          <cell r="B3791" t="str">
            <v>MONITOR, GAS SENSOR ENMET#67016-1152</v>
          </cell>
          <cell r="C3791" t="str">
            <v>EA</v>
          </cell>
          <cell r="D3791" t="str">
            <v>MA100</v>
          </cell>
          <cell r="E3791">
            <v>357</v>
          </cell>
          <cell r="G3791">
            <v>255556</v>
          </cell>
        </row>
        <row r="3792">
          <cell r="A3792">
            <v>255584</v>
          </cell>
          <cell r="B3792" t="str">
            <v>FAN,ASSY MUFFIN XL 4.7SQ 1.5D115 CFM*</v>
          </cell>
          <cell r="C3792" t="str">
            <v>EA</v>
          </cell>
          <cell r="D3792" t="str">
            <v>MA100</v>
          </cell>
          <cell r="E3792">
            <v>139.37182000000001</v>
          </cell>
          <cell r="G3792">
            <v>255584</v>
          </cell>
        </row>
        <row r="3793">
          <cell r="A3793">
            <v>255589</v>
          </cell>
          <cell r="B3793" t="str">
            <v>GUARD,FAN ORION 4.7" G109-15A</v>
          </cell>
          <cell r="C3793" t="str">
            <v>EA</v>
          </cell>
          <cell r="D3793" t="str">
            <v>MA100</v>
          </cell>
          <cell r="E3793">
            <v>0.8</v>
          </cell>
          <cell r="G3793">
            <v>255589</v>
          </cell>
        </row>
        <row r="3794">
          <cell r="A3794">
            <v>255721</v>
          </cell>
          <cell r="B3794" t="str">
            <v>CDT,1/2 NONMETAL FLEX U.L.LD TYPE"NM"BLK</v>
          </cell>
          <cell r="C3794" t="str">
            <v>FT</v>
          </cell>
          <cell r="D3794" t="str">
            <v>RM100</v>
          </cell>
          <cell r="E3794">
            <v>0.87490000000000001</v>
          </cell>
          <cell r="G3794">
            <v>255721</v>
          </cell>
        </row>
        <row r="3795">
          <cell r="A3795">
            <v>255797</v>
          </cell>
          <cell r="B3795" t="str">
            <v>WMLD,#800 BAC IVORY 5FT. LG.</v>
          </cell>
          <cell r="C3795" t="str">
            <v>EA</v>
          </cell>
          <cell r="D3795" t="str">
            <v>MA100</v>
          </cell>
          <cell r="E3795">
            <v>13</v>
          </cell>
          <cell r="G3795">
            <v>255797</v>
          </cell>
        </row>
        <row r="3796">
          <cell r="A3796">
            <v>255863</v>
          </cell>
          <cell r="B3796" t="str">
            <v>FITTING,1/2"CONDUIT, STRAIGHTN</v>
          </cell>
          <cell r="C3796" t="str">
            <v>EA</v>
          </cell>
          <cell r="D3796" t="str">
            <v>RM100</v>
          </cell>
          <cell r="E3796">
            <v>2.33</v>
          </cell>
          <cell r="G3796">
            <v>255863</v>
          </cell>
        </row>
        <row r="3797">
          <cell r="A3797">
            <v>255958</v>
          </cell>
          <cell r="B3797" t="str">
            <v>CONN,STRT,2-SCREW, FLEX COND OZ/GEDNEY#*</v>
          </cell>
          <cell r="C3797" t="str">
            <v>EA</v>
          </cell>
          <cell r="D3797" t="str">
            <v>RM100</v>
          </cell>
          <cell r="E3797">
            <v>0.15640000000000001</v>
          </cell>
          <cell r="G3797">
            <v>255958</v>
          </cell>
        </row>
        <row r="3798">
          <cell r="A3798">
            <v>255964</v>
          </cell>
          <cell r="B3798" t="str">
            <v>GUARD,FINGER FAN 3 RING ZINC PLATED</v>
          </cell>
          <cell r="C3798" t="str">
            <v>EA</v>
          </cell>
          <cell r="D3798" t="str">
            <v>MA100</v>
          </cell>
          <cell r="E3798">
            <v>2.71</v>
          </cell>
          <cell r="G3798">
            <v>255964</v>
          </cell>
        </row>
        <row r="3799">
          <cell r="A3799">
            <v>255984</v>
          </cell>
          <cell r="B3799" t="str">
            <v>CVR,ELEC BOX 4"SQ SINGL DVC RAISED 5/8"</v>
          </cell>
          <cell r="C3799" t="str">
            <v>EA</v>
          </cell>
          <cell r="D3799" t="str">
            <v>RM100</v>
          </cell>
          <cell r="E3799">
            <v>0.62839999999999996</v>
          </cell>
          <cell r="G3799">
            <v>255984</v>
          </cell>
        </row>
        <row r="3800">
          <cell r="A3800">
            <v>256001</v>
          </cell>
          <cell r="B3800" t="str">
            <v>PLUG,VENTED,PLASTIC,1"DIA.</v>
          </cell>
          <cell r="C3800" t="str">
            <v>EA</v>
          </cell>
          <cell r="D3800" t="str">
            <v>RM100</v>
          </cell>
          <cell r="E3800">
            <v>0.1038</v>
          </cell>
          <cell r="G3800">
            <v>256001</v>
          </cell>
        </row>
        <row r="3801">
          <cell r="A3801">
            <v>256004</v>
          </cell>
          <cell r="B3801" t="str">
            <v>MOTION SENSOR,STANLEY 516669,MDL SU-100</v>
          </cell>
          <cell r="C3801" t="str">
            <v>EA</v>
          </cell>
          <cell r="D3801" t="str">
            <v>RM100</v>
          </cell>
          <cell r="E3801">
            <v>305.33</v>
          </cell>
          <cell r="G3801">
            <v>256004</v>
          </cell>
        </row>
        <row r="3802">
          <cell r="A3802">
            <v>256110</v>
          </cell>
          <cell r="B3802" t="str">
            <v>CBL,2X22GA *</v>
          </cell>
          <cell r="C3802" t="str">
            <v>FT</v>
          </cell>
          <cell r="D3802" t="str">
            <v>RM100</v>
          </cell>
          <cell r="E3802">
            <v>9.5530000000000004E-2</v>
          </cell>
          <cell r="G3802">
            <v>256110</v>
          </cell>
        </row>
        <row r="3803">
          <cell r="A3803">
            <v>256119</v>
          </cell>
          <cell r="B3803" t="str">
            <v>RCWY,DUCT,1.5X.94X6' LG WHITE,PANDUIT#*</v>
          </cell>
          <cell r="C3803" t="str">
            <v>EA</v>
          </cell>
          <cell r="D3803" t="str">
            <v>RM100</v>
          </cell>
          <cell r="E3803">
            <v>14.76</v>
          </cell>
          <cell r="G3803">
            <v>256119</v>
          </cell>
        </row>
        <row r="3804">
          <cell r="A3804">
            <v>256120</v>
          </cell>
          <cell r="B3804" t="str">
            <v>RCWY,CPLG,WHITE,PANDUIT#CFX10WH-X</v>
          </cell>
          <cell r="C3804" t="str">
            <v>EA</v>
          </cell>
          <cell r="D3804" t="str">
            <v>RM100</v>
          </cell>
          <cell r="E3804">
            <v>1.45</v>
          </cell>
          <cell r="G3804">
            <v>256120</v>
          </cell>
        </row>
        <row r="3805">
          <cell r="A3805">
            <v>256121</v>
          </cell>
          <cell r="B3805" t="str">
            <v>RCWY,DROP CEILIING TRANSITION,WHITE*</v>
          </cell>
          <cell r="C3805" t="str">
            <v>EA</v>
          </cell>
          <cell r="D3805" t="str">
            <v>RM100</v>
          </cell>
          <cell r="E3805">
            <v>5.01</v>
          </cell>
          <cell r="G3805">
            <v>256121</v>
          </cell>
        </row>
        <row r="3806">
          <cell r="A3806">
            <v>256122</v>
          </cell>
          <cell r="B3806" t="str">
            <v>RCWY,RIGHT ANGLE,WHITE,PANDUIT#*</v>
          </cell>
          <cell r="C3806" t="str">
            <v>EA</v>
          </cell>
          <cell r="D3806" t="str">
            <v>RM100</v>
          </cell>
          <cell r="E3806">
            <v>1.5</v>
          </cell>
          <cell r="G3806">
            <v>256122</v>
          </cell>
        </row>
        <row r="3807">
          <cell r="A3807">
            <v>256123</v>
          </cell>
          <cell r="B3807" t="str">
            <v>RCWY,DUCT,1/2"X1"X6'6" LG,GREY</v>
          </cell>
          <cell r="C3807" t="str">
            <v>FT</v>
          </cell>
          <cell r="D3807" t="str">
            <v>RM100</v>
          </cell>
          <cell r="E3807">
            <v>3.49</v>
          </cell>
          <cell r="G3807">
            <v>256123</v>
          </cell>
        </row>
        <row r="3808">
          <cell r="A3808">
            <v>256124</v>
          </cell>
          <cell r="B3808" t="str">
            <v>RCWY,2 GANG J-BOX BASE &amp; COVER,WHITE*</v>
          </cell>
          <cell r="C3808" t="str">
            <v>EA</v>
          </cell>
          <cell r="D3808" t="str">
            <v>RM100</v>
          </cell>
          <cell r="E3808">
            <v>7.5</v>
          </cell>
          <cell r="G3808">
            <v>256124</v>
          </cell>
        </row>
        <row r="3809">
          <cell r="A3809">
            <v>256125</v>
          </cell>
          <cell r="B3809" t="str">
            <v>CBL,CAROL #2423,15-COND,18GA,300V***</v>
          </cell>
          <cell r="C3809" t="str">
            <v>FT</v>
          </cell>
          <cell r="D3809" t="str">
            <v>RM100</v>
          </cell>
          <cell r="E3809">
            <v>1.74</v>
          </cell>
          <cell r="G3809">
            <v>256125</v>
          </cell>
        </row>
        <row r="3810">
          <cell r="A3810">
            <v>256126</v>
          </cell>
          <cell r="B3810" t="str">
            <v>CONN,MOLEX #03-09-1152,15-PIN RECPT*</v>
          </cell>
          <cell r="C3810" t="str">
            <v>EA</v>
          </cell>
          <cell r="D3810" t="str">
            <v>RM100</v>
          </cell>
          <cell r="E3810">
            <v>0.55000000000000004</v>
          </cell>
          <cell r="G3810">
            <v>256126</v>
          </cell>
        </row>
        <row r="3811">
          <cell r="A3811">
            <v>256127</v>
          </cell>
          <cell r="B3811" t="str">
            <v>CONN,MOLEX #03-09-2159,15-PIN PLUG*</v>
          </cell>
          <cell r="C3811" t="str">
            <v>EA</v>
          </cell>
          <cell r="D3811" t="str">
            <v>RM100</v>
          </cell>
          <cell r="E3811">
            <v>0.81</v>
          </cell>
          <cell r="G3811">
            <v>256127</v>
          </cell>
        </row>
        <row r="3812">
          <cell r="A3812">
            <v>256128</v>
          </cell>
          <cell r="B3812" t="str">
            <v>CONN,MOLEX #03-09-1022,2-PIN  RECPT*</v>
          </cell>
          <cell r="C3812" t="str">
            <v>EA</v>
          </cell>
          <cell r="D3812" t="str">
            <v>RM100</v>
          </cell>
          <cell r="E3812">
            <v>0.126</v>
          </cell>
          <cell r="G3812">
            <v>256128</v>
          </cell>
        </row>
        <row r="3813">
          <cell r="A3813">
            <v>256129</v>
          </cell>
          <cell r="B3813" t="str">
            <v>CONN,MOLEX #03-09-2022,2-PIN  PLUG*</v>
          </cell>
          <cell r="C3813" t="str">
            <v>EA</v>
          </cell>
          <cell r="D3813" t="str">
            <v>RM100</v>
          </cell>
          <cell r="E3813">
            <v>0.13</v>
          </cell>
          <cell r="G3813">
            <v>256129</v>
          </cell>
        </row>
        <row r="3814">
          <cell r="A3814">
            <v>256130</v>
          </cell>
          <cell r="B3814" t="str">
            <v>TERM,MALE PIN CRMPD..093"DIA. 20-14AWG</v>
          </cell>
          <cell r="C3814" t="str">
            <v>EA</v>
          </cell>
          <cell r="D3814" t="str">
            <v>RM100</v>
          </cell>
          <cell r="E3814">
            <v>7.3999999999999996E-2</v>
          </cell>
          <cell r="G3814">
            <v>256130</v>
          </cell>
        </row>
        <row r="3815">
          <cell r="A3815">
            <v>256131</v>
          </cell>
          <cell r="B3815" t="str">
            <v>TERM,MOLEX #02-09-1104,FEM CRMPD*</v>
          </cell>
          <cell r="C3815" t="str">
            <v>EA</v>
          </cell>
          <cell r="D3815" t="str">
            <v>RM100</v>
          </cell>
          <cell r="E3815">
            <v>7.0999999999999994E-2</v>
          </cell>
          <cell r="G3815">
            <v>256131</v>
          </cell>
        </row>
        <row r="3816">
          <cell r="A3816">
            <v>256132</v>
          </cell>
          <cell r="B3816" t="str">
            <v>CBL,Belden #8623,15-COND,16GA,300V*</v>
          </cell>
          <cell r="C3816" t="str">
            <v>FT</v>
          </cell>
          <cell r="D3816" t="str">
            <v>RM100</v>
          </cell>
          <cell r="E3816">
            <v>4.8</v>
          </cell>
          <cell r="G3816">
            <v>256132</v>
          </cell>
        </row>
        <row r="3817">
          <cell r="A3817">
            <v>256217</v>
          </cell>
          <cell r="B3817" t="str">
            <v>RCWY,INSIDE CRNR,WHT,PANDUIT #ICFC10WH-X</v>
          </cell>
          <cell r="C3817" t="str">
            <v>EA</v>
          </cell>
          <cell r="D3817" t="str">
            <v>RM100</v>
          </cell>
          <cell r="E3817">
            <v>1.69</v>
          </cell>
          <cell r="G3817">
            <v>256217</v>
          </cell>
        </row>
        <row r="3818">
          <cell r="A3818">
            <v>256218</v>
          </cell>
          <cell r="B3818" t="str">
            <v>RCWY,RT ANG ENTRANCE END WHT,PANDUIT*</v>
          </cell>
          <cell r="C3818" t="str">
            <v>EA</v>
          </cell>
          <cell r="D3818" t="str">
            <v>RM100</v>
          </cell>
          <cell r="E3818">
            <v>5.65</v>
          </cell>
          <cell r="G3818">
            <v>256218</v>
          </cell>
        </row>
        <row r="3819">
          <cell r="A3819">
            <v>256229</v>
          </cell>
          <cell r="B3819" t="str">
            <v>FAN,ASSY,6.91SQX4.41 DEEP 340 CFM W/*</v>
          </cell>
          <cell r="C3819" t="str">
            <v>EA</v>
          </cell>
          <cell r="D3819" t="str">
            <v>MA100</v>
          </cell>
          <cell r="E3819">
            <v>395.65487999999999</v>
          </cell>
          <cell r="G3819">
            <v>256229</v>
          </cell>
        </row>
        <row r="3820">
          <cell r="A3820">
            <v>256354</v>
          </cell>
          <cell r="B3820" t="str">
            <v>CBL,CAROL #E1012S, 12-COND, 22GA, OR EQU</v>
          </cell>
          <cell r="C3820" t="str">
            <v>FT</v>
          </cell>
          <cell r="D3820" t="str">
            <v>RM100</v>
          </cell>
          <cell r="E3820">
            <v>0.23416000000000001</v>
          </cell>
          <cell r="G3820">
            <v>256354</v>
          </cell>
        </row>
        <row r="3821">
          <cell r="A3821">
            <v>256356</v>
          </cell>
          <cell r="B3821" t="str">
            <v>CBL,CAROL #6358,15-COND,20GA,300V*</v>
          </cell>
          <cell r="C3821" t="str">
            <v>FT</v>
          </cell>
          <cell r="D3821" t="str">
            <v>RM100</v>
          </cell>
          <cell r="E3821">
            <v>1.2621500000000001</v>
          </cell>
          <cell r="G3821">
            <v>256356</v>
          </cell>
        </row>
        <row r="3822">
          <cell r="A3822">
            <v>256440</v>
          </cell>
          <cell r="B3822" t="str">
            <v>WIRE,18 AWG SPEAKER UL 90V CAROL#C1357*</v>
          </cell>
          <cell r="C3822" t="str">
            <v>FT</v>
          </cell>
          <cell r="D3822" t="str">
            <v>RM100</v>
          </cell>
          <cell r="E3822">
            <v>0.16736000000000001</v>
          </cell>
          <cell r="G3822">
            <v>256440</v>
          </cell>
        </row>
        <row r="3823">
          <cell r="A3823">
            <v>256505</v>
          </cell>
          <cell r="B3823" t="str">
            <v>NPL,1/2 CROUSE HINDS#50 NO ISULATION</v>
          </cell>
          <cell r="C3823" t="str">
            <v>EA</v>
          </cell>
          <cell r="D3823" t="str">
            <v>MA100</v>
          </cell>
          <cell r="E3823">
            <v>0.42620000000000002</v>
          </cell>
          <cell r="G3823">
            <v>256505</v>
          </cell>
        </row>
        <row r="3824">
          <cell r="A3824">
            <v>256534</v>
          </cell>
          <cell r="B3824" t="str">
            <v>PB,PUSH/TURN RESET ESTOP PB AVW411-R</v>
          </cell>
          <cell r="C3824" t="str">
            <v>EA</v>
          </cell>
          <cell r="D3824" t="str">
            <v>RM100</v>
          </cell>
          <cell r="E3824">
            <v>33.979999999999997</v>
          </cell>
          <cell r="G3824">
            <v>256534</v>
          </cell>
        </row>
        <row r="3825">
          <cell r="A3825">
            <v>256555</v>
          </cell>
          <cell r="B3825" t="str">
            <v>MON,12VDC GRND ISO 1000 OHM TRIP POINT</v>
          </cell>
          <cell r="C3825" t="str">
            <v>EA</v>
          </cell>
          <cell r="D3825" t="str">
            <v>RM100</v>
          </cell>
          <cell r="E3825">
            <v>77.8</v>
          </cell>
          <cell r="G3825">
            <v>256555</v>
          </cell>
        </row>
        <row r="3826">
          <cell r="A3826">
            <v>256749</v>
          </cell>
          <cell r="B3826" t="str">
            <v>LOCK,MAGNETIC,SECURITRON#M32,12VDC</v>
          </cell>
          <cell r="C3826" t="str">
            <v>EA</v>
          </cell>
          <cell r="D3826" t="str">
            <v>RM100</v>
          </cell>
          <cell r="E3826">
            <v>223</v>
          </cell>
          <cell r="G3826">
            <v>256749</v>
          </cell>
        </row>
        <row r="3827">
          <cell r="A3827">
            <v>256794</v>
          </cell>
          <cell r="B3827" t="str">
            <v>CDT,Strain Relief,.2-.47"OD cord,1/2NPT*</v>
          </cell>
          <cell r="C3827" t="str">
            <v>EA</v>
          </cell>
          <cell r="D3827" t="str">
            <v>RM100</v>
          </cell>
          <cell r="E3827">
            <v>0.84</v>
          </cell>
          <cell r="G3827">
            <v>256794</v>
          </cell>
        </row>
        <row r="3828">
          <cell r="A3828">
            <v>256837</v>
          </cell>
          <cell r="B3828" t="str">
            <v>Pushbutton</v>
          </cell>
          <cell r="C3828" t="str">
            <v>EA</v>
          </cell>
          <cell r="D3828" t="str">
            <v>RM100</v>
          </cell>
          <cell r="E3828">
            <v>4.2300000000000004</v>
          </cell>
          <cell r="G3828">
            <v>256837</v>
          </cell>
        </row>
        <row r="3829">
          <cell r="A3829">
            <v>256858</v>
          </cell>
          <cell r="B3829" t="str">
            <v>HLDR,TIE-WRAP*</v>
          </cell>
          <cell r="C3829" t="str">
            <v>EA</v>
          </cell>
          <cell r="D3829" t="str">
            <v>RM100</v>
          </cell>
          <cell r="E3829">
            <v>0.36</v>
          </cell>
          <cell r="G3829">
            <v>256858</v>
          </cell>
        </row>
        <row r="3830">
          <cell r="A3830">
            <v>256867</v>
          </cell>
          <cell r="B3830" t="str">
            <v>HEAT SHRINK,1/8"POLYOLEFIN 6"LONG***</v>
          </cell>
          <cell r="C3830" t="str">
            <v>EA</v>
          </cell>
          <cell r="D3830" t="str">
            <v>RM100</v>
          </cell>
          <cell r="E3830">
            <v>0.53959999999999997</v>
          </cell>
          <cell r="G3830">
            <v>256867</v>
          </cell>
        </row>
        <row r="3831">
          <cell r="A3831">
            <v>256868</v>
          </cell>
          <cell r="B3831" t="str">
            <v>HEAT SHRINK,1/4"POLYOLEFIN 6"LONG***</v>
          </cell>
          <cell r="C3831" t="str">
            <v>EA</v>
          </cell>
          <cell r="D3831" t="str">
            <v>RM100</v>
          </cell>
          <cell r="E3831">
            <v>0.70889999999999997</v>
          </cell>
          <cell r="G3831">
            <v>256868</v>
          </cell>
        </row>
        <row r="3832">
          <cell r="A3832">
            <v>256880</v>
          </cell>
          <cell r="B3832" t="str">
            <v>MODEM,F.O.ASYNCHRONOUS 0-19.2KBPS*</v>
          </cell>
          <cell r="C3832" t="str">
            <v>EA</v>
          </cell>
          <cell r="D3832" t="str">
            <v>RM100</v>
          </cell>
          <cell r="E3832">
            <v>120</v>
          </cell>
          <cell r="G3832">
            <v>256880</v>
          </cell>
        </row>
        <row r="3833">
          <cell r="A3833">
            <v>256883</v>
          </cell>
          <cell r="B3833" t="str">
            <v>CBL,F/O DUPLEX W/ ST CONNECTORS 25FT*</v>
          </cell>
          <cell r="C3833" t="str">
            <v>EA</v>
          </cell>
          <cell r="D3833" t="str">
            <v>RM100</v>
          </cell>
          <cell r="E3833">
            <v>62</v>
          </cell>
          <cell r="G3833">
            <v>256883</v>
          </cell>
        </row>
        <row r="3834">
          <cell r="A3834">
            <v>256972</v>
          </cell>
          <cell r="B3834" t="str">
            <v>PWR SUP, 24DC, 25W,85-265VAC INPUT,1.1A*</v>
          </cell>
          <cell r="C3834" t="str">
            <v>EA</v>
          </cell>
          <cell r="D3834" t="str">
            <v>RM100</v>
          </cell>
          <cell r="E3834">
            <v>9.31</v>
          </cell>
          <cell r="G3834">
            <v>256972</v>
          </cell>
        </row>
        <row r="3835">
          <cell r="A3835">
            <v>256973</v>
          </cell>
          <cell r="B3835" t="str">
            <v>CORD,PWR, 10',plug only,hospital grade*</v>
          </cell>
          <cell r="C3835" t="str">
            <v>EA</v>
          </cell>
          <cell r="D3835" t="str">
            <v>RM100</v>
          </cell>
          <cell r="E3835">
            <v>9.9499999999999993</v>
          </cell>
          <cell r="G3835">
            <v>256973</v>
          </cell>
        </row>
        <row r="3836">
          <cell r="A3836">
            <v>256974</v>
          </cell>
          <cell r="B3836" t="str">
            <v>CBL,4 COND, TELEPHONE LINE CORD, 50 FT</v>
          </cell>
          <cell r="C3836" t="str">
            <v>EA</v>
          </cell>
          <cell r="D3836" t="str">
            <v>RM100</v>
          </cell>
          <cell r="E3836">
            <v>2.92</v>
          </cell>
          <cell r="G3836">
            <v>256974</v>
          </cell>
        </row>
        <row r="3837">
          <cell r="A3837">
            <v>256979</v>
          </cell>
          <cell r="B3837" t="str">
            <v>RLY, DPDT, 15AMP, 24VDC*</v>
          </cell>
          <cell r="C3837" t="str">
            <v>EA</v>
          </cell>
          <cell r="D3837" t="str">
            <v>RM100</v>
          </cell>
          <cell r="E3837">
            <v>14.16</v>
          </cell>
          <cell r="G3837">
            <v>256979</v>
          </cell>
        </row>
        <row r="3838">
          <cell r="A3838">
            <v>256980</v>
          </cell>
          <cell r="B3838" t="str">
            <v>BLOCK,MNT, RLY, screw term, 11 pin*</v>
          </cell>
          <cell r="C3838" t="str">
            <v>EA</v>
          </cell>
          <cell r="D3838" t="str">
            <v>RM100</v>
          </cell>
          <cell r="E3838">
            <v>8.4</v>
          </cell>
          <cell r="G3838">
            <v>256980</v>
          </cell>
        </row>
        <row r="3839">
          <cell r="A3839">
            <v>256994</v>
          </cell>
          <cell r="B3839" t="str">
            <v>CVR,PLATE WHITE FOR PANDUIT J-BOX*</v>
          </cell>
          <cell r="C3839" t="str">
            <v>EA</v>
          </cell>
          <cell r="D3839" t="str">
            <v>RM100</v>
          </cell>
          <cell r="E3839">
            <v>1.0349999999999999</v>
          </cell>
          <cell r="G3839">
            <v>256994</v>
          </cell>
        </row>
        <row r="3840">
          <cell r="A3840">
            <v>256996</v>
          </cell>
          <cell r="B3840" t="str">
            <v>RCWY,OUTSIDE CRNR, 1" WHITE</v>
          </cell>
          <cell r="C3840" t="str">
            <v>EA</v>
          </cell>
          <cell r="D3840" t="str">
            <v>RM100</v>
          </cell>
          <cell r="E3840">
            <v>2.85</v>
          </cell>
          <cell r="G3840">
            <v>256996</v>
          </cell>
        </row>
        <row r="3841">
          <cell r="A3841">
            <v>257062</v>
          </cell>
          <cell r="B3841" t="str">
            <v>JACK,CAT 5E (NO COLOR PREFERENCE)*</v>
          </cell>
          <cell r="C3841" t="str">
            <v>EA</v>
          </cell>
          <cell r="D3841" t="str">
            <v>RM100</v>
          </cell>
          <cell r="E3841">
            <v>0.67149999999999999</v>
          </cell>
          <cell r="G3841">
            <v>257062</v>
          </cell>
        </row>
        <row r="3842">
          <cell r="A3842">
            <v>257065</v>
          </cell>
          <cell r="B3842" t="str">
            <v>CBL CAT-5E,WHITE,50FT EMERSON# *</v>
          </cell>
          <cell r="C3842" t="str">
            <v>EA</v>
          </cell>
          <cell r="D3842" t="str">
            <v>RM100</v>
          </cell>
          <cell r="E3842">
            <v>6.63</v>
          </cell>
          <cell r="G3842">
            <v>257065</v>
          </cell>
        </row>
        <row r="3843">
          <cell r="A3843">
            <v>257072</v>
          </cell>
          <cell r="B3843" t="str">
            <v>CONN,MOLEX #03-09-1042,4-PIN</v>
          </cell>
          <cell r="C3843" t="str">
            <v>EA</v>
          </cell>
          <cell r="D3843" t="str">
            <v>RM100</v>
          </cell>
          <cell r="E3843">
            <v>0.33500000000000002</v>
          </cell>
          <cell r="G3843">
            <v>257072</v>
          </cell>
        </row>
        <row r="3844">
          <cell r="A3844">
            <v>257073</v>
          </cell>
          <cell r="B3844" t="str">
            <v>CONN,MOLEX #03-09-2042,4-PIN</v>
          </cell>
          <cell r="C3844" t="str">
            <v>EA</v>
          </cell>
          <cell r="D3844" t="str">
            <v>RM100</v>
          </cell>
          <cell r="E3844">
            <v>0.17799999999999999</v>
          </cell>
          <cell r="G3844">
            <v>257073</v>
          </cell>
        </row>
        <row r="3845">
          <cell r="A3845">
            <v>257077</v>
          </cell>
          <cell r="B3845" t="str">
            <v>SWI,SPST-NO GREEN NEWARK#74K301N-G</v>
          </cell>
          <cell r="C3845" t="str">
            <v>EA</v>
          </cell>
          <cell r="D3845" t="str">
            <v>MA100</v>
          </cell>
          <cell r="E3845">
            <v>31</v>
          </cell>
          <cell r="G3845">
            <v>257077</v>
          </cell>
        </row>
        <row r="3846">
          <cell r="A3846">
            <v>257078</v>
          </cell>
          <cell r="B3846" t="str">
            <v>SWI,EMERG.,NC RED</v>
          </cell>
          <cell r="C3846" t="str">
            <v>EA</v>
          </cell>
          <cell r="D3846" t="str">
            <v>MA100</v>
          </cell>
          <cell r="E3846">
            <v>44</v>
          </cell>
          <cell r="G3846">
            <v>257078</v>
          </cell>
        </row>
        <row r="3847">
          <cell r="A3847">
            <v>257081</v>
          </cell>
          <cell r="B3847" t="str">
            <v>CONN,JMPR,MALE 45 DEG W/6.67mm MNTG HOLE</v>
          </cell>
          <cell r="C3847" t="str">
            <v>EA</v>
          </cell>
          <cell r="D3847" t="str">
            <v>RM100</v>
          </cell>
          <cell r="E3847">
            <v>0.1202</v>
          </cell>
          <cell r="G3847">
            <v>257081</v>
          </cell>
        </row>
        <row r="3848">
          <cell r="A3848">
            <v>257110</v>
          </cell>
          <cell r="B3848" t="str">
            <v>BX,MTL,6x4x5,20Ga,0.036" Hammond #1415C</v>
          </cell>
          <cell r="C3848" t="str">
            <v>EA</v>
          </cell>
          <cell r="D3848" t="str">
            <v>RM100</v>
          </cell>
          <cell r="E3848">
            <v>21.63</v>
          </cell>
          <cell r="G3848">
            <v>257110</v>
          </cell>
        </row>
        <row r="3849">
          <cell r="A3849">
            <v>257111</v>
          </cell>
          <cell r="B3849" t="str">
            <v>CBL,CAT-5E,GRAY,3FT*</v>
          </cell>
          <cell r="C3849" t="str">
            <v>EA</v>
          </cell>
          <cell r="D3849" t="str">
            <v>RM100</v>
          </cell>
          <cell r="E3849">
            <v>1.65</v>
          </cell>
          <cell r="G3849">
            <v>257111</v>
          </cell>
        </row>
        <row r="3850">
          <cell r="A3850">
            <v>257115</v>
          </cell>
          <cell r="B3850" t="str">
            <v>ALUM,CVR,TIMER RELAY,4-7/8X5-7/8</v>
          </cell>
          <cell r="C3850" t="str">
            <v>EA</v>
          </cell>
          <cell r="D3850" t="str">
            <v>MA100</v>
          </cell>
          <cell r="E3850">
            <v>7.2062499999999998</v>
          </cell>
          <cell r="G3850">
            <v>257115</v>
          </cell>
        </row>
        <row r="3851">
          <cell r="A3851">
            <v>257130</v>
          </cell>
          <cell r="B3851" t="str">
            <v>CONTRLR, LOGIC, #TM221ME16R</v>
          </cell>
          <cell r="C3851" t="str">
            <v>EA</v>
          </cell>
          <cell r="D3851" t="str">
            <v>MA100</v>
          </cell>
          <cell r="E3851">
            <v>250.03</v>
          </cell>
          <cell r="G3851">
            <v>257130</v>
          </cell>
        </row>
        <row r="3852">
          <cell r="A3852">
            <v>257132</v>
          </cell>
          <cell r="B3852" t="str">
            <v>DISCRETE, INPUT MODULE</v>
          </cell>
          <cell r="C3852" t="str">
            <v>EA</v>
          </cell>
          <cell r="D3852" t="str">
            <v>MA100</v>
          </cell>
          <cell r="E3852">
            <v>145.62</v>
          </cell>
          <cell r="G3852">
            <v>257132</v>
          </cell>
        </row>
        <row r="3853">
          <cell r="A3853">
            <v>257134</v>
          </cell>
          <cell r="B3853" t="str">
            <v>DISCRETE, OUTPUT MODULE</v>
          </cell>
          <cell r="C3853" t="str">
            <v>EA</v>
          </cell>
          <cell r="D3853" t="str">
            <v>MA100</v>
          </cell>
          <cell r="E3853">
            <v>155.38999999999999</v>
          </cell>
          <cell r="G3853">
            <v>257134</v>
          </cell>
        </row>
        <row r="3854">
          <cell r="A3854">
            <v>257143</v>
          </cell>
          <cell r="B3854" t="str">
            <v>CBL,CAT-5E,BLK,14FT ALEN TEL.#CAT5E-**</v>
          </cell>
          <cell r="C3854" t="str">
            <v>EA</v>
          </cell>
          <cell r="D3854" t="str">
            <v>RM100</v>
          </cell>
          <cell r="E3854">
            <v>4.0199999999999996</v>
          </cell>
          <cell r="G3854">
            <v>257143</v>
          </cell>
        </row>
        <row r="3855">
          <cell r="A3855">
            <v>257148</v>
          </cell>
          <cell r="B3855" t="str">
            <v>WIRE,10AWG 8"WHITE W/2-FML CONN*</v>
          </cell>
          <cell r="C3855" t="str">
            <v>EA</v>
          </cell>
          <cell r="D3855" t="str">
            <v>RM100</v>
          </cell>
          <cell r="E3855">
            <v>1.69</v>
          </cell>
          <cell r="G3855">
            <v>257148</v>
          </cell>
        </row>
        <row r="3856">
          <cell r="A3856">
            <v>257149</v>
          </cell>
          <cell r="B3856" t="str">
            <v>CONN,JMPR,MALE 90 DEG W/2 TABS</v>
          </cell>
          <cell r="C3856" t="str">
            <v>EA</v>
          </cell>
          <cell r="D3856" t="str">
            <v>RM100</v>
          </cell>
          <cell r="E3856">
            <v>6.1100000000000002E-2</v>
          </cell>
          <cell r="G3856">
            <v>257149</v>
          </cell>
        </row>
        <row r="3857">
          <cell r="A3857">
            <v>257150</v>
          </cell>
          <cell r="B3857" t="str">
            <v>PLC, CNTRL Twido#TWDLCA24DRF</v>
          </cell>
          <cell r="C3857" t="str">
            <v>EA</v>
          </cell>
          <cell r="D3857" t="str">
            <v>RM100</v>
          </cell>
          <cell r="E3857">
            <v>217.58</v>
          </cell>
          <cell r="G3857">
            <v>257150</v>
          </cell>
        </row>
        <row r="3858">
          <cell r="A3858">
            <v>257151</v>
          </cell>
          <cell r="B3858" t="str">
            <v>PLC, COMM MODULE TWIDO#TWDNAC485T</v>
          </cell>
          <cell r="C3858" t="str">
            <v>EA</v>
          </cell>
          <cell r="D3858" t="str">
            <v>RM100</v>
          </cell>
          <cell r="E3858">
            <v>38</v>
          </cell>
          <cell r="G3858">
            <v>257151</v>
          </cell>
        </row>
        <row r="3859">
          <cell r="A3859">
            <v>257152</v>
          </cell>
          <cell r="B3859" t="str">
            <v>PLC, OUPUT RELAY MOD TWIDO#TWDDRA 16RT</v>
          </cell>
          <cell r="C3859" t="str">
            <v>EA</v>
          </cell>
          <cell r="D3859" t="str">
            <v>RM100</v>
          </cell>
          <cell r="E3859">
            <v>189.87</v>
          </cell>
          <cell r="G3859">
            <v>257152</v>
          </cell>
        </row>
        <row r="3860">
          <cell r="A3860">
            <v>257153</v>
          </cell>
          <cell r="B3860" t="str">
            <v>PLC, INPUT MODULE TWIDO#TWDDDI 16DT</v>
          </cell>
          <cell r="C3860" t="str">
            <v>EA</v>
          </cell>
          <cell r="D3860" t="str">
            <v>RM100</v>
          </cell>
          <cell r="E3860">
            <v>162.09</v>
          </cell>
          <cell r="G3860">
            <v>257153</v>
          </cell>
        </row>
        <row r="3861">
          <cell r="A3861">
            <v>257154</v>
          </cell>
          <cell r="B3861" t="str">
            <v>PLC, ETHERNET MODULE TWIDO#499TWD01100</v>
          </cell>
          <cell r="C3861" t="str">
            <v>EA</v>
          </cell>
          <cell r="D3861" t="str">
            <v>RM100</v>
          </cell>
          <cell r="E3861">
            <v>183.2</v>
          </cell>
          <cell r="G3861">
            <v>257154</v>
          </cell>
        </row>
        <row r="3862">
          <cell r="A3862">
            <v>257155</v>
          </cell>
          <cell r="B3862" t="str">
            <v>RELAY, DPDT, 24V SCHNEIDER#RXM2AB1BD</v>
          </cell>
          <cell r="C3862" t="str">
            <v>EA</v>
          </cell>
          <cell r="D3862" t="str">
            <v>RM100</v>
          </cell>
          <cell r="E3862">
            <v>3.54</v>
          </cell>
          <cell r="G3862">
            <v>257155</v>
          </cell>
        </row>
        <row r="3863">
          <cell r="A3863">
            <v>257156</v>
          </cell>
          <cell r="B3863" t="str">
            <v>RELAY, 4PDT, 24V SCHNEIDER#RXM4AB1BD</v>
          </cell>
          <cell r="C3863" t="str">
            <v>EA</v>
          </cell>
          <cell r="D3863" t="str">
            <v>RM100</v>
          </cell>
          <cell r="E3863">
            <v>5.7</v>
          </cell>
          <cell r="G3863">
            <v>257156</v>
          </cell>
        </row>
        <row r="3864">
          <cell r="A3864">
            <v>257157</v>
          </cell>
          <cell r="B3864" t="str">
            <v>RELAY,SCKT,300V,10A SCHNEIDER#RXZE2M114M</v>
          </cell>
          <cell r="C3864" t="str">
            <v>EA</v>
          </cell>
          <cell r="D3864" t="str">
            <v>RM100</v>
          </cell>
          <cell r="E3864">
            <v>4.67</v>
          </cell>
          <cell r="G3864">
            <v>257157</v>
          </cell>
        </row>
        <row r="3865">
          <cell r="A3865">
            <v>257159</v>
          </cell>
          <cell r="B3865" t="str">
            <v>ENCL,12"x12" HOFFMAN Q303013ABI</v>
          </cell>
          <cell r="C3865" t="str">
            <v>EA</v>
          </cell>
          <cell r="D3865" t="str">
            <v>RM100</v>
          </cell>
          <cell r="E3865">
            <v>48.2</v>
          </cell>
          <cell r="G3865">
            <v>257159</v>
          </cell>
        </row>
        <row r="3866">
          <cell r="A3866">
            <v>257161</v>
          </cell>
          <cell r="B3866" t="str">
            <v>SWI,KEYED BASE SCHNEIDER</v>
          </cell>
          <cell r="C3866" t="str">
            <v>EA</v>
          </cell>
          <cell r="D3866" t="str">
            <v>RM100</v>
          </cell>
          <cell r="E3866">
            <v>8.25</v>
          </cell>
          <cell r="G3866">
            <v>257161</v>
          </cell>
        </row>
        <row r="3867">
          <cell r="A3867">
            <v>257162</v>
          </cell>
          <cell r="B3867" t="str">
            <v>PB,CONTACT BLOCK SCHNEIDER ZBE102</v>
          </cell>
          <cell r="C3867" t="str">
            <v>EA</v>
          </cell>
          <cell r="D3867" t="str">
            <v>RM100</v>
          </cell>
          <cell r="E3867">
            <v>5.35</v>
          </cell>
          <cell r="G3867">
            <v>257162</v>
          </cell>
        </row>
        <row r="3868">
          <cell r="A3868">
            <v>257163</v>
          </cell>
          <cell r="B3868" t="str">
            <v>PB,MOMENTARY RED SCHNEIDER ZB4BC4</v>
          </cell>
          <cell r="C3868" t="str">
            <v>EA</v>
          </cell>
          <cell r="D3868" t="str">
            <v>RM100</v>
          </cell>
          <cell r="E3868">
            <v>11.02</v>
          </cell>
          <cell r="G3868">
            <v>257163</v>
          </cell>
        </row>
        <row r="3869">
          <cell r="A3869">
            <v>257164</v>
          </cell>
          <cell r="B3869" t="str">
            <v>ENCL,BASE PLATE 16"x24" HOFF A24N16MP</v>
          </cell>
          <cell r="C3869" t="str">
            <v>EA</v>
          </cell>
          <cell r="D3869" t="str">
            <v>RM100</v>
          </cell>
          <cell r="E3869">
            <v>26.32</v>
          </cell>
          <cell r="G3869">
            <v>257164</v>
          </cell>
        </row>
        <row r="3870">
          <cell r="A3870">
            <v>257165</v>
          </cell>
          <cell r="B3870" t="str">
            <v>ENCL,16"x24" HOFFMAN A24N16ALP</v>
          </cell>
          <cell r="C3870" t="str">
            <v>EA</v>
          </cell>
          <cell r="D3870" t="str">
            <v>RM100</v>
          </cell>
          <cell r="E3870">
            <v>232.28</v>
          </cell>
          <cell r="G3870">
            <v>257165</v>
          </cell>
        </row>
        <row r="3871">
          <cell r="A3871">
            <v>257166</v>
          </cell>
          <cell r="B3871" t="str">
            <v>CONN,TERM-10, PHOENIX PHC10-2</v>
          </cell>
          <cell r="C3871" t="str">
            <v>EA</v>
          </cell>
          <cell r="D3871" t="str">
            <v>RM100</v>
          </cell>
          <cell r="E3871">
            <v>37.4</v>
          </cell>
          <cell r="G3871">
            <v>257166</v>
          </cell>
        </row>
        <row r="3872">
          <cell r="A3872">
            <v>257167</v>
          </cell>
          <cell r="B3872" t="str">
            <v>CONN,JUMPER PWR SPLY PHOENIX,20 POS</v>
          </cell>
          <cell r="C3872" t="str">
            <v>EA</v>
          </cell>
          <cell r="D3872" t="str">
            <v>RM100</v>
          </cell>
          <cell r="E3872">
            <v>6.68</v>
          </cell>
          <cell r="G3872">
            <v>257167</v>
          </cell>
        </row>
        <row r="3873">
          <cell r="A3873">
            <v>257168</v>
          </cell>
          <cell r="B3873" t="str">
            <v>FDTHRU,SPRING CAGE PHOENIX 3031157</v>
          </cell>
          <cell r="C3873" t="str">
            <v>EA</v>
          </cell>
          <cell r="D3873" t="str">
            <v>RM100</v>
          </cell>
          <cell r="E3873">
            <v>1.19</v>
          </cell>
          <cell r="G3873">
            <v>257168</v>
          </cell>
        </row>
        <row r="3874">
          <cell r="A3874">
            <v>257169</v>
          </cell>
          <cell r="B3874" t="str">
            <v>FDTHRU,SPRNG CAGE CVR PHOENIX 3030459</v>
          </cell>
          <cell r="C3874" t="str">
            <v>EA</v>
          </cell>
          <cell r="D3874" t="str">
            <v>RM100</v>
          </cell>
          <cell r="E3874">
            <v>0.74</v>
          </cell>
          <cell r="G3874">
            <v>257169</v>
          </cell>
        </row>
        <row r="3875">
          <cell r="A3875">
            <v>257172</v>
          </cell>
          <cell r="B3875" t="str">
            <v>PWR,SUPPLY 4.2A Class 2(see notes)</v>
          </cell>
          <cell r="C3875" t="str">
            <v>EA</v>
          </cell>
          <cell r="D3875" t="str">
            <v>RM100</v>
          </cell>
          <cell r="E3875">
            <v>260</v>
          </cell>
          <cell r="G3875">
            <v>257172</v>
          </cell>
        </row>
        <row r="3876">
          <cell r="A3876">
            <v>257173</v>
          </cell>
          <cell r="B3876" t="str">
            <v>PB, Maintained, RED, 24V</v>
          </cell>
          <cell r="C3876" t="str">
            <v>EA</v>
          </cell>
          <cell r="D3876" t="str">
            <v>RM100</v>
          </cell>
          <cell r="E3876">
            <v>7.98</v>
          </cell>
          <cell r="G3876">
            <v>257173</v>
          </cell>
        </row>
        <row r="3877">
          <cell r="A3877">
            <v>257174</v>
          </cell>
          <cell r="B3877" t="str">
            <v>LED, Panel Mount, Red, 24V</v>
          </cell>
          <cell r="C3877" t="str">
            <v>EA</v>
          </cell>
          <cell r="D3877" t="str">
            <v>RM100</v>
          </cell>
          <cell r="E3877">
            <v>3.52</v>
          </cell>
          <cell r="G3877">
            <v>257174</v>
          </cell>
        </row>
        <row r="3878">
          <cell r="A3878">
            <v>257175</v>
          </cell>
          <cell r="B3878" t="str">
            <v>LED, Panel Mount, Green, 24V</v>
          </cell>
          <cell r="C3878" t="str">
            <v>EA</v>
          </cell>
          <cell r="D3878" t="str">
            <v>RM100</v>
          </cell>
          <cell r="E3878">
            <v>3.44</v>
          </cell>
          <cell r="G3878">
            <v>257175</v>
          </cell>
        </row>
        <row r="3879">
          <cell r="A3879">
            <v>257176</v>
          </cell>
          <cell r="B3879" t="str">
            <v>LED, Panel Mount, Yellow, 24V</v>
          </cell>
          <cell r="C3879" t="str">
            <v>EA</v>
          </cell>
          <cell r="D3879" t="str">
            <v>RM100</v>
          </cell>
          <cell r="E3879">
            <v>3.48</v>
          </cell>
          <cell r="G3879">
            <v>257176</v>
          </cell>
        </row>
        <row r="3880">
          <cell r="A3880">
            <v>257181</v>
          </cell>
          <cell r="B3880" t="str">
            <v>FLOW CNTRL,INLINE,1/4" TUBE</v>
          </cell>
          <cell r="C3880" t="str">
            <v>EA</v>
          </cell>
          <cell r="D3880" t="str">
            <v>RM100</v>
          </cell>
          <cell r="E3880">
            <v>14.04</v>
          </cell>
          <cell r="G3880">
            <v>257181</v>
          </cell>
        </row>
        <row r="3881">
          <cell r="A3881">
            <v>257182</v>
          </cell>
          <cell r="B3881" t="str">
            <v>SUBPLATE for SYJ714 VALVE</v>
          </cell>
          <cell r="C3881" t="str">
            <v>EA</v>
          </cell>
          <cell r="D3881" t="str">
            <v>RM100</v>
          </cell>
          <cell r="E3881">
            <v>6.86</v>
          </cell>
          <cell r="G3881">
            <v>257182</v>
          </cell>
        </row>
        <row r="3882">
          <cell r="A3882">
            <v>257183</v>
          </cell>
          <cell r="B3882" t="str">
            <v>VLV, 3-PORT, 2-POS, N.NON-OPER</v>
          </cell>
          <cell r="C3882" t="str">
            <v>EA</v>
          </cell>
          <cell r="D3882" t="str">
            <v>RM100</v>
          </cell>
          <cell r="E3882">
            <v>45.8</v>
          </cell>
          <cell r="G3882">
            <v>257183</v>
          </cell>
        </row>
        <row r="3883">
          <cell r="A3883">
            <v>257186</v>
          </cell>
          <cell r="B3883" t="str">
            <v>CONNECTOR w/300mm LEADS for SY7440 VLV</v>
          </cell>
          <cell r="C3883" t="str">
            <v>EA</v>
          </cell>
          <cell r="D3883" t="str">
            <v>RM100</v>
          </cell>
          <cell r="E3883">
            <v>1.89</v>
          </cell>
          <cell r="G3883">
            <v>257186</v>
          </cell>
        </row>
        <row r="3884">
          <cell r="A3884">
            <v>257187</v>
          </cell>
          <cell r="B3884" t="str">
            <v>SUBPLATE, MTG for SY7440 VALVE</v>
          </cell>
          <cell r="C3884" t="str">
            <v>EA</v>
          </cell>
          <cell r="D3884" t="str">
            <v>RM100</v>
          </cell>
          <cell r="E3884">
            <v>9.0500000000000007</v>
          </cell>
          <cell r="G3884">
            <v>257187</v>
          </cell>
        </row>
        <row r="3885">
          <cell r="A3885">
            <v>257188</v>
          </cell>
          <cell r="B3885" t="str">
            <v>VLV, 5-PORT, 3-POS, SPR CNTR to EXHAUST</v>
          </cell>
          <cell r="C3885" t="str">
            <v>EA</v>
          </cell>
          <cell r="D3885" t="str">
            <v>RM100</v>
          </cell>
          <cell r="E3885">
            <v>74.739999999999995</v>
          </cell>
          <cell r="G3885">
            <v>257188</v>
          </cell>
        </row>
        <row r="3886">
          <cell r="A3886">
            <v>257189</v>
          </cell>
          <cell r="B3886" t="str">
            <v>CONN, SERIAL, DB9, MALE</v>
          </cell>
          <cell r="C3886" t="str">
            <v>EA</v>
          </cell>
          <cell r="D3886" t="str">
            <v>RM100</v>
          </cell>
          <cell r="E3886">
            <v>2.59</v>
          </cell>
          <cell r="G3886">
            <v>257189</v>
          </cell>
        </row>
        <row r="3887">
          <cell r="A3887">
            <v>257190</v>
          </cell>
          <cell r="B3887" t="str">
            <v>CONN,SPADE,FEM 22-16AWG SPC #CFS-DF-1825</v>
          </cell>
          <cell r="C3887" t="str">
            <v>EA</v>
          </cell>
          <cell r="D3887" t="str">
            <v>RM100</v>
          </cell>
          <cell r="E3887">
            <v>0.38600000000000001</v>
          </cell>
          <cell r="G3887">
            <v>257190</v>
          </cell>
        </row>
        <row r="3888">
          <cell r="A3888">
            <v>257191</v>
          </cell>
          <cell r="B3888" t="str">
            <v>CONN, VGA 85pf filter 15 pin</v>
          </cell>
          <cell r="C3888" t="str">
            <v>EA</v>
          </cell>
          <cell r="D3888" t="str">
            <v>RM100</v>
          </cell>
          <cell r="E3888">
            <v>53.65</v>
          </cell>
          <cell r="G3888">
            <v>257191</v>
          </cell>
        </row>
        <row r="3889">
          <cell r="A3889">
            <v>257192</v>
          </cell>
          <cell r="B3889" t="str">
            <v>CBL,4 COND,22AWG,4C22-CMP-NA-BFA-BED</v>
          </cell>
          <cell r="C3889" t="str">
            <v>FT</v>
          </cell>
          <cell r="D3889" t="str">
            <v>RM100</v>
          </cell>
          <cell r="E3889">
            <v>0.15</v>
          </cell>
          <cell r="G3889">
            <v>257192</v>
          </cell>
        </row>
        <row r="3890">
          <cell r="A3890">
            <v>257193</v>
          </cell>
          <cell r="B3890" t="str">
            <v>PB Base, Maintained, RED, 24V(for257173)</v>
          </cell>
          <cell r="C3890" t="str">
            <v>EA</v>
          </cell>
          <cell r="D3890" t="str">
            <v>RM100</v>
          </cell>
          <cell r="E3890">
            <v>28.63</v>
          </cell>
          <cell r="G3890">
            <v>257193</v>
          </cell>
        </row>
        <row r="3891">
          <cell r="A3891">
            <v>257194</v>
          </cell>
          <cell r="B3891" t="str">
            <v>COVER, CONN, PHOENIX PHC10-2</v>
          </cell>
          <cell r="C3891" t="str">
            <v>EA</v>
          </cell>
          <cell r="D3891" t="str">
            <v>RM100</v>
          </cell>
          <cell r="E3891">
            <v>1.04</v>
          </cell>
          <cell r="G3891">
            <v>257194</v>
          </cell>
        </row>
        <row r="3892">
          <cell r="A3892">
            <v>257195</v>
          </cell>
          <cell r="B3892" t="str">
            <v>TERM BLK,10 POS,FRAME PHOENIX#1852105</v>
          </cell>
          <cell r="C3892" t="str">
            <v>EA</v>
          </cell>
          <cell r="D3892" t="str">
            <v>RM100</v>
          </cell>
          <cell r="E3892">
            <v>1.07</v>
          </cell>
          <cell r="G3892">
            <v>257195</v>
          </cell>
        </row>
        <row r="3893">
          <cell r="A3893">
            <v>257196</v>
          </cell>
          <cell r="B3893" t="str">
            <v>TERM BLK,10 POS,HEADER PHOENIX#1825585</v>
          </cell>
          <cell r="C3893" t="str">
            <v>EA</v>
          </cell>
          <cell r="D3893" t="str">
            <v>RM100</v>
          </cell>
          <cell r="E3893">
            <v>10.210000000000001</v>
          </cell>
          <cell r="G3893">
            <v>257196</v>
          </cell>
        </row>
        <row r="3894">
          <cell r="A3894">
            <v>257198</v>
          </cell>
          <cell r="B3894" t="str">
            <v>TERM BLK,10 POS,PLUG PHOENIX#1778069</v>
          </cell>
          <cell r="C3894" t="str">
            <v>EA</v>
          </cell>
          <cell r="D3894" t="str">
            <v>RM100</v>
          </cell>
          <cell r="E3894">
            <v>6.77</v>
          </cell>
          <cell r="G3894">
            <v>257198</v>
          </cell>
        </row>
        <row r="3895">
          <cell r="A3895">
            <v>257199</v>
          </cell>
          <cell r="B3895" t="str">
            <v>TERM BLK,4 POS,FRAME PHOENIX#1852040</v>
          </cell>
          <cell r="C3895" t="str">
            <v>EA</v>
          </cell>
          <cell r="D3895" t="str">
            <v>RM100</v>
          </cell>
          <cell r="E3895">
            <v>1.2</v>
          </cell>
          <cell r="G3895">
            <v>257199</v>
          </cell>
        </row>
        <row r="3896">
          <cell r="A3896">
            <v>257200</v>
          </cell>
          <cell r="B3896" t="str">
            <v>TERM BLK,4 POS,HEADER PHOENIX#1825527</v>
          </cell>
          <cell r="C3896" t="str">
            <v>EA</v>
          </cell>
          <cell r="D3896" t="str">
            <v>RM100</v>
          </cell>
          <cell r="E3896">
            <v>6.72</v>
          </cell>
          <cell r="G3896">
            <v>257200</v>
          </cell>
        </row>
        <row r="3897">
          <cell r="A3897">
            <v>257201</v>
          </cell>
          <cell r="B3897" t="str">
            <v>TERM BLK,4 POS,PLUG PHOENIX#1778001</v>
          </cell>
          <cell r="C3897" t="str">
            <v>EA</v>
          </cell>
          <cell r="D3897" t="str">
            <v>RM100</v>
          </cell>
          <cell r="E3897">
            <v>3.6</v>
          </cell>
          <cell r="G3897">
            <v>257201</v>
          </cell>
        </row>
        <row r="3898">
          <cell r="A3898">
            <v>257203</v>
          </cell>
          <cell r="B3898" t="str">
            <v>CPLR,CAT-5,BLKHD FML-FML 17-10020*</v>
          </cell>
          <cell r="C3898" t="str">
            <v>EA</v>
          </cell>
          <cell r="D3898" t="str">
            <v>RM100</v>
          </cell>
          <cell r="E3898">
            <v>17.93</v>
          </cell>
          <cell r="G3898">
            <v>257203</v>
          </cell>
        </row>
        <row r="3899">
          <cell r="A3899">
            <v>257208</v>
          </cell>
          <cell r="B3899" t="str">
            <v>CBL,CAT-5E,BLK,2FT CDW#1369020</v>
          </cell>
          <cell r="C3899" t="str">
            <v>EA</v>
          </cell>
          <cell r="D3899" t="str">
            <v>RM100</v>
          </cell>
          <cell r="E3899">
            <v>1.36</v>
          </cell>
          <cell r="G3899">
            <v>257208</v>
          </cell>
        </row>
        <row r="3900">
          <cell r="A3900">
            <v>257214</v>
          </cell>
          <cell r="B3900" t="str">
            <v>CBL,CAT-5,BLK,1FT CDW#630121</v>
          </cell>
          <cell r="C3900" t="str">
            <v>EA</v>
          </cell>
          <cell r="D3900" t="str">
            <v>RM100</v>
          </cell>
          <cell r="E3900">
            <v>1.44</v>
          </cell>
          <cell r="G3900">
            <v>257214</v>
          </cell>
        </row>
        <row r="3901">
          <cell r="A3901">
            <v>257216</v>
          </cell>
          <cell r="B3901" t="str">
            <v>HMI,7 INCH,SchneiderElectric, HMIGTO4310</v>
          </cell>
          <cell r="C3901" t="str">
            <v>EA</v>
          </cell>
          <cell r="D3901" t="str">
            <v>RM100</v>
          </cell>
          <cell r="E3901">
            <v>1439.26</v>
          </cell>
          <cell r="G3901">
            <v>257216</v>
          </cell>
        </row>
        <row r="3902">
          <cell r="A3902">
            <v>257218</v>
          </cell>
          <cell r="B3902" t="str">
            <v>VLV,QUICK EXH,1/4"TUBE,SMC# AQ340F-07-07</v>
          </cell>
          <cell r="C3902" t="str">
            <v>EA</v>
          </cell>
          <cell r="D3902" t="str">
            <v>RM100</v>
          </cell>
          <cell r="E3902">
            <v>10.4</v>
          </cell>
          <cell r="G3902">
            <v>257218</v>
          </cell>
        </row>
        <row r="3903">
          <cell r="A3903">
            <v>257219</v>
          </cell>
          <cell r="B3903" t="str">
            <v>VLV,CHECK INLINE,1/4" TUBE SMC#AKH07-00</v>
          </cell>
          <cell r="C3903" t="str">
            <v>EA</v>
          </cell>
          <cell r="D3903" t="str">
            <v>RM100</v>
          </cell>
          <cell r="E3903">
            <v>9.9600000000000009</v>
          </cell>
          <cell r="G3903">
            <v>257219</v>
          </cell>
        </row>
        <row r="3904">
          <cell r="A3904">
            <v>257222</v>
          </cell>
          <cell r="B3904" t="str">
            <v>REGULATOR,PRESSURE,1/4"NPT PORTS</v>
          </cell>
          <cell r="C3904" t="str">
            <v>EA</v>
          </cell>
          <cell r="D3904" t="str">
            <v>RM100</v>
          </cell>
          <cell r="E3904">
            <v>14.12</v>
          </cell>
          <cell r="G3904">
            <v>257222</v>
          </cell>
        </row>
        <row r="3905">
          <cell r="A3905">
            <v>257223</v>
          </cell>
          <cell r="B3905" t="str">
            <v>GAUGE,PRES REG,SMC# K40-MP1.0-N01MS</v>
          </cell>
          <cell r="C3905" t="str">
            <v>EA</v>
          </cell>
          <cell r="D3905" t="str">
            <v>RM100</v>
          </cell>
          <cell r="E3905">
            <v>6.78</v>
          </cell>
          <cell r="G3905">
            <v>257223</v>
          </cell>
        </row>
        <row r="3906">
          <cell r="A3906">
            <v>257224</v>
          </cell>
          <cell r="B3906" t="str">
            <v>HMI,COVER PLATE,7"BEIJER</v>
          </cell>
          <cell r="C3906" t="str">
            <v>EA</v>
          </cell>
          <cell r="D3906" t="str">
            <v>MA100</v>
          </cell>
          <cell r="E3906">
            <v>38.980879999999999</v>
          </cell>
          <cell r="G3906">
            <v>257224</v>
          </cell>
        </row>
        <row r="3907">
          <cell r="A3907">
            <v>257225</v>
          </cell>
          <cell r="B3907" t="str">
            <v>HMI,CVR PLT,7.5", BRUSH FIN W/POLY*</v>
          </cell>
          <cell r="C3907" t="str">
            <v>EA</v>
          </cell>
          <cell r="D3907" t="str">
            <v>RM100</v>
          </cell>
          <cell r="E3907">
            <v>33.43</v>
          </cell>
          <cell r="G3907">
            <v>257225</v>
          </cell>
        </row>
        <row r="3908">
          <cell r="A3908">
            <v>257226</v>
          </cell>
          <cell r="B3908" t="str">
            <v>CBL,4-COND,22 GA,CNTRL SYS</v>
          </cell>
          <cell r="C3908" t="str">
            <v>FT</v>
          </cell>
          <cell r="D3908" t="str">
            <v>RM100</v>
          </cell>
          <cell r="E3908">
            <v>0.90510000000000002</v>
          </cell>
          <cell r="G3908">
            <v>257226</v>
          </cell>
        </row>
        <row r="3909">
          <cell r="A3909">
            <v>257227</v>
          </cell>
          <cell r="B3909" t="str">
            <v>ENCL,12"x12" PullBox,Hoffman#ASG12X12X4</v>
          </cell>
          <cell r="C3909" t="str">
            <v>EA</v>
          </cell>
          <cell r="D3909" t="str">
            <v>RM100</v>
          </cell>
          <cell r="E3909">
            <v>22.42</v>
          </cell>
          <cell r="G3909">
            <v>257227</v>
          </cell>
        </row>
        <row r="3910">
          <cell r="A3910">
            <v>257230</v>
          </cell>
          <cell r="B3910" t="str">
            <v>HMI,Overlay,7.5",SchneiderElectric*****</v>
          </cell>
          <cell r="C3910" t="str">
            <v>EA</v>
          </cell>
          <cell r="D3910" t="str">
            <v>RM100</v>
          </cell>
          <cell r="E3910">
            <v>34</v>
          </cell>
          <cell r="G3910">
            <v>257230</v>
          </cell>
        </row>
        <row r="3911">
          <cell r="A3911">
            <v>257235</v>
          </cell>
          <cell r="B3911" t="str">
            <v>HMI,Cover Plate,Hoffman Box</v>
          </cell>
          <cell r="C3911" t="str">
            <v>EA</v>
          </cell>
          <cell r="D3911" t="str">
            <v>RM100</v>
          </cell>
          <cell r="E3911">
            <v>0</v>
          </cell>
          <cell r="G3911">
            <v>257235</v>
          </cell>
        </row>
        <row r="3912">
          <cell r="A3912">
            <v>257240</v>
          </cell>
          <cell r="B3912" t="str">
            <v>VLV,3-POS,5-PORT,CNTR PRESS,SMC NVFS</v>
          </cell>
          <cell r="C3912" t="str">
            <v>EA</v>
          </cell>
          <cell r="D3912" t="str">
            <v>RM100</v>
          </cell>
          <cell r="E3912">
            <v>120.58</v>
          </cell>
          <cell r="G3912">
            <v>257240</v>
          </cell>
        </row>
        <row r="3913">
          <cell r="A3913">
            <v>257241</v>
          </cell>
          <cell r="B3913" t="str">
            <v>BASE,NVFS-SERIES VLV,3/8"NPT PORTS</v>
          </cell>
          <cell r="C3913" t="str">
            <v>EA</v>
          </cell>
          <cell r="D3913" t="str">
            <v>RM100</v>
          </cell>
          <cell r="E3913">
            <v>19.7</v>
          </cell>
          <cell r="G3913">
            <v>257241</v>
          </cell>
        </row>
        <row r="3914">
          <cell r="A3914">
            <v>257242</v>
          </cell>
          <cell r="B3914" t="str">
            <v>VLV,2-POS,3-PORT1/4"NPT PORTS,DIR PILOT</v>
          </cell>
          <cell r="C3914" t="str">
            <v>EA</v>
          </cell>
          <cell r="D3914" t="str">
            <v>RM100</v>
          </cell>
          <cell r="E3914">
            <v>91.3</v>
          </cell>
          <cell r="G3914">
            <v>257242</v>
          </cell>
        </row>
        <row r="3915">
          <cell r="A3915">
            <v>257243</v>
          </cell>
          <cell r="B3915" t="str">
            <v>FITTING,FLOW CNTRL W/MUFFLER,3/8"NPT</v>
          </cell>
          <cell r="C3915" t="str">
            <v>EA</v>
          </cell>
          <cell r="D3915" t="str">
            <v>RM100</v>
          </cell>
          <cell r="E3915">
            <v>6.12</v>
          </cell>
          <cell r="G3915">
            <v>257243</v>
          </cell>
        </row>
        <row r="3916">
          <cell r="A3916">
            <v>257244</v>
          </cell>
          <cell r="B3916" t="str">
            <v>FITTING,"Y"UNION,5/32"TUBING</v>
          </cell>
          <cell r="C3916" t="str">
            <v>EA</v>
          </cell>
          <cell r="D3916" t="str">
            <v>RM100</v>
          </cell>
          <cell r="E3916">
            <v>2.42</v>
          </cell>
          <cell r="G3916">
            <v>257244</v>
          </cell>
        </row>
        <row r="3917">
          <cell r="A3917">
            <v>257245</v>
          </cell>
          <cell r="B3917" t="str">
            <v>VLV,METERING w/SILENCER,1/4"NPT</v>
          </cell>
          <cell r="C3917" t="str">
            <v>EA</v>
          </cell>
          <cell r="D3917" t="str">
            <v>RM100</v>
          </cell>
          <cell r="E3917">
            <v>4.82</v>
          </cell>
          <cell r="G3917">
            <v>257245</v>
          </cell>
        </row>
        <row r="3918">
          <cell r="A3918">
            <v>257246</v>
          </cell>
          <cell r="B3918" t="str">
            <v>FITTING,BLKHD,5/32"TUBE-1/4"NPT FEMALE</v>
          </cell>
          <cell r="C3918" t="str">
            <v>EA</v>
          </cell>
          <cell r="D3918" t="str">
            <v>RM100</v>
          </cell>
          <cell r="E3918">
            <v>3.98</v>
          </cell>
          <cell r="G3918">
            <v>257246</v>
          </cell>
        </row>
        <row r="3919">
          <cell r="A3919">
            <v>257247</v>
          </cell>
          <cell r="B3919" t="str">
            <v>PLC,CNTRL,M3,XD2624vDC,88970161</v>
          </cell>
          <cell r="C3919" t="str">
            <v>EA</v>
          </cell>
          <cell r="D3919" t="str">
            <v>RM100</v>
          </cell>
          <cell r="E3919">
            <v>260.13</v>
          </cell>
          <cell r="G3919">
            <v>257247</v>
          </cell>
        </row>
        <row r="3920">
          <cell r="A3920">
            <v>257249</v>
          </cell>
          <cell r="B3920" t="str">
            <v>FITTING,"Y"UNION,5/32"DBL FML,10-32 MALE</v>
          </cell>
          <cell r="C3920" t="str">
            <v>EA</v>
          </cell>
          <cell r="D3920" t="str">
            <v>MA100</v>
          </cell>
          <cell r="E3920">
            <v>3.69</v>
          </cell>
          <cell r="G3920">
            <v>257249</v>
          </cell>
        </row>
        <row r="3921">
          <cell r="A3921">
            <v>257251</v>
          </cell>
          <cell r="B3921" t="str">
            <v>CAT5 COUPLER,TYCO 2111121-1</v>
          </cell>
          <cell r="C3921" t="str">
            <v>EA</v>
          </cell>
          <cell r="D3921" t="str">
            <v>RM100</v>
          </cell>
          <cell r="E3921">
            <v>6.09</v>
          </cell>
          <cell r="G3921">
            <v>257251</v>
          </cell>
        </row>
        <row r="3922">
          <cell r="A3922">
            <v>257252</v>
          </cell>
          <cell r="B3922" t="str">
            <v>MTG BRKT &amp; NUT FOR AR25-No2-Z REGULATOR</v>
          </cell>
          <cell r="C3922" t="str">
            <v>EA</v>
          </cell>
          <cell r="D3922" t="str">
            <v>RM100</v>
          </cell>
          <cell r="E3922">
            <v>2.7</v>
          </cell>
          <cell r="G3922">
            <v>257252</v>
          </cell>
        </row>
        <row r="3923">
          <cell r="A3923">
            <v>257259</v>
          </cell>
          <cell r="B3923" t="str">
            <v>Resistor,50ohm,10w for tape switch</v>
          </cell>
          <cell r="C3923" t="str">
            <v>EA</v>
          </cell>
          <cell r="D3923" t="str">
            <v>RM100</v>
          </cell>
          <cell r="E3923">
            <v>2.06</v>
          </cell>
          <cell r="G3923">
            <v>257259</v>
          </cell>
        </row>
        <row r="3924">
          <cell r="A3924">
            <v>257260</v>
          </cell>
          <cell r="B3924" t="str">
            <v>SWI,KEYED LEFT SCHNEIDER XB4BG41</v>
          </cell>
          <cell r="C3924" t="str">
            <v>EA</v>
          </cell>
          <cell r="D3924" t="str">
            <v>RM100</v>
          </cell>
          <cell r="E3924">
            <v>69.41</v>
          </cell>
          <cell r="G3924">
            <v>257260</v>
          </cell>
        </row>
        <row r="3925">
          <cell r="A3925">
            <v>257261</v>
          </cell>
          <cell r="B3925" t="str">
            <v>CONN, BNC to SMB</v>
          </cell>
          <cell r="C3925" t="str">
            <v>EA</v>
          </cell>
          <cell r="D3925" t="str">
            <v>RM100</v>
          </cell>
          <cell r="E3925">
            <v>13.92</v>
          </cell>
          <cell r="G3925">
            <v>257261</v>
          </cell>
        </row>
        <row r="3926">
          <cell r="A3926">
            <v>257268</v>
          </cell>
          <cell r="B3926" t="str">
            <v>FEMALECANCONN90,SCHNEIDER#TSXCANKCDF90T</v>
          </cell>
          <cell r="C3926" t="str">
            <v>EA</v>
          </cell>
          <cell r="D3926" t="str">
            <v>RM100</v>
          </cell>
          <cell r="E3926">
            <v>33.1</v>
          </cell>
          <cell r="G3926">
            <v>257268</v>
          </cell>
        </row>
        <row r="3927">
          <cell r="A3927">
            <v>257272</v>
          </cell>
          <cell r="B3927" t="str">
            <v>CANopenCABLE,SCHNEIDER#TSXCANCB50</v>
          </cell>
          <cell r="C3927" t="str">
            <v>EA</v>
          </cell>
          <cell r="D3927" t="str">
            <v>RM100</v>
          </cell>
          <cell r="E3927">
            <v>63.85</v>
          </cell>
          <cell r="G3927">
            <v>257272</v>
          </cell>
        </row>
        <row r="3928">
          <cell r="A3928">
            <v>257274</v>
          </cell>
          <cell r="B3928" t="str">
            <v>PWR SUP,5V 5DC,2A w/2.5mm plug</v>
          </cell>
          <cell r="C3928" t="str">
            <v>EA</v>
          </cell>
          <cell r="D3928" t="str">
            <v>RM100</v>
          </cell>
          <cell r="E3928">
            <v>5</v>
          </cell>
          <cell r="G3928">
            <v>257274</v>
          </cell>
        </row>
        <row r="3929">
          <cell r="A3929">
            <v>257276</v>
          </cell>
          <cell r="B3929" t="str">
            <v>CBL CAT-5E,BLUE,25FT AT1525EV-BU</v>
          </cell>
          <cell r="C3929" t="str">
            <v>EA</v>
          </cell>
          <cell r="D3929" t="str">
            <v>RM100</v>
          </cell>
          <cell r="E3929">
            <v>6.2</v>
          </cell>
          <cell r="G3929">
            <v>257276</v>
          </cell>
        </row>
        <row r="3930">
          <cell r="A3930">
            <v>257277</v>
          </cell>
          <cell r="B3930" t="str">
            <v>CBL CAT-5E,BLUE,50FT AT1550EV-BU</v>
          </cell>
          <cell r="C3930" t="str">
            <v>EA</v>
          </cell>
          <cell r="D3930" t="str">
            <v>RM100</v>
          </cell>
          <cell r="E3930">
            <v>15.86</v>
          </cell>
          <cell r="G3930">
            <v>257277</v>
          </cell>
        </row>
        <row r="3931">
          <cell r="A3931">
            <v>257278</v>
          </cell>
          <cell r="B3931" t="str">
            <v>CBL CAT-5E,BLUE,100FT AT15100EV-BU</v>
          </cell>
          <cell r="C3931" t="str">
            <v>EA</v>
          </cell>
          <cell r="D3931" t="str">
            <v>RM100</v>
          </cell>
          <cell r="E3931">
            <v>39.24</v>
          </cell>
          <cell r="G3931">
            <v>257278</v>
          </cell>
        </row>
        <row r="3932">
          <cell r="A3932">
            <v>257285</v>
          </cell>
          <cell r="B3932" t="str">
            <v>FITTING,STRAIGHT,MALE,3/8"TUBE,3/8"NPT</v>
          </cell>
          <cell r="C3932" t="str">
            <v>EA</v>
          </cell>
          <cell r="D3932" t="str">
            <v>MA100</v>
          </cell>
          <cell r="E3932">
            <v>1.85</v>
          </cell>
          <cell r="G3932">
            <v>257285</v>
          </cell>
        </row>
        <row r="3933">
          <cell r="A3933">
            <v>257286</v>
          </cell>
          <cell r="B3933" t="str">
            <v>VALVE,SOFT START-UP SMC# AV3000-03-5DZ</v>
          </cell>
          <cell r="C3933" t="str">
            <v>EA</v>
          </cell>
          <cell r="D3933" t="str">
            <v>RM100</v>
          </cell>
          <cell r="E3933">
            <v>143.84</v>
          </cell>
          <cell r="G3933">
            <v>257286</v>
          </cell>
        </row>
        <row r="3934">
          <cell r="A3934">
            <v>257287</v>
          </cell>
          <cell r="B3934" t="str">
            <v>VLV,CHECK INLINE,3/8" TUBE SMC#AKH11-00</v>
          </cell>
          <cell r="C3934" t="str">
            <v>EA</v>
          </cell>
          <cell r="D3934" t="str">
            <v>RM100</v>
          </cell>
          <cell r="E3934">
            <v>20.05</v>
          </cell>
          <cell r="G3934">
            <v>257287</v>
          </cell>
        </row>
        <row r="3935">
          <cell r="A3935">
            <v>257288</v>
          </cell>
          <cell r="B3935" t="str">
            <v>REGULATOR,PRESSURE,3/8"NPT PORTS</v>
          </cell>
          <cell r="C3935" t="str">
            <v>EA</v>
          </cell>
          <cell r="D3935" t="str">
            <v>RM100</v>
          </cell>
          <cell r="E3935">
            <v>15.306699999999999</v>
          </cell>
          <cell r="G3935">
            <v>257288</v>
          </cell>
        </row>
        <row r="3936">
          <cell r="A3936">
            <v>257289</v>
          </cell>
          <cell r="B3936" t="str">
            <v>BASE,NVFS VLV,3/8"NPT PORTS,2-STATION</v>
          </cell>
          <cell r="C3936" t="str">
            <v>EA</v>
          </cell>
          <cell r="D3936" t="str">
            <v>RM100</v>
          </cell>
          <cell r="E3936">
            <v>84.89</v>
          </cell>
          <cell r="G3936">
            <v>257289</v>
          </cell>
        </row>
        <row r="3937">
          <cell r="A3937">
            <v>257291</v>
          </cell>
          <cell r="B3937" t="str">
            <v>PLUG,1/2" NPT,SMC# NPTF1/2-PTC16</v>
          </cell>
          <cell r="C3937" t="str">
            <v>EA</v>
          </cell>
          <cell r="D3937" t="str">
            <v>RM100</v>
          </cell>
          <cell r="E3937">
            <v>1.92</v>
          </cell>
          <cell r="G3937">
            <v>257291</v>
          </cell>
        </row>
        <row r="3938">
          <cell r="A3938">
            <v>257292</v>
          </cell>
          <cell r="B3938" t="str">
            <v>PLUG,CONDUIT,SMC# AXT336-9</v>
          </cell>
          <cell r="C3938" t="str">
            <v>EA</v>
          </cell>
          <cell r="D3938" t="str">
            <v>RM100</v>
          </cell>
          <cell r="E3938">
            <v>1.03</v>
          </cell>
          <cell r="G3938">
            <v>257292</v>
          </cell>
        </row>
        <row r="3939">
          <cell r="A3939">
            <v>257294</v>
          </cell>
          <cell r="B3939" t="str">
            <v>CLAMP,CONNECTOR,SMC# Y300T-A</v>
          </cell>
          <cell r="C3939" t="str">
            <v>EA</v>
          </cell>
          <cell r="D3939" t="str">
            <v>RM100</v>
          </cell>
          <cell r="E3939">
            <v>4.2699999999999996</v>
          </cell>
          <cell r="G3939">
            <v>257294</v>
          </cell>
        </row>
        <row r="3940">
          <cell r="A3940">
            <v>260222</v>
          </cell>
          <cell r="B3940" t="str">
            <v>LED,ASSY GRN 14V PNL MT*</v>
          </cell>
          <cell r="C3940" t="str">
            <v>EA</v>
          </cell>
          <cell r="D3940" t="str">
            <v>RM100</v>
          </cell>
          <cell r="E3940">
            <v>6.9</v>
          </cell>
          <cell r="G3940">
            <v>260222</v>
          </cell>
        </row>
        <row r="3941">
          <cell r="A3941">
            <v>260225</v>
          </cell>
          <cell r="B3941" t="str">
            <v>LED,ASSY RED 10V PNL MT*</v>
          </cell>
          <cell r="C3941" t="str">
            <v>EA</v>
          </cell>
          <cell r="D3941" t="str">
            <v>RM100</v>
          </cell>
          <cell r="E3941">
            <v>9.5299999999999994</v>
          </cell>
          <cell r="G3941">
            <v>260225</v>
          </cell>
        </row>
        <row r="3942">
          <cell r="A3942">
            <v>260227</v>
          </cell>
          <cell r="B3942" t="str">
            <v>LED,INDICATOR LIGHT, RED,24VAC/VDC</v>
          </cell>
          <cell r="C3942" t="str">
            <v>EA</v>
          </cell>
          <cell r="D3942" t="str">
            <v>RM100</v>
          </cell>
          <cell r="E3942">
            <v>15.29</v>
          </cell>
          <cell r="G3942">
            <v>260227</v>
          </cell>
        </row>
        <row r="3943">
          <cell r="A3943">
            <v>260366</v>
          </cell>
          <cell r="B3943" t="str">
            <v>FILTER,GIGAFOIL,ETHERNET,10/100/1000</v>
          </cell>
          <cell r="C3943" t="str">
            <v>EA</v>
          </cell>
          <cell r="D3943" t="str">
            <v>FG440</v>
          </cell>
          <cell r="E3943">
            <v>750</v>
          </cell>
          <cell r="G3943">
            <v>260366</v>
          </cell>
        </row>
        <row r="3944">
          <cell r="A3944">
            <v>260368</v>
          </cell>
          <cell r="B3944" t="str">
            <v>FILTER,GIGAFOILv3 10/100/1000 POE</v>
          </cell>
          <cell r="C3944" t="str">
            <v>EA</v>
          </cell>
          <cell r="D3944" t="str">
            <v>RM100</v>
          </cell>
          <cell r="E3944">
            <v>950</v>
          </cell>
          <cell r="G3944">
            <v>260368</v>
          </cell>
        </row>
        <row r="3945">
          <cell r="A3945">
            <v>260369</v>
          </cell>
          <cell r="B3945" t="str">
            <v>FILTER,GIGAFOILv3 10/100/1000,PLENUM</v>
          </cell>
          <cell r="C3945" t="str">
            <v>EA</v>
          </cell>
          <cell r="D3945" t="str">
            <v>FG440</v>
          </cell>
          <cell r="E3945">
            <v>775</v>
          </cell>
          <cell r="G3945">
            <v>260369</v>
          </cell>
        </row>
        <row r="3946">
          <cell r="A3946">
            <v>260370</v>
          </cell>
          <cell r="B3946" t="str">
            <v>POWER SUPPLY FOR 260369 5AMP *</v>
          </cell>
          <cell r="C3946" t="str">
            <v>EA</v>
          </cell>
          <cell r="D3946" t="str">
            <v>FG440</v>
          </cell>
          <cell r="E3946">
            <v>50</v>
          </cell>
          <cell r="G3946">
            <v>260370</v>
          </cell>
        </row>
        <row r="3947">
          <cell r="A3947">
            <v>260464</v>
          </cell>
          <cell r="B3947" t="str">
            <v>CAP,MALE BNC W/CHAIN MIL 39F1AMP3 31-17</v>
          </cell>
          <cell r="C3947" t="str">
            <v>EA</v>
          </cell>
          <cell r="D3947" t="str">
            <v>RM100</v>
          </cell>
          <cell r="E3947">
            <v>5.05</v>
          </cell>
          <cell r="G3947">
            <v>260464</v>
          </cell>
        </row>
        <row r="3948">
          <cell r="A3948">
            <v>260465</v>
          </cell>
          <cell r="B3948" t="str">
            <v>CAP,MALE TYPE N W/CHAIN M39012/25-0011*</v>
          </cell>
          <cell r="C3948" t="str">
            <v>EA</v>
          </cell>
          <cell r="D3948" t="str">
            <v>RM100</v>
          </cell>
          <cell r="E3948">
            <v>1.55</v>
          </cell>
          <cell r="G3948">
            <v>260465</v>
          </cell>
        </row>
        <row r="3949">
          <cell r="A3949">
            <v>260469</v>
          </cell>
          <cell r="B3949" t="str">
            <v>CAP,MALE TYPE SMA W/CHAIN 90F9585*</v>
          </cell>
          <cell r="C3949" t="str">
            <v>EA</v>
          </cell>
          <cell r="D3949" t="str">
            <v>RM100</v>
          </cell>
          <cell r="E3949">
            <v>4.18</v>
          </cell>
          <cell r="G3949">
            <v>260469</v>
          </cell>
        </row>
        <row r="3950">
          <cell r="A3950">
            <v>260531</v>
          </cell>
          <cell r="B3950" t="str">
            <v>WIRE,22 AWG,BLACK,STRANDED</v>
          </cell>
          <cell r="C3950" t="str">
            <v>FT</v>
          </cell>
          <cell r="D3950" t="str">
            <v>RM100</v>
          </cell>
          <cell r="E3950">
            <v>0.1074</v>
          </cell>
          <cell r="G3950">
            <v>260531</v>
          </cell>
        </row>
        <row r="3951">
          <cell r="A3951">
            <v>260532</v>
          </cell>
          <cell r="B3951" t="str">
            <v>WIRE,22 AWG,WHITE,STRANDED</v>
          </cell>
          <cell r="C3951" t="str">
            <v>FT</v>
          </cell>
          <cell r="D3951" t="str">
            <v>RM100</v>
          </cell>
          <cell r="E3951">
            <v>0.2903</v>
          </cell>
          <cell r="G3951">
            <v>260532</v>
          </cell>
        </row>
        <row r="3952">
          <cell r="A3952">
            <v>260533</v>
          </cell>
          <cell r="B3952" t="str">
            <v>WIRE,22 AWG,RED,STRANDED</v>
          </cell>
          <cell r="C3952" t="str">
            <v>FT</v>
          </cell>
          <cell r="D3952" t="str">
            <v>RM100</v>
          </cell>
          <cell r="E3952">
            <v>0.1074</v>
          </cell>
          <cell r="G3952">
            <v>260533</v>
          </cell>
        </row>
        <row r="3953">
          <cell r="A3953">
            <v>260534</v>
          </cell>
          <cell r="B3953" t="str">
            <v>WIRE,22 AWG,YELLOW,STRANDED</v>
          </cell>
          <cell r="C3953" t="str">
            <v>FT</v>
          </cell>
          <cell r="D3953" t="str">
            <v>RM100</v>
          </cell>
          <cell r="E3953">
            <v>0.32279999999999998</v>
          </cell>
          <cell r="G3953">
            <v>260534</v>
          </cell>
        </row>
        <row r="3954">
          <cell r="A3954">
            <v>260535</v>
          </cell>
          <cell r="B3954" t="str">
            <v>WIRE,22 AWG,GREEN,STRANDED PVC 600V</v>
          </cell>
          <cell r="C3954" t="str">
            <v>FT</v>
          </cell>
          <cell r="D3954" t="str">
            <v>RM100</v>
          </cell>
          <cell r="E3954">
            <v>0.1074</v>
          </cell>
          <cell r="G3954">
            <v>260535</v>
          </cell>
        </row>
        <row r="3955">
          <cell r="A3955">
            <v>260536</v>
          </cell>
          <cell r="B3955" t="str">
            <v>WIRE,22 AWG,STRANDED,BLUE</v>
          </cell>
          <cell r="C3955" t="str">
            <v>FT</v>
          </cell>
          <cell r="D3955" t="str">
            <v>RM100</v>
          </cell>
          <cell r="E3955">
            <v>0.29549999999999998</v>
          </cell>
          <cell r="G3955">
            <v>260536</v>
          </cell>
        </row>
        <row r="3956">
          <cell r="A3956">
            <v>260537</v>
          </cell>
          <cell r="B3956" t="str">
            <v>WIRE,22 AWG,STRANDED,VIOLET</v>
          </cell>
          <cell r="C3956" t="str">
            <v>FT</v>
          </cell>
          <cell r="D3956" t="str">
            <v>RM100</v>
          </cell>
          <cell r="E3956">
            <v>0.1074</v>
          </cell>
          <cell r="G3956">
            <v>260537</v>
          </cell>
        </row>
        <row r="3957">
          <cell r="A3957">
            <v>260538</v>
          </cell>
          <cell r="B3957" t="str">
            <v>CBL,4 COND #22AWG SHDL 1000 FT ROLL</v>
          </cell>
          <cell r="C3957" t="str">
            <v>FT</v>
          </cell>
          <cell r="D3957" t="str">
            <v>RM100</v>
          </cell>
          <cell r="E3957">
            <v>0.55554999999999999</v>
          </cell>
          <cell r="G3957">
            <v>260538</v>
          </cell>
        </row>
        <row r="3958">
          <cell r="A3958">
            <v>260540</v>
          </cell>
          <cell r="B3958" t="str">
            <v>WIRE,22 AWG,rBRN,STR(DO NOT BUY)</v>
          </cell>
          <cell r="C3958" t="str">
            <v>EA</v>
          </cell>
          <cell r="D3958" t="str">
            <v>RM100</v>
          </cell>
          <cell r="E3958">
            <v>28.24</v>
          </cell>
          <cell r="G3958">
            <v>260540</v>
          </cell>
        </row>
        <row r="3959">
          <cell r="A3959">
            <v>260603</v>
          </cell>
          <cell r="B3959" t="str">
            <v>SCR,#2-56x1/4,PN,PH,STL,ZN</v>
          </cell>
          <cell r="C3959" t="str">
            <v>EA</v>
          </cell>
          <cell r="D3959" t="str">
            <v>RM100</v>
          </cell>
          <cell r="E3959">
            <v>1.6799999999999999E-2</v>
          </cell>
          <cell r="G3959">
            <v>260603</v>
          </cell>
        </row>
        <row r="3960">
          <cell r="A3960">
            <v>261512</v>
          </cell>
          <cell r="B3960" t="str">
            <v>KIT,MODEM FO ASYNCH. RS-232 19.2KBPS*</v>
          </cell>
          <cell r="C3960" t="str">
            <v>EA</v>
          </cell>
          <cell r="D3960" t="str">
            <v>MA100</v>
          </cell>
          <cell r="E3960">
            <v>0</v>
          </cell>
          <cell r="G3960">
            <v>261512</v>
          </cell>
        </row>
        <row r="3961">
          <cell r="A3961">
            <v>275561</v>
          </cell>
          <cell r="B3961" t="str">
            <v>FXTR,1x4 NTS4x2 LED SURFACE MNT 50/60Hz*</v>
          </cell>
          <cell r="C3961" t="str">
            <v>EA</v>
          </cell>
          <cell r="D3961" t="str">
            <v>FG423</v>
          </cell>
          <cell r="E3961">
            <v>390</v>
          </cell>
          <cell r="G3961">
            <v>275561</v>
          </cell>
        </row>
        <row r="3962">
          <cell r="A3962">
            <v>275562</v>
          </cell>
          <cell r="B3962" t="str">
            <v>PWR SUP, 24DC, 18.8A, 450W SE-450-24</v>
          </cell>
          <cell r="C3962" t="str">
            <v>EA</v>
          </cell>
          <cell r="D3962" t="str">
            <v>FG423</v>
          </cell>
          <cell r="E3962">
            <v>58.71</v>
          </cell>
          <cell r="G3962">
            <v>275562</v>
          </cell>
        </row>
        <row r="3963">
          <cell r="A3963">
            <v>275563</v>
          </cell>
          <cell r="B3963" t="str">
            <v>FXTR,LED TRACK 3-LIGHT 39.37" WHITE</v>
          </cell>
          <cell r="C3963" t="str">
            <v>EA</v>
          </cell>
          <cell r="D3963" t="str">
            <v>FG423</v>
          </cell>
          <cell r="E3963">
            <v>421.22</v>
          </cell>
          <cell r="G3963">
            <v>275563</v>
          </cell>
        </row>
        <row r="3964">
          <cell r="A3964">
            <v>275570</v>
          </cell>
          <cell r="B3964" t="str">
            <v>PWR SUPPLY, NORTECH# NTPSB5 (5 AMP)</v>
          </cell>
          <cell r="C3964" t="str">
            <v>EA</v>
          </cell>
          <cell r="D3964" t="str">
            <v>MA100</v>
          </cell>
          <cell r="E3964">
            <v>245</v>
          </cell>
          <cell r="G3964">
            <v>275570</v>
          </cell>
        </row>
        <row r="3965">
          <cell r="A3965">
            <v>275571</v>
          </cell>
          <cell r="B3965" t="str">
            <v>PWR SUPPLY, NORTECH# NTPSB10 (10 AMP)</v>
          </cell>
          <cell r="C3965" t="str">
            <v>EA</v>
          </cell>
          <cell r="D3965" t="str">
            <v>MA100</v>
          </cell>
          <cell r="E3965">
            <v>290</v>
          </cell>
          <cell r="G3965">
            <v>275571</v>
          </cell>
        </row>
        <row r="3966">
          <cell r="A3966">
            <v>275572</v>
          </cell>
          <cell r="B3966" t="str">
            <v>PWR SUPPLY, NORTECH# NTPSB20 (20 AMP)</v>
          </cell>
          <cell r="C3966" t="str">
            <v>EA</v>
          </cell>
          <cell r="D3966" t="str">
            <v>MA100</v>
          </cell>
          <cell r="E3966">
            <v>358</v>
          </cell>
          <cell r="G3966">
            <v>275572</v>
          </cell>
        </row>
        <row r="3967">
          <cell r="A3967">
            <v>300000</v>
          </cell>
          <cell r="B3967" t="str">
            <v xml:space="preserve">NUT, HEX, ACORN, SELF-LOCKING, 3/8-16, </v>
          </cell>
          <cell r="C3967" t="str">
            <v>EA</v>
          </cell>
          <cell r="D3967" t="str">
            <v>RM100</v>
          </cell>
          <cell r="E3967">
            <v>1.992</v>
          </cell>
          <cell r="G3967">
            <v>300000</v>
          </cell>
        </row>
        <row r="3968">
          <cell r="A3968">
            <v>300003</v>
          </cell>
          <cell r="B3968" t="str">
            <v>SCR,5/16-18x1/2,PN,PH,18-8,SS</v>
          </cell>
          <cell r="C3968" t="str">
            <v>EA</v>
          </cell>
          <cell r="D3968" t="str">
            <v>RM100</v>
          </cell>
          <cell r="E3968">
            <v>0</v>
          </cell>
          <cell r="G3968">
            <v>300003</v>
          </cell>
        </row>
        <row r="3969">
          <cell r="A3969">
            <v>300009</v>
          </cell>
          <cell r="B3969" t="str">
            <v>SCR,#8-32X1/4,PN,PH,STL,ZN</v>
          </cell>
          <cell r="C3969" t="str">
            <v>EA</v>
          </cell>
          <cell r="D3969" t="str">
            <v>RM100</v>
          </cell>
          <cell r="E3969">
            <v>1.3599999999999999E-2</v>
          </cell>
          <cell r="G3969">
            <v>300009</v>
          </cell>
        </row>
        <row r="3970">
          <cell r="A3970">
            <v>300014</v>
          </cell>
          <cell r="B3970" t="str">
            <v>SCR,3/8-16x2,BT,SOC,STL,ZN,GR-5</v>
          </cell>
          <cell r="C3970" t="str">
            <v>EA</v>
          </cell>
          <cell r="D3970" t="str">
            <v>RM100</v>
          </cell>
          <cell r="E3970">
            <v>0.4022</v>
          </cell>
          <cell r="G3970">
            <v>300014</v>
          </cell>
        </row>
        <row r="3971">
          <cell r="A3971">
            <v>300025</v>
          </cell>
          <cell r="B3971" t="str">
            <v>KIT,HDRW&amp;PNUE SERVICE for DOORS</v>
          </cell>
          <cell r="C3971" t="str">
            <v>EA</v>
          </cell>
          <cell r="D3971" t="str">
            <v>MA100</v>
          </cell>
          <cell r="E3971">
            <v>309.78500000000003</v>
          </cell>
          <cell r="G3971">
            <v>300025</v>
          </cell>
        </row>
        <row r="3972">
          <cell r="A3972">
            <v>300026</v>
          </cell>
          <cell r="B3972" t="str">
            <v>PIN,1/8X3/4 ROLL</v>
          </cell>
          <cell r="C3972" t="str">
            <v>EA</v>
          </cell>
          <cell r="D3972" t="str">
            <v>RM100</v>
          </cell>
          <cell r="E3972">
            <v>3.7960000000000001E-2</v>
          </cell>
          <cell r="G3972">
            <v>300026</v>
          </cell>
        </row>
        <row r="3973">
          <cell r="A3973">
            <v>300037</v>
          </cell>
          <cell r="B3973" t="str">
            <v>SCR,M6-1.0X35MM,SH,CS,STL,THRD LOK</v>
          </cell>
          <cell r="C3973" t="str">
            <v>EA</v>
          </cell>
          <cell r="D3973" t="str">
            <v>RM100</v>
          </cell>
          <cell r="E3973">
            <v>0.54879999999999995</v>
          </cell>
          <cell r="G3973">
            <v>300037</v>
          </cell>
        </row>
        <row r="3974">
          <cell r="A3974">
            <v>300038</v>
          </cell>
          <cell r="B3974" t="str">
            <v>SCR,3/8-16x1/2,SET, HEX SCKT*</v>
          </cell>
          <cell r="C3974" t="str">
            <v>EA</v>
          </cell>
          <cell r="D3974" t="str">
            <v>RM100</v>
          </cell>
          <cell r="E3974">
            <v>4.5999999999999999E-2</v>
          </cell>
          <cell r="G3974">
            <v>300038</v>
          </cell>
        </row>
        <row r="3975">
          <cell r="A3975">
            <v>300039</v>
          </cell>
          <cell r="B3975" t="str">
            <v>SCR,5/16-18x1-1/4"SH,CS,18-8 SS</v>
          </cell>
          <cell r="C3975" t="str">
            <v>EA</v>
          </cell>
          <cell r="D3975" t="str">
            <v>RM100</v>
          </cell>
          <cell r="E3975">
            <v>0.47599999999999998</v>
          </cell>
          <cell r="G3975">
            <v>300039</v>
          </cell>
        </row>
        <row r="3976">
          <cell r="A3976">
            <v>300040</v>
          </cell>
          <cell r="B3976" t="str">
            <v>NUT, BAR w/PRESS-IN #8-32 NUT SS</v>
          </cell>
          <cell r="C3976" t="str">
            <v>EA</v>
          </cell>
          <cell r="D3976" t="str">
            <v>RM100</v>
          </cell>
          <cell r="E3976">
            <v>4</v>
          </cell>
          <cell r="G3976">
            <v>300040</v>
          </cell>
        </row>
        <row r="3977">
          <cell r="A3977">
            <v>300043</v>
          </cell>
          <cell r="B3977" t="str">
            <v>SCR,5/16-18X5/8"SH,CS,SS</v>
          </cell>
          <cell r="C3977" t="str">
            <v>EA</v>
          </cell>
          <cell r="D3977" t="str">
            <v>RM100</v>
          </cell>
          <cell r="E3977">
            <v>0.19500000000000001</v>
          </cell>
          <cell r="G3977">
            <v>300043</v>
          </cell>
        </row>
        <row r="3978">
          <cell r="A3978">
            <v>300044</v>
          </cell>
          <cell r="B3978" t="str">
            <v>SCR,5/16-18X7/8"SH,BHCS,18-8SS</v>
          </cell>
          <cell r="C3978" t="str">
            <v>EA</v>
          </cell>
          <cell r="D3978" t="str">
            <v>RM100</v>
          </cell>
          <cell r="E3978">
            <v>0.30199999999999999</v>
          </cell>
          <cell r="G3978">
            <v>300044</v>
          </cell>
        </row>
        <row r="3979">
          <cell r="A3979">
            <v>300045</v>
          </cell>
          <cell r="B3979" t="str">
            <v>SCR,M6-1.0x25,SH,CS,STL w/NYLON 25/pk</v>
          </cell>
          <cell r="C3979" t="str">
            <v>EA</v>
          </cell>
          <cell r="D3979" t="str">
            <v>RM100</v>
          </cell>
          <cell r="E3979">
            <v>0.5</v>
          </cell>
          <cell r="G3979">
            <v>300045</v>
          </cell>
        </row>
        <row r="3980">
          <cell r="A3980">
            <v>300046</v>
          </cell>
          <cell r="B3980" t="str">
            <v>SCR,#14x2"PH,STL,ZN,TYPE "A" SH MTL</v>
          </cell>
          <cell r="C3980" t="str">
            <v>EA</v>
          </cell>
          <cell r="D3980" t="str">
            <v>RM100</v>
          </cell>
          <cell r="E3980">
            <v>0.14330000000000001</v>
          </cell>
          <cell r="G3980">
            <v>300046</v>
          </cell>
        </row>
        <row r="3981">
          <cell r="A3981">
            <v>300047</v>
          </cell>
          <cell r="B3981" t="str">
            <v>SCR,5/16-18X1"SH,BHCS,18-8SS</v>
          </cell>
          <cell r="C3981" t="str">
            <v>EA</v>
          </cell>
          <cell r="D3981" t="str">
            <v>RM100</v>
          </cell>
          <cell r="E3981">
            <v>0.19</v>
          </cell>
          <cell r="G3981">
            <v>300047</v>
          </cell>
        </row>
        <row r="3982">
          <cell r="A3982">
            <v>300048</v>
          </cell>
          <cell r="B3982" t="str">
            <v>SCR,1/4-20X1" SH,BHCS,STL. ZN PLT</v>
          </cell>
          <cell r="C3982" t="str">
            <v>EA</v>
          </cell>
          <cell r="D3982" t="str">
            <v>RM100</v>
          </cell>
          <cell r="E3982">
            <v>0.17030000000000001</v>
          </cell>
          <cell r="G3982">
            <v>300048</v>
          </cell>
        </row>
        <row r="3983">
          <cell r="A3983">
            <v>300049</v>
          </cell>
          <cell r="B3983" t="str">
            <v>SCR,1/4-20X7/8" SH,STD CS,STL. ZN PLT</v>
          </cell>
          <cell r="C3983" t="str">
            <v>EA</v>
          </cell>
          <cell r="D3983" t="str">
            <v>RM100</v>
          </cell>
          <cell r="E3983">
            <v>0.21</v>
          </cell>
          <cell r="G3983">
            <v>300049</v>
          </cell>
        </row>
        <row r="3984">
          <cell r="A3984">
            <v>300050</v>
          </cell>
          <cell r="B3984" t="str">
            <v>ANCH, 5/16-18-1x5/8 OD 15.3/LB</v>
          </cell>
          <cell r="C3984" t="str">
            <v>EA</v>
          </cell>
          <cell r="D3984" t="str">
            <v>RM100</v>
          </cell>
          <cell r="E3984">
            <v>0.95199999999999996</v>
          </cell>
          <cell r="G3984">
            <v>300050</v>
          </cell>
        </row>
        <row r="3985">
          <cell r="A3985">
            <v>300052</v>
          </cell>
          <cell r="B3985" t="str">
            <v>ANCH,HILTI HIS INSERT 5/8X6-5/8 #258022*</v>
          </cell>
          <cell r="C3985" t="str">
            <v>EA</v>
          </cell>
          <cell r="D3985" t="str">
            <v>RM100</v>
          </cell>
          <cell r="E3985">
            <v>12.670999999999999</v>
          </cell>
          <cell r="G3985">
            <v>300052</v>
          </cell>
        </row>
        <row r="3986">
          <cell r="A3986">
            <v>300053</v>
          </cell>
          <cell r="B3986" t="str">
            <v>ANCH,NYLON TAPIT FH,1/4X1-1/2"</v>
          </cell>
          <cell r="C3986" t="str">
            <v>EA</v>
          </cell>
          <cell r="D3986" t="str">
            <v>RM100</v>
          </cell>
          <cell r="E3986">
            <v>0.08</v>
          </cell>
          <cell r="G3986">
            <v>300053</v>
          </cell>
        </row>
        <row r="3987">
          <cell r="A3987">
            <v>300057</v>
          </cell>
          <cell r="B3987" t="str">
            <v>SCR,1/4-20x3/8,SET, SS.HEX SCKT, CUP PT</v>
          </cell>
          <cell r="C3987" t="str">
            <v>EA</v>
          </cell>
          <cell r="D3987" t="str">
            <v>RM100</v>
          </cell>
          <cell r="E3987">
            <v>0.122</v>
          </cell>
          <cell r="G3987">
            <v>300057</v>
          </cell>
        </row>
        <row r="3988">
          <cell r="A3988">
            <v>300060</v>
          </cell>
          <cell r="B3988" t="str">
            <v>ANCH,HILTI KWIK-BOLT 3/8X7*</v>
          </cell>
          <cell r="C3988" t="str">
            <v>EA</v>
          </cell>
          <cell r="D3988" t="str">
            <v>RM100</v>
          </cell>
          <cell r="E3988">
            <v>0.71040000000000003</v>
          </cell>
          <cell r="G3988">
            <v>300060</v>
          </cell>
        </row>
        <row r="3989">
          <cell r="A3989">
            <v>300063</v>
          </cell>
          <cell r="B3989" t="str">
            <v>ANCH,HILTI KWIK-BOLT 3/8X5 LONG THREAD*</v>
          </cell>
          <cell r="C3989" t="str">
            <v>EA</v>
          </cell>
          <cell r="D3989" t="str">
            <v>RM100</v>
          </cell>
          <cell r="E3989">
            <v>0.3306</v>
          </cell>
          <cell r="G3989">
            <v>300063</v>
          </cell>
        </row>
        <row r="3990">
          <cell r="A3990">
            <v>300064</v>
          </cell>
          <cell r="B3990" t="str">
            <v>ANCH,HILTI HIS INSERT .375X4.25 STL</v>
          </cell>
          <cell r="C3990" t="str">
            <v>EA</v>
          </cell>
          <cell r="D3990" t="str">
            <v>RM100</v>
          </cell>
          <cell r="E3990">
            <v>4.4059999999999997</v>
          </cell>
          <cell r="G3990">
            <v>300064</v>
          </cell>
        </row>
        <row r="3991">
          <cell r="A3991">
            <v>300070</v>
          </cell>
          <cell r="B3991" t="str">
            <v>SCR,#10-32x3/4 SH,SET,S/S,w/NYLON PTCH</v>
          </cell>
          <cell r="C3991" t="str">
            <v>EA</v>
          </cell>
          <cell r="D3991" t="str">
            <v>RM100</v>
          </cell>
          <cell r="E3991">
            <v>0.1244</v>
          </cell>
          <cell r="G3991">
            <v>300070</v>
          </cell>
        </row>
        <row r="3992">
          <cell r="A3992">
            <v>300071</v>
          </cell>
          <cell r="B3992" t="str">
            <v>SCR,5/16-18X1-1/4" SH,BHCS,18-8 SS</v>
          </cell>
          <cell r="C3992" t="str">
            <v>EA</v>
          </cell>
          <cell r="D3992" t="str">
            <v>RM100</v>
          </cell>
          <cell r="E3992">
            <v>0.36159999999999998</v>
          </cell>
          <cell r="G3992">
            <v>300071</v>
          </cell>
        </row>
        <row r="3993">
          <cell r="A3993">
            <v>300072</v>
          </cell>
          <cell r="B3993" t="str">
            <v>SPCR,NYLON,1/4"IDx1/2"ODx1/2" LNG</v>
          </cell>
          <cell r="C3993" t="str">
            <v>EA</v>
          </cell>
          <cell r="D3993" t="str">
            <v>RM100</v>
          </cell>
          <cell r="E3993">
            <v>9.6699999999999994E-2</v>
          </cell>
          <cell r="G3993">
            <v>300072</v>
          </cell>
        </row>
        <row r="3994">
          <cell r="A3994">
            <v>300073</v>
          </cell>
          <cell r="B3994" t="str">
            <v>SCR,5/16-18x1-3/4",SH,HX,STL,ZN</v>
          </cell>
          <cell r="C3994" t="str">
            <v>EA</v>
          </cell>
          <cell r="D3994" t="str">
            <v>RM100</v>
          </cell>
          <cell r="E3994">
            <v>0.28999999999999998</v>
          </cell>
          <cell r="G3994">
            <v>300073</v>
          </cell>
        </row>
        <row r="3995">
          <cell r="A3995">
            <v>300074</v>
          </cell>
          <cell r="B3995" t="str">
            <v>SCR,5/16-18X1-1/2"SH,BHCS,18-8 SS</v>
          </cell>
          <cell r="C3995" t="str">
            <v>EA</v>
          </cell>
          <cell r="D3995" t="str">
            <v>RM100</v>
          </cell>
          <cell r="E3995">
            <v>0.23</v>
          </cell>
          <cell r="G3995">
            <v>300074</v>
          </cell>
        </row>
        <row r="3996">
          <cell r="A3996">
            <v>300075</v>
          </cell>
          <cell r="B3996" t="str">
            <v>ANCH, GE PATIENT TABLE W/BRS COLLAR</v>
          </cell>
          <cell r="C3996" t="str">
            <v>EA</v>
          </cell>
          <cell r="D3996" t="str">
            <v>RM100</v>
          </cell>
          <cell r="E3996">
            <v>19.305019999999999</v>
          </cell>
          <cell r="G3996">
            <v>300075</v>
          </cell>
        </row>
        <row r="3997">
          <cell r="A3997">
            <v>300076</v>
          </cell>
          <cell r="B3997" t="str">
            <v>ANCH,CABLE TIEADHESIVE 23N3670</v>
          </cell>
          <cell r="C3997" t="str">
            <v>EA</v>
          </cell>
          <cell r="D3997" t="str">
            <v>MA100</v>
          </cell>
          <cell r="E3997">
            <v>0.16619999999999999</v>
          </cell>
          <cell r="G3997">
            <v>300076</v>
          </cell>
        </row>
        <row r="3998">
          <cell r="A3998">
            <v>300081</v>
          </cell>
          <cell r="B3998" t="str">
            <v>SCR,#12x2",PH,PH,SHT MTL,ZN PLT,STL</v>
          </cell>
          <cell r="C3998" t="str">
            <v>EA</v>
          </cell>
          <cell r="D3998" t="str">
            <v>RM100</v>
          </cell>
          <cell r="E3998">
            <v>0.13689999999999999</v>
          </cell>
          <cell r="G3998">
            <v>300081</v>
          </cell>
        </row>
        <row r="3999">
          <cell r="A3999">
            <v>300082</v>
          </cell>
          <cell r="B3999" t="str">
            <v>SCR,10-32X1/4,PH,PAN,SS 18-8</v>
          </cell>
          <cell r="C3999" t="str">
            <v>EA</v>
          </cell>
          <cell r="D3999" t="str">
            <v>RM100</v>
          </cell>
          <cell r="E3999">
            <v>8.8999999999999996E-2</v>
          </cell>
          <cell r="G3999">
            <v>300082</v>
          </cell>
        </row>
        <row r="4000">
          <cell r="A4000">
            <v>300083</v>
          </cell>
          <cell r="B4000" t="str">
            <v>SCR,3/8-16x1",HH,CS,GR-8,SELF-LCK</v>
          </cell>
          <cell r="C4000" t="str">
            <v>EA</v>
          </cell>
          <cell r="D4000" t="str">
            <v>RM100</v>
          </cell>
          <cell r="E4000">
            <v>0.36909999999999998</v>
          </cell>
          <cell r="G4000">
            <v>300083</v>
          </cell>
        </row>
        <row r="4001">
          <cell r="A4001">
            <v>300084</v>
          </cell>
          <cell r="B4001" t="str">
            <v>SCR,3/8-16x1-1/2",HH,CS,GR-8</v>
          </cell>
          <cell r="C4001" t="str">
            <v>EA</v>
          </cell>
          <cell r="D4001" t="str">
            <v>RM100</v>
          </cell>
          <cell r="E4001">
            <v>0.83599999999999997</v>
          </cell>
          <cell r="G4001">
            <v>300084</v>
          </cell>
        </row>
        <row r="4002">
          <cell r="A4002">
            <v>300085</v>
          </cell>
          <cell r="B4002" t="str">
            <v>SCR,5/16-18x5/8,HH,CS,STL,ZN</v>
          </cell>
          <cell r="C4002" t="str">
            <v>EA</v>
          </cell>
          <cell r="D4002" t="str">
            <v>RM100</v>
          </cell>
          <cell r="E4002">
            <v>0.127</v>
          </cell>
          <cell r="G4002">
            <v>300085</v>
          </cell>
        </row>
        <row r="4003">
          <cell r="A4003">
            <v>300086</v>
          </cell>
          <cell r="B4003" t="str">
            <v>SCR,5/16-18x3/4,HH,CS,STL,ZN</v>
          </cell>
          <cell r="C4003" t="str">
            <v>EA</v>
          </cell>
          <cell r="D4003" t="str">
            <v>RM100</v>
          </cell>
          <cell r="E4003">
            <v>0.09</v>
          </cell>
          <cell r="G4003">
            <v>300086</v>
          </cell>
        </row>
        <row r="4004">
          <cell r="A4004">
            <v>300087</v>
          </cell>
          <cell r="B4004" t="str">
            <v>SCR,#10-32x3/4,FH,PH,18-8 SS</v>
          </cell>
          <cell r="C4004" t="str">
            <v>EA</v>
          </cell>
          <cell r="D4004" t="str">
            <v>RM100</v>
          </cell>
          <cell r="E4004">
            <v>5.4699999999999999E-2</v>
          </cell>
          <cell r="G4004">
            <v>300087</v>
          </cell>
        </row>
        <row r="4005">
          <cell r="A4005">
            <v>300090</v>
          </cell>
          <cell r="B4005" t="str">
            <v>SCR,10-24X1-1/8,PN,PH,SS18-8</v>
          </cell>
          <cell r="C4005" t="str">
            <v>EA</v>
          </cell>
          <cell r="D4005" t="str">
            <v>RM100</v>
          </cell>
          <cell r="E4005">
            <v>0.1598</v>
          </cell>
          <cell r="G4005">
            <v>300090</v>
          </cell>
        </row>
        <row r="4006">
          <cell r="A4006">
            <v>300097</v>
          </cell>
          <cell r="B4006" t="str">
            <v>BOLT,1/4-20X2-1/2,HH,SS 18-8,26.5/#</v>
          </cell>
          <cell r="C4006" t="str">
            <v>EA</v>
          </cell>
          <cell r="D4006" t="str">
            <v>RM100</v>
          </cell>
          <cell r="E4006">
            <v>0.19500000000000001</v>
          </cell>
          <cell r="G4006">
            <v>300097</v>
          </cell>
        </row>
        <row r="4007">
          <cell r="A4007">
            <v>300098</v>
          </cell>
          <cell r="B4007" t="str">
            <v>LEVER, WIRE NUT,3-CONDUCTOR 28GA-12GA</v>
          </cell>
          <cell r="C4007" t="str">
            <v>EA</v>
          </cell>
          <cell r="D4007" t="str">
            <v>RM100</v>
          </cell>
          <cell r="E4007">
            <v>0.25679999999999997</v>
          </cell>
          <cell r="G4007">
            <v>300098</v>
          </cell>
        </row>
        <row r="4008">
          <cell r="A4008">
            <v>300100</v>
          </cell>
          <cell r="B4008" t="str">
            <v>LEVER, WIRE NUT,2-CONDUCTOR 28GA-12GA</v>
          </cell>
          <cell r="C4008" t="str">
            <v>EA</v>
          </cell>
          <cell r="D4008" t="str">
            <v>RM100</v>
          </cell>
          <cell r="E4008">
            <v>0.20530000000000001</v>
          </cell>
          <cell r="G4008">
            <v>300100</v>
          </cell>
        </row>
        <row r="4009">
          <cell r="A4009">
            <v>300101</v>
          </cell>
          <cell r="B4009" t="str">
            <v>BOLT,1/4-20X1,CARG,STL,ZN,ST13</v>
          </cell>
          <cell r="C4009" t="str">
            <v>EA</v>
          </cell>
          <cell r="D4009" t="str">
            <v>RM100</v>
          </cell>
          <cell r="E4009">
            <v>3.5000000000000003E-2</v>
          </cell>
          <cell r="G4009">
            <v>300101</v>
          </cell>
        </row>
        <row r="4010">
          <cell r="A4010">
            <v>300102</v>
          </cell>
          <cell r="B4010" t="str">
            <v>BOLT,1/4-20X1-1/2,HH,T-STL,ZN PLT,46/#</v>
          </cell>
          <cell r="C4010" t="str">
            <v>EA</v>
          </cell>
          <cell r="D4010" t="str">
            <v>RM100</v>
          </cell>
          <cell r="E4010">
            <v>9.8000000000000004E-2</v>
          </cell>
          <cell r="G4010">
            <v>300102</v>
          </cell>
        </row>
        <row r="4011">
          <cell r="A4011">
            <v>300103</v>
          </cell>
          <cell r="B4011" t="str">
            <v>BOLT,SH,FLAT,5/16-18X1",18-8,SS</v>
          </cell>
          <cell r="C4011" t="str">
            <v>EA</v>
          </cell>
          <cell r="D4011" t="str">
            <v>RM100</v>
          </cell>
          <cell r="E4011">
            <v>0.23499999999999999</v>
          </cell>
          <cell r="G4011">
            <v>300103</v>
          </cell>
        </row>
        <row r="4012">
          <cell r="A4012">
            <v>300104</v>
          </cell>
          <cell r="B4012" t="str">
            <v>BOLT,5/16-18X1-1/2,HH,TAP,STL</v>
          </cell>
          <cell r="C4012" t="str">
            <v>EA</v>
          </cell>
          <cell r="D4012" t="str">
            <v>RM100</v>
          </cell>
          <cell r="E4012">
            <v>0.25</v>
          </cell>
          <cell r="G4012">
            <v>300104</v>
          </cell>
        </row>
        <row r="4013">
          <cell r="A4013">
            <v>300107</v>
          </cell>
          <cell r="B4013" t="str">
            <v>BOLT,5/16-18X2.75,HH,C,SS 18-8,15.5/#</v>
          </cell>
          <cell r="C4013" t="str">
            <v>EA</v>
          </cell>
          <cell r="D4013" t="str">
            <v>RM100</v>
          </cell>
          <cell r="E4013">
            <v>0.37</v>
          </cell>
          <cell r="G4013">
            <v>300107</v>
          </cell>
        </row>
        <row r="4014">
          <cell r="A4014">
            <v>300108</v>
          </cell>
          <cell r="B4014" t="str">
            <v>BOLT,5/16-18X3.5,HH,C,SS 18-8,12.8/#*</v>
          </cell>
          <cell r="C4014" t="str">
            <v>EA</v>
          </cell>
          <cell r="D4014" t="str">
            <v>RM100</v>
          </cell>
          <cell r="E4014">
            <v>0.41799999999999998</v>
          </cell>
          <cell r="G4014">
            <v>300108</v>
          </cell>
        </row>
        <row r="4015">
          <cell r="A4015">
            <v>300109</v>
          </cell>
          <cell r="B4015" t="str">
            <v>BOLT,5/16-18X4,HH,T,STL,ZN,ST 16,13.0/#</v>
          </cell>
          <cell r="C4015" t="str">
            <v>EA</v>
          </cell>
          <cell r="D4015" t="str">
            <v>RM100</v>
          </cell>
          <cell r="E4015">
            <v>0.10340000000000001</v>
          </cell>
          <cell r="G4015">
            <v>300109</v>
          </cell>
        </row>
        <row r="4016">
          <cell r="A4016">
            <v>300110</v>
          </cell>
          <cell r="B4016" t="str">
            <v>BOLT,5/16-18X4,HX,C,SS 18-8,11/# (MRI)</v>
          </cell>
          <cell r="C4016" t="str">
            <v>EA</v>
          </cell>
          <cell r="D4016" t="str">
            <v>RM100</v>
          </cell>
          <cell r="E4016">
            <v>0.48949999999999999</v>
          </cell>
          <cell r="G4016">
            <v>300110</v>
          </cell>
        </row>
        <row r="4017">
          <cell r="A4017">
            <v>300113</v>
          </cell>
          <cell r="B4017" t="str">
            <v>BOLT,5/16-18X2.5,HH,C,SS 18-8,15.5/#</v>
          </cell>
          <cell r="C4017" t="str">
            <v>EA</v>
          </cell>
          <cell r="D4017" t="str">
            <v>RM100</v>
          </cell>
          <cell r="E4017">
            <v>0.193</v>
          </cell>
          <cell r="G4017">
            <v>300113</v>
          </cell>
        </row>
        <row r="4018">
          <cell r="A4018">
            <v>300115</v>
          </cell>
          <cell r="B4018" t="str">
            <v>BOLT,3/8-16X1-1/2,HH,C,SS 18-8,18/LB</v>
          </cell>
          <cell r="C4018" t="str">
            <v>EA</v>
          </cell>
          <cell r="D4018" t="str">
            <v>RM100</v>
          </cell>
          <cell r="E4018">
            <v>0.33900000000000002</v>
          </cell>
          <cell r="G4018">
            <v>300115</v>
          </cell>
        </row>
        <row r="4019">
          <cell r="A4019">
            <v>300116</v>
          </cell>
          <cell r="B4019" t="str">
            <v>BOLT,5/16-18X1.75,HH,C,SS 18-8,23/#</v>
          </cell>
          <cell r="C4019" t="str">
            <v>EA</v>
          </cell>
          <cell r="D4019" t="str">
            <v>RM100</v>
          </cell>
          <cell r="E4019">
            <v>0.30780000000000002</v>
          </cell>
          <cell r="G4019">
            <v>300116</v>
          </cell>
        </row>
        <row r="4020">
          <cell r="A4020">
            <v>300118</v>
          </cell>
          <cell r="B4020" t="str">
            <v>BOLT,5/16-18X5,HH,C,STL,ZN,ST62,GR 5*</v>
          </cell>
          <cell r="C4020" t="str">
            <v>EA</v>
          </cell>
          <cell r="D4020" t="str">
            <v>RM100</v>
          </cell>
          <cell r="E4020">
            <v>0.30280000000000001</v>
          </cell>
          <cell r="G4020">
            <v>300118</v>
          </cell>
        </row>
        <row r="4021">
          <cell r="A4021">
            <v>300122</v>
          </cell>
          <cell r="B4021" t="str">
            <v>BOLT,5/16-18x7/8,HH,T,SS 18-8,39/#</v>
          </cell>
          <cell r="C4021" t="str">
            <v>EA</v>
          </cell>
          <cell r="D4021" t="str">
            <v>RM100</v>
          </cell>
          <cell r="E4021">
            <v>0.1782</v>
          </cell>
          <cell r="G4021">
            <v>300122</v>
          </cell>
        </row>
        <row r="4022">
          <cell r="A4022">
            <v>300123</v>
          </cell>
          <cell r="B4022" t="str">
            <v>BOLT,3/8-16X1,HH,T,SS 18-8,24/#</v>
          </cell>
          <cell r="C4022" t="str">
            <v>EA</v>
          </cell>
          <cell r="D4022" t="str">
            <v>RM100</v>
          </cell>
          <cell r="E4022">
            <v>0.27</v>
          </cell>
          <cell r="G4022">
            <v>300123</v>
          </cell>
        </row>
        <row r="4023">
          <cell r="A4023">
            <v>300126</v>
          </cell>
          <cell r="B4023" t="str">
            <v>BOLT,5/16-18X3.5HH,C,STL,ZN,GR.5*</v>
          </cell>
          <cell r="C4023" t="str">
            <v>EA</v>
          </cell>
          <cell r="D4023" t="str">
            <v>RM100</v>
          </cell>
          <cell r="E4023">
            <v>0.1147</v>
          </cell>
          <cell r="G4023">
            <v>300126</v>
          </cell>
        </row>
        <row r="4024">
          <cell r="A4024">
            <v>300127</v>
          </cell>
          <cell r="B4024" t="str">
            <v>BOLT,5/16-18X1.5HH,C,SS,26.3/#</v>
          </cell>
          <cell r="C4024" t="str">
            <v>EA</v>
          </cell>
          <cell r="D4024" t="str">
            <v>RM100</v>
          </cell>
          <cell r="E4024">
            <v>0.23599999999999999</v>
          </cell>
          <cell r="G4024">
            <v>300127</v>
          </cell>
        </row>
        <row r="4025">
          <cell r="A4025">
            <v>300128</v>
          </cell>
          <cell r="B4025" t="str">
            <v>BOLT,5/16-18X2.5HH,C,STL,ZN,GR 2, 17/#</v>
          </cell>
          <cell r="C4025" t="str">
            <v>EA</v>
          </cell>
          <cell r="D4025" t="str">
            <v>RM100</v>
          </cell>
          <cell r="E4025">
            <v>0.23980000000000001</v>
          </cell>
          <cell r="G4025">
            <v>300128</v>
          </cell>
        </row>
        <row r="4026">
          <cell r="A4026">
            <v>300129</v>
          </cell>
          <cell r="B4026" t="str">
            <v>BOLT,5/16-18X1.5HH,C,STL,ZN,ST63,GR2*</v>
          </cell>
          <cell r="C4026" t="str">
            <v>EA</v>
          </cell>
          <cell r="D4026" t="str">
            <v>RM100</v>
          </cell>
          <cell r="E4026">
            <v>3.7600000000000001E-2</v>
          </cell>
          <cell r="G4026">
            <v>300129</v>
          </cell>
        </row>
        <row r="4027">
          <cell r="A4027">
            <v>300130</v>
          </cell>
          <cell r="B4027" t="str">
            <v>BOLT,5/16-18X4HH,T,SS 18-8,13/#</v>
          </cell>
          <cell r="C4027" t="str">
            <v>EA</v>
          </cell>
          <cell r="D4027" t="str">
            <v>RM100</v>
          </cell>
          <cell r="E4027">
            <v>0.73499999999999999</v>
          </cell>
          <cell r="G4027">
            <v>300130</v>
          </cell>
        </row>
        <row r="4028">
          <cell r="A4028">
            <v>300131</v>
          </cell>
          <cell r="B4028" t="str">
            <v>BOLT,1/4-20X3/4HH,T-SS 18-8 TAP,7L/#</v>
          </cell>
          <cell r="C4028" t="str">
            <v>EA</v>
          </cell>
          <cell r="D4028" t="str">
            <v>RM100</v>
          </cell>
          <cell r="E4028">
            <v>0.1351</v>
          </cell>
          <cell r="G4028">
            <v>300131</v>
          </cell>
        </row>
        <row r="4029">
          <cell r="A4029">
            <v>300132</v>
          </cell>
          <cell r="B4029" t="str">
            <v>BOLT,5/16-18X1.75HH,C,STL,ZN,GR 2*</v>
          </cell>
          <cell r="C4029" t="str">
            <v>EA</v>
          </cell>
          <cell r="D4029" t="str">
            <v>RM100</v>
          </cell>
          <cell r="E4029">
            <v>6.8199999999999997E-2</v>
          </cell>
          <cell r="G4029">
            <v>300132</v>
          </cell>
        </row>
        <row r="4030">
          <cell r="A4030">
            <v>300133</v>
          </cell>
          <cell r="B4030" t="str">
            <v>BOLT,3/8-16X2,STL,ZN,14,GR2, 3/#</v>
          </cell>
          <cell r="C4030" t="str">
            <v>EA</v>
          </cell>
          <cell r="D4030" t="str">
            <v>RM100</v>
          </cell>
          <cell r="E4030">
            <v>0.2195</v>
          </cell>
          <cell r="G4030">
            <v>300133</v>
          </cell>
        </row>
        <row r="4031">
          <cell r="A4031">
            <v>300135</v>
          </cell>
          <cell r="B4031" t="str">
            <v>SCR,5/16-18X3/4,FH,SH,18-8 SS</v>
          </cell>
          <cell r="C4031" t="str">
            <v>EA</v>
          </cell>
          <cell r="D4031" t="str">
            <v>RM100</v>
          </cell>
          <cell r="E4031">
            <v>0.38450000000000001</v>
          </cell>
          <cell r="G4031">
            <v>300135</v>
          </cell>
        </row>
        <row r="4032">
          <cell r="A4032">
            <v>300137</v>
          </cell>
          <cell r="B4032" t="str">
            <v>WSHR,SPLIT LOCK 18-8, SS 1/4" .049" O.D.</v>
          </cell>
          <cell r="C4032" t="str">
            <v>EA</v>
          </cell>
          <cell r="D4032" t="str">
            <v>RM100</v>
          </cell>
          <cell r="E4032">
            <v>3.78E-2</v>
          </cell>
          <cell r="G4032">
            <v>300137</v>
          </cell>
        </row>
        <row r="4033">
          <cell r="A4033">
            <v>300139</v>
          </cell>
          <cell r="B4033" t="str">
            <v>WSHR,5/8,.656IDX1.312ODX.098THK,SS FLAT*</v>
          </cell>
          <cell r="C4033" t="str">
            <v>EA</v>
          </cell>
          <cell r="D4033" t="str">
            <v>RM100</v>
          </cell>
          <cell r="E4033">
            <v>0.24</v>
          </cell>
          <cell r="G4033">
            <v>300139</v>
          </cell>
        </row>
        <row r="4034">
          <cell r="A4034">
            <v>300141</v>
          </cell>
          <cell r="B4034" t="str">
            <v>ANCH,KB-TZ,SS 1/2"X5-1/2", HILTI</v>
          </cell>
          <cell r="C4034" t="str">
            <v>EA</v>
          </cell>
          <cell r="D4034" t="str">
            <v>MA100</v>
          </cell>
          <cell r="E4034">
            <v>11.96</v>
          </cell>
          <cell r="G4034">
            <v>300141</v>
          </cell>
        </row>
        <row r="4035">
          <cell r="A4035">
            <v>300142</v>
          </cell>
          <cell r="B4035" t="str">
            <v>ANCH,KB-TZ3/8 x 5" Hilti #387511 (50/BX)</v>
          </cell>
          <cell r="C4035" t="str">
            <v>EA</v>
          </cell>
          <cell r="D4035" t="str">
            <v>RM100</v>
          </cell>
          <cell r="E4035">
            <v>1.6220000000000001</v>
          </cell>
          <cell r="G4035">
            <v>300142</v>
          </cell>
        </row>
        <row r="4036">
          <cell r="A4036">
            <v>300143</v>
          </cell>
          <cell r="B4036" t="str">
            <v>SCR,#10-32X1/2,TR,PH,SS</v>
          </cell>
          <cell r="C4036" t="str">
            <v>EA</v>
          </cell>
          <cell r="D4036" t="str">
            <v>RM100</v>
          </cell>
          <cell r="E4036">
            <v>4.4999999999999998E-2</v>
          </cell>
          <cell r="G4036">
            <v>300143</v>
          </cell>
        </row>
        <row r="4037">
          <cell r="A4037">
            <v>300149</v>
          </cell>
          <cell r="B4037" t="str">
            <v>SCR,JIS M4-45MM,PH,PH,ZINC,.7MM PITCH</v>
          </cell>
          <cell r="C4037" t="str">
            <v>EA</v>
          </cell>
          <cell r="D4037" t="str">
            <v>RM100</v>
          </cell>
          <cell r="E4037">
            <v>8.6400000000000005E-2</v>
          </cell>
          <cell r="G4037">
            <v>300149</v>
          </cell>
        </row>
        <row r="4038">
          <cell r="A4038">
            <v>300150</v>
          </cell>
          <cell r="B4038" t="str">
            <v>WELD NUT,1/4-20,18-8,SS</v>
          </cell>
          <cell r="C4038" t="str">
            <v>EA</v>
          </cell>
          <cell r="D4038" t="str">
            <v>RM100</v>
          </cell>
          <cell r="E4038">
            <v>0.9</v>
          </cell>
          <cell r="G4038">
            <v>300150</v>
          </cell>
        </row>
        <row r="4039">
          <cell r="A4039">
            <v>300151</v>
          </cell>
          <cell r="B4039" t="str">
            <v>SCR,M8-1.25MMx25MM,SH,18-8,SS</v>
          </cell>
          <cell r="C4039" t="str">
            <v>EA</v>
          </cell>
          <cell r="D4039" t="str">
            <v>RM100</v>
          </cell>
          <cell r="E4039">
            <v>0.21</v>
          </cell>
          <cell r="G4039">
            <v>300151</v>
          </cell>
        </row>
        <row r="4040">
          <cell r="A4040">
            <v>300152</v>
          </cell>
          <cell r="B4040" t="str">
            <v>WSHR,#10 SPLIT, .34 OD 18-8,SS</v>
          </cell>
          <cell r="C4040" t="str">
            <v>EA</v>
          </cell>
          <cell r="D4040" t="str">
            <v>RM100</v>
          </cell>
          <cell r="E4040">
            <v>1.5699999999999999E-2</v>
          </cell>
          <cell r="G4040">
            <v>300152</v>
          </cell>
        </row>
        <row r="4041">
          <cell r="A4041">
            <v>300153</v>
          </cell>
          <cell r="B4041" t="str">
            <v>SCR,5/16-18x3-1/2,SH,18-8,SS</v>
          </cell>
          <cell r="C4041" t="str">
            <v>EA</v>
          </cell>
          <cell r="D4041" t="str">
            <v>RM100</v>
          </cell>
          <cell r="E4041">
            <v>0.65</v>
          </cell>
          <cell r="G4041">
            <v>300153</v>
          </cell>
        </row>
        <row r="4042">
          <cell r="A4042">
            <v>300154</v>
          </cell>
          <cell r="B4042" t="str">
            <v>BOLT,SH,FLAT,5/16-18X7/8,18-8,SS</v>
          </cell>
          <cell r="C4042" t="str">
            <v>EA</v>
          </cell>
          <cell r="D4042" t="str">
            <v>RM100</v>
          </cell>
          <cell r="E4042">
            <v>0.33250000000000002</v>
          </cell>
          <cell r="G4042">
            <v>300154</v>
          </cell>
        </row>
        <row r="4043">
          <cell r="A4043">
            <v>300155</v>
          </cell>
          <cell r="B4043" t="str">
            <v>SCR,1/4-20x1/2,PH,FH,18-8,SS</v>
          </cell>
          <cell r="C4043" t="str">
            <v>EA</v>
          </cell>
          <cell r="D4043" t="str">
            <v>RM100</v>
          </cell>
          <cell r="E4043">
            <v>0.73599999999999999</v>
          </cell>
          <cell r="G4043">
            <v>300155</v>
          </cell>
        </row>
        <row r="4044">
          <cell r="A4044">
            <v>300156</v>
          </cell>
          <cell r="B4044" t="str">
            <v>SCR,#8(A)x1,PH,RH,STL,ZN</v>
          </cell>
          <cell r="C4044" t="str">
            <v>EA</v>
          </cell>
          <cell r="D4044" t="str">
            <v>RM100</v>
          </cell>
          <cell r="E4044">
            <v>7.1999999999999995E-2</v>
          </cell>
          <cell r="G4044">
            <v>300156</v>
          </cell>
        </row>
        <row r="4045">
          <cell r="A4045">
            <v>300157</v>
          </cell>
          <cell r="B4045" t="str">
            <v>WSHR,3/8,SPLIT,.68 ODX.09THK 18-8,SS</v>
          </cell>
          <cell r="C4045" t="str">
            <v>EA</v>
          </cell>
          <cell r="D4045" t="str">
            <v>RM100</v>
          </cell>
          <cell r="E4045">
            <v>7.7399999999999997E-2</v>
          </cell>
          <cell r="G4045">
            <v>300157</v>
          </cell>
        </row>
        <row r="4046">
          <cell r="A4046">
            <v>300159</v>
          </cell>
          <cell r="B4046" t="str">
            <v>BOLT,SH,FLAT,5/16-18X1-1/8,18-8,SS</v>
          </cell>
          <cell r="C4046" t="str">
            <v>EA</v>
          </cell>
          <cell r="D4046" t="str">
            <v>RM100</v>
          </cell>
          <cell r="E4046">
            <v>0.23799999999999999</v>
          </cell>
          <cell r="G4046">
            <v>300159</v>
          </cell>
        </row>
        <row r="4047">
          <cell r="A4047">
            <v>300161</v>
          </cell>
          <cell r="B4047" t="str">
            <v>WSHR,FLAT,5/16 IDX1-1/8 OD,SS</v>
          </cell>
          <cell r="C4047" t="str">
            <v>EA</v>
          </cell>
          <cell r="D4047" t="str">
            <v>RM100</v>
          </cell>
          <cell r="E4047">
            <v>0.65500000000000003</v>
          </cell>
          <cell r="G4047">
            <v>300161</v>
          </cell>
        </row>
        <row r="4048">
          <cell r="A4048">
            <v>300162</v>
          </cell>
          <cell r="B4048" t="str">
            <v>SCR,1/4-20X7/8,BT,SOC,18-8,SS</v>
          </cell>
          <cell r="C4048" t="str">
            <v>EA</v>
          </cell>
          <cell r="D4048" t="str">
            <v>RM100</v>
          </cell>
          <cell r="E4048">
            <v>0.12</v>
          </cell>
          <cell r="G4048">
            <v>300162</v>
          </cell>
        </row>
        <row r="4049">
          <cell r="A4049">
            <v>300164</v>
          </cell>
          <cell r="B4049" t="str">
            <v>BOLT,SH,5/16-18X1-1/4,18-8,SS</v>
          </cell>
          <cell r="C4049" t="str">
            <v>EA</v>
          </cell>
          <cell r="D4049" t="str">
            <v>RM100</v>
          </cell>
          <cell r="E4049">
            <v>0.28000000000000003</v>
          </cell>
          <cell r="G4049">
            <v>300164</v>
          </cell>
        </row>
        <row r="4050">
          <cell r="A4050">
            <v>300165</v>
          </cell>
          <cell r="B4050" t="str">
            <v>BOLT,SH,3/8-16X1-1/2,18-8,SS</v>
          </cell>
          <cell r="C4050" t="str">
            <v>EA</v>
          </cell>
          <cell r="D4050" t="str">
            <v>RM100</v>
          </cell>
          <cell r="E4050">
            <v>0.42</v>
          </cell>
          <cell r="G4050">
            <v>300165</v>
          </cell>
        </row>
        <row r="4051">
          <cell r="A4051">
            <v>300166</v>
          </cell>
          <cell r="B4051" t="str">
            <v>BOLT,HH,3/8-16X1/1/2,18-8,SS</v>
          </cell>
          <cell r="C4051" t="str">
            <v>EA</v>
          </cell>
          <cell r="D4051" t="str">
            <v>RM100</v>
          </cell>
          <cell r="E4051">
            <v>0.38</v>
          </cell>
          <cell r="G4051">
            <v>300166</v>
          </cell>
        </row>
        <row r="4052">
          <cell r="A4052">
            <v>300167</v>
          </cell>
          <cell r="B4052" t="str">
            <v>BOLT,3/8-16x2.5,STL,ZN,GR5,ALLTHREAD TAP</v>
          </cell>
          <cell r="C4052" t="str">
            <v>EA</v>
          </cell>
          <cell r="D4052" t="str">
            <v>RM100</v>
          </cell>
          <cell r="E4052">
            <v>0.22500000000000001</v>
          </cell>
          <cell r="G4052">
            <v>300167</v>
          </cell>
        </row>
        <row r="4053">
          <cell r="A4053">
            <v>300168</v>
          </cell>
          <cell r="B4053" t="str">
            <v>SCR,5/16-18x3,SH CAP,18-8,SS</v>
          </cell>
          <cell r="C4053" t="str">
            <v>EA</v>
          </cell>
          <cell r="D4053" t="str">
            <v>RM100</v>
          </cell>
          <cell r="E4053">
            <v>0.73199999999999998</v>
          </cell>
          <cell r="G4053">
            <v>300168</v>
          </cell>
        </row>
        <row r="4054">
          <cell r="A4054">
            <v>300169</v>
          </cell>
          <cell r="B4054" t="str">
            <v>WELD SCR,3/8-16X1-1/4(OHIO #RWH 3320)</v>
          </cell>
          <cell r="C4054" t="str">
            <v>EA</v>
          </cell>
          <cell r="D4054" t="str">
            <v>RM100</v>
          </cell>
          <cell r="E4054">
            <v>1.2</v>
          </cell>
          <cell r="G4054">
            <v>300169</v>
          </cell>
        </row>
        <row r="4055">
          <cell r="A4055">
            <v>300170</v>
          </cell>
          <cell r="B4055" t="str">
            <v>WELD SCR,5/16-16X1 (OHIO #RWH 2716)</v>
          </cell>
          <cell r="C4055" t="str">
            <v>EA</v>
          </cell>
          <cell r="D4055" t="str">
            <v>RM100</v>
          </cell>
          <cell r="E4055">
            <v>1.1000000000000001</v>
          </cell>
          <cell r="G4055">
            <v>300170</v>
          </cell>
        </row>
        <row r="4056">
          <cell r="A4056">
            <v>300172</v>
          </cell>
          <cell r="B4056" t="str">
            <v>WSHR,FLAT,1/4 IDX5/8 OD,316,SS</v>
          </cell>
          <cell r="C4056" t="str">
            <v>EA</v>
          </cell>
          <cell r="D4056" t="str">
            <v>RM100</v>
          </cell>
          <cell r="E4056">
            <v>6.2300000000000001E-2</v>
          </cell>
          <cell r="G4056">
            <v>300172</v>
          </cell>
        </row>
        <row r="4057">
          <cell r="A4057">
            <v>300173</v>
          </cell>
          <cell r="B4057" t="str">
            <v>SCR,#10-32x1-1/4,PH,FH,18-8,SS</v>
          </cell>
          <cell r="C4057" t="str">
            <v>EA</v>
          </cell>
          <cell r="D4057" t="str">
            <v>RM100</v>
          </cell>
          <cell r="E4057">
            <v>0.10299999999999999</v>
          </cell>
          <cell r="G4057">
            <v>300173</v>
          </cell>
        </row>
        <row r="4058">
          <cell r="A4058">
            <v>300174</v>
          </cell>
          <cell r="B4058" t="str">
            <v>SCR,1/4-20x5/8,PH,FH,18-8,SS</v>
          </cell>
          <cell r="C4058" t="str">
            <v>EA</v>
          </cell>
          <cell r="D4058" t="str">
            <v>RM100</v>
          </cell>
          <cell r="E4058">
            <v>0.129</v>
          </cell>
          <cell r="G4058">
            <v>300174</v>
          </cell>
        </row>
        <row r="4059">
          <cell r="A4059">
            <v>300175</v>
          </cell>
          <cell r="B4059" t="str">
            <v>SCR,#6-32x5/16,PH,FH,18-8,SS</v>
          </cell>
          <cell r="C4059" t="str">
            <v>EA</v>
          </cell>
          <cell r="D4059" t="str">
            <v>RM100</v>
          </cell>
          <cell r="E4059">
            <v>4.2500000000000003E-2</v>
          </cell>
          <cell r="G4059">
            <v>300175</v>
          </cell>
        </row>
        <row r="4060">
          <cell r="A4060">
            <v>300176</v>
          </cell>
          <cell r="B4060" t="str">
            <v>SCR,#8-32x1/4,PH,100°FH,,18-8,SS</v>
          </cell>
          <cell r="C4060" t="str">
            <v>EA</v>
          </cell>
          <cell r="D4060" t="str">
            <v>RM100</v>
          </cell>
          <cell r="E4060">
            <v>4.7500000000000001E-2</v>
          </cell>
          <cell r="G4060">
            <v>300176</v>
          </cell>
        </row>
        <row r="4061">
          <cell r="A4061">
            <v>300177</v>
          </cell>
          <cell r="B4061" t="str">
            <v>SCR,#6-32x1/4,PH,FH,18-8,SS</v>
          </cell>
          <cell r="C4061" t="str">
            <v>EA</v>
          </cell>
          <cell r="D4061" t="str">
            <v>RM100</v>
          </cell>
          <cell r="E4061">
            <v>6.2600000000000003E-2</v>
          </cell>
          <cell r="G4061">
            <v>300177</v>
          </cell>
        </row>
        <row r="4062">
          <cell r="A4062">
            <v>300178</v>
          </cell>
          <cell r="B4062" t="str">
            <v>BOLT,HH,8MMX1.25X25MM,SS</v>
          </cell>
          <cell r="C4062" t="str">
            <v>EA</v>
          </cell>
          <cell r="D4062" t="str">
            <v>RM100</v>
          </cell>
          <cell r="E4062">
            <v>0.24</v>
          </cell>
          <cell r="G4062">
            <v>300178</v>
          </cell>
        </row>
        <row r="4063">
          <cell r="A4063">
            <v>300180</v>
          </cell>
          <cell r="B4063" t="str">
            <v>SCR,#8-32x7/16,SH,SS 316,</v>
          </cell>
          <cell r="C4063" t="str">
            <v>EA</v>
          </cell>
          <cell r="D4063" t="str">
            <v>MA100</v>
          </cell>
          <cell r="E4063">
            <v>0.2248</v>
          </cell>
          <cell r="G4063">
            <v>300180</v>
          </cell>
        </row>
        <row r="4064">
          <cell r="A4064">
            <v>300199</v>
          </cell>
          <cell r="B4064" t="str">
            <v>SCR,SET SCREW,1/4-20X1/2,HEX SOC,SS,18-8</v>
          </cell>
          <cell r="C4064" t="str">
            <v>EA</v>
          </cell>
          <cell r="D4064" t="str">
            <v>RM100</v>
          </cell>
          <cell r="E4064">
            <v>8.1199999999999994E-2</v>
          </cell>
          <cell r="G4064">
            <v>300199</v>
          </cell>
        </row>
        <row r="4065">
          <cell r="A4065">
            <v>300200</v>
          </cell>
          <cell r="B4065" t="str">
            <v>SCR,SET SCREW,3/16X10-24,HEX SOC,SS,316</v>
          </cell>
          <cell r="C4065" t="str">
            <v>EA</v>
          </cell>
          <cell r="D4065" t="str">
            <v>RM100</v>
          </cell>
          <cell r="E4065">
            <v>0.19520000000000001</v>
          </cell>
          <cell r="G4065">
            <v>300200</v>
          </cell>
        </row>
        <row r="4066">
          <cell r="A4066">
            <v>300220</v>
          </cell>
          <cell r="B4066" t="str">
            <v>EYELET,1/2ODX7/16LG,BR,#1558,241/LB</v>
          </cell>
          <cell r="C4066" t="str">
            <v>EA</v>
          </cell>
          <cell r="D4066" t="str">
            <v>RM100</v>
          </cell>
          <cell r="E4066">
            <v>0.28799999999999998</v>
          </cell>
          <cell r="G4066">
            <v>300220</v>
          </cell>
        </row>
        <row r="4067">
          <cell r="A4067">
            <v>300224</v>
          </cell>
          <cell r="B4067" t="str">
            <v>ISO HNGR, 3/8", KINETICS#SFH-1-125</v>
          </cell>
          <cell r="C4067" t="str">
            <v>EA</v>
          </cell>
          <cell r="D4067" t="str">
            <v>MA100</v>
          </cell>
          <cell r="E4067">
            <v>44.1</v>
          </cell>
          <cell r="G4067">
            <v>300224</v>
          </cell>
        </row>
        <row r="4068">
          <cell r="A4068">
            <v>300226</v>
          </cell>
          <cell r="B4068" t="str">
            <v>ISOLATOR, FOR 3/8-16 THREADED ROD*</v>
          </cell>
          <cell r="C4068" t="str">
            <v>EA</v>
          </cell>
          <cell r="D4068" t="str">
            <v>RM100</v>
          </cell>
          <cell r="E4068">
            <v>2.09</v>
          </cell>
          <cell r="G4068">
            <v>300226</v>
          </cell>
        </row>
        <row r="4069">
          <cell r="A4069">
            <v>300229</v>
          </cell>
          <cell r="B4069" t="str">
            <v>HANGER, SPRING HS-A-56 BLACK SPRING CLR</v>
          </cell>
          <cell r="C4069" t="str">
            <v>EA</v>
          </cell>
          <cell r="D4069" t="str">
            <v>RM100</v>
          </cell>
          <cell r="E4069">
            <v>45</v>
          </cell>
          <cell r="G4069">
            <v>300229</v>
          </cell>
        </row>
        <row r="4070">
          <cell r="A4070">
            <v>300301</v>
          </cell>
          <cell r="B4070" t="str">
            <v xml:space="preserve">NAIL,16GAX3/4,COMMON CPR,#310510,1246/# </v>
          </cell>
          <cell r="C4070" t="str">
            <v>LB</v>
          </cell>
          <cell r="D4070" t="str">
            <v>RM100</v>
          </cell>
          <cell r="E4070">
            <v>16.12</v>
          </cell>
          <cell r="G4070">
            <v>300301</v>
          </cell>
        </row>
        <row r="4071">
          <cell r="A4071">
            <v>300304</v>
          </cell>
          <cell r="B4071" t="str">
            <v>NAIL,#15(.072)X1,SCREW,18-8 SS,800/LB*</v>
          </cell>
          <cell r="C4071" t="str">
            <v>LB</v>
          </cell>
          <cell r="D4071" t="str">
            <v>RM100</v>
          </cell>
          <cell r="E4071">
            <v>12.5444</v>
          </cell>
          <cell r="G4071">
            <v>300304</v>
          </cell>
        </row>
        <row r="4072">
          <cell r="A4072">
            <v>300305</v>
          </cell>
          <cell r="B4072" t="str">
            <v>NAIL,#15(.072)X1-1/2",SCREW, 18-8 SS</v>
          </cell>
          <cell r="C4072" t="str">
            <v>LB</v>
          </cell>
          <cell r="D4072" t="str">
            <v>MA100</v>
          </cell>
          <cell r="E4072">
            <v>11.579599999999999</v>
          </cell>
          <cell r="G4072">
            <v>300305</v>
          </cell>
        </row>
        <row r="4073">
          <cell r="A4073">
            <v>300320</v>
          </cell>
          <cell r="B4073" t="str">
            <v>BOLT,5/16-18X1.75HH,C,STL,FULL THRD,ZN*</v>
          </cell>
          <cell r="C4073" t="str">
            <v>EA</v>
          </cell>
          <cell r="D4073" t="str">
            <v>RM100</v>
          </cell>
          <cell r="E4073">
            <v>0.15670000000000001</v>
          </cell>
          <cell r="G4073">
            <v>300320</v>
          </cell>
        </row>
        <row r="4074">
          <cell r="A4074">
            <v>300382</v>
          </cell>
          <cell r="B4074" t="str">
            <v>NUT,1/4-20X.472,INSRT NUT,STAFAST#SK142*</v>
          </cell>
          <cell r="C4074" t="str">
            <v>EA</v>
          </cell>
          <cell r="D4074" t="str">
            <v>RM100</v>
          </cell>
          <cell r="E4074">
            <v>0.14699999999999999</v>
          </cell>
          <cell r="G4074">
            <v>300382</v>
          </cell>
        </row>
        <row r="4075">
          <cell r="A4075">
            <v>300385</v>
          </cell>
          <cell r="B4075" t="str">
            <v>NUT,10-24X.472,STLINSRT SCR,5M/CS,136/#*</v>
          </cell>
          <cell r="C4075" t="str">
            <v>EA</v>
          </cell>
          <cell r="D4075" t="str">
            <v>RM100</v>
          </cell>
          <cell r="E4075">
            <v>9.6199999999999994E-2</v>
          </cell>
          <cell r="G4075">
            <v>300385</v>
          </cell>
        </row>
        <row r="4076">
          <cell r="A4076">
            <v>300386</v>
          </cell>
          <cell r="B4076" t="str">
            <v>NUT,#8-32HH,SS,18-8, SRIE 392</v>
          </cell>
          <cell r="C4076" t="str">
            <v>EA</v>
          </cell>
          <cell r="D4076" t="str">
            <v>RM100</v>
          </cell>
          <cell r="E4076">
            <v>0.01</v>
          </cell>
          <cell r="G4076">
            <v>300386</v>
          </cell>
        </row>
        <row r="4077">
          <cell r="A4077">
            <v>300387</v>
          </cell>
          <cell r="B4077" t="str">
            <v>NUT,10-24HH,STL,ZN,MCM#90480A011</v>
          </cell>
          <cell r="C4077" t="str">
            <v>EA</v>
          </cell>
          <cell r="D4077" t="str">
            <v>RM100</v>
          </cell>
          <cell r="E4077">
            <v>1.4E-2</v>
          </cell>
          <cell r="G4077">
            <v>300387</v>
          </cell>
        </row>
        <row r="4078">
          <cell r="A4078">
            <v>300389</v>
          </cell>
          <cell r="B4078" t="str">
            <v>NUT,5/8-11HH,STL,ZN,14/#</v>
          </cell>
          <cell r="C4078" t="str">
            <v>EA</v>
          </cell>
          <cell r="D4078" t="str">
            <v>RM100</v>
          </cell>
          <cell r="E4078">
            <v>0.2175</v>
          </cell>
          <cell r="G4078">
            <v>300389</v>
          </cell>
        </row>
        <row r="4079">
          <cell r="A4079">
            <v>300394</v>
          </cell>
          <cell r="B4079" t="str">
            <v>NUT,#6-32, HH</v>
          </cell>
          <cell r="C4079" t="str">
            <v>EA</v>
          </cell>
          <cell r="D4079" t="str">
            <v>RM100</v>
          </cell>
          <cell r="E4079">
            <v>9.7000000000000003E-3</v>
          </cell>
          <cell r="G4079">
            <v>300394</v>
          </cell>
        </row>
        <row r="4080">
          <cell r="A4080">
            <v>300395</v>
          </cell>
          <cell r="B4080" t="str">
            <v>NUT,#4-40HH,STL,ZN</v>
          </cell>
          <cell r="C4080" t="str">
            <v>EA</v>
          </cell>
          <cell r="D4080" t="str">
            <v>RM100</v>
          </cell>
          <cell r="E4080">
            <v>8.3000000000000001E-3</v>
          </cell>
          <cell r="G4080">
            <v>300395</v>
          </cell>
        </row>
        <row r="4081">
          <cell r="A4081">
            <v>300397</v>
          </cell>
          <cell r="B4081" t="str">
            <v>NUT,5/16-18X1,BARREL,E561825 'E',ST47*</v>
          </cell>
          <cell r="C4081" t="str">
            <v>EA</v>
          </cell>
          <cell r="D4081" t="str">
            <v>RM100</v>
          </cell>
          <cell r="E4081">
            <v>0.23130000000000001</v>
          </cell>
          <cell r="G4081">
            <v>300397</v>
          </cell>
        </row>
        <row r="4082">
          <cell r="A4082">
            <v>300399</v>
          </cell>
          <cell r="B4082" t="str">
            <v>NUT,1/4-20HH,BR,133/LB</v>
          </cell>
          <cell r="C4082" t="str">
            <v>EA</v>
          </cell>
          <cell r="D4082" t="str">
            <v>RM100</v>
          </cell>
          <cell r="E4082">
            <v>8.5000000000000006E-2</v>
          </cell>
          <cell r="G4082">
            <v>300399</v>
          </cell>
        </row>
        <row r="4083">
          <cell r="A4083">
            <v>300401</v>
          </cell>
          <cell r="B4083" t="str">
            <v>NUT,1/4-20HH,STL,ZN,ST48,140/#</v>
          </cell>
          <cell r="C4083" t="str">
            <v>EA</v>
          </cell>
          <cell r="D4083" t="str">
            <v>RM100</v>
          </cell>
          <cell r="E4083">
            <v>9.1999999999999998E-3</v>
          </cell>
          <cell r="G4083">
            <v>300401</v>
          </cell>
        </row>
        <row r="4084">
          <cell r="A4084">
            <v>300402</v>
          </cell>
          <cell r="B4084" t="str">
            <v>KIT, JACK-SCREW, L/WASHER, HEX-NUT</v>
          </cell>
          <cell r="C4084" t="str">
            <v>EA</v>
          </cell>
          <cell r="D4084" t="str">
            <v>RM100</v>
          </cell>
          <cell r="E4084">
            <v>0.33800000000000002</v>
          </cell>
          <cell r="G4084">
            <v>300402</v>
          </cell>
        </row>
        <row r="4085">
          <cell r="A4085">
            <v>300403</v>
          </cell>
          <cell r="B4085" t="str">
            <v>NUT,5/16-18HH,SS,18-8,FN50  9</v>
          </cell>
          <cell r="C4085" t="str">
            <v>EA</v>
          </cell>
          <cell r="D4085" t="str">
            <v>RM100</v>
          </cell>
          <cell r="E4085">
            <v>5.2499999999999998E-2</v>
          </cell>
          <cell r="G4085">
            <v>300403</v>
          </cell>
        </row>
        <row r="4086">
          <cell r="A4086">
            <v>300404</v>
          </cell>
          <cell r="B4086" t="str">
            <v>NUT,5/16-18HH,STL,ZN,ST50,95/#</v>
          </cell>
          <cell r="C4086" t="str">
            <v>EA</v>
          </cell>
          <cell r="D4086" t="str">
            <v>RM100</v>
          </cell>
          <cell r="E4086">
            <v>4.3099999999999999E-2</v>
          </cell>
          <cell r="G4086">
            <v>300404</v>
          </cell>
        </row>
        <row r="4087">
          <cell r="A4087">
            <v>300405</v>
          </cell>
          <cell r="B4087" t="str">
            <v>NUT,T5/16-18X3/8,STL,W/FLNG,R56186TH3B3U</v>
          </cell>
          <cell r="C4087" t="str">
            <v>EA</v>
          </cell>
          <cell r="D4087" t="str">
            <v>RM100</v>
          </cell>
          <cell r="E4087">
            <v>0.2349</v>
          </cell>
          <cell r="G4087">
            <v>300405</v>
          </cell>
        </row>
        <row r="4088">
          <cell r="A4088">
            <v>300406</v>
          </cell>
          <cell r="B4088" t="str">
            <v>NUT,5/16-18X5/8,TEE,4PGST,#5618104T-ZN*</v>
          </cell>
          <cell r="C4088" t="str">
            <v>EA</v>
          </cell>
          <cell r="D4088" t="str">
            <v>RM100</v>
          </cell>
          <cell r="E4088">
            <v>0.1</v>
          </cell>
          <cell r="G4088">
            <v>300406</v>
          </cell>
        </row>
        <row r="4089">
          <cell r="A4089">
            <v>300407</v>
          </cell>
          <cell r="B4089" t="str">
            <v>NUT,5/16-18,INSERTBARBED,#B561819H2T-ZN*</v>
          </cell>
          <cell r="C4089" t="str">
            <v>EA</v>
          </cell>
          <cell r="D4089" t="str">
            <v>RM100</v>
          </cell>
          <cell r="E4089">
            <v>0.1144</v>
          </cell>
          <cell r="G4089">
            <v>300407</v>
          </cell>
        </row>
        <row r="4090">
          <cell r="A4090">
            <v>300408</v>
          </cell>
          <cell r="B4090" t="str">
            <v>KIT,[25ea] T-NUTS W/ NAILS</v>
          </cell>
          <cell r="C4090" t="str">
            <v>EA</v>
          </cell>
          <cell r="D4090" t="str">
            <v>MA100</v>
          </cell>
          <cell r="E4090">
            <v>13.91494</v>
          </cell>
          <cell r="G4090">
            <v>300408</v>
          </cell>
        </row>
        <row r="4091">
          <cell r="A4091">
            <v>300409</v>
          </cell>
          <cell r="B4091" t="str">
            <v>NUT,1/2-13HH,STL,ZN</v>
          </cell>
          <cell r="C4091" t="str">
            <v>EA</v>
          </cell>
          <cell r="D4091" t="str">
            <v>RM100</v>
          </cell>
          <cell r="E4091">
            <v>0.1668</v>
          </cell>
          <cell r="G4091">
            <v>300409</v>
          </cell>
        </row>
        <row r="4092">
          <cell r="A4092">
            <v>300410</v>
          </cell>
          <cell r="B4092" t="str">
            <v>NUT,1/2-13HH,BR,26.1/LB</v>
          </cell>
          <cell r="C4092" t="str">
            <v>EA</v>
          </cell>
          <cell r="D4092" t="str">
            <v>RM100</v>
          </cell>
          <cell r="E4092">
            <v>0.53</v>
          </cell>
          <cell r="G4092">
            <v>300410</v>
          </cell>
        </row>
        <row r="4093">
          <cell r="A4093">
            <v>300411</v>
          </cell>
          <cell r="B4093" t="str">
            <v>NUT,3/8-16,SS,18-8,NYL INSR LK,FN51,60/#</v>
          </cell>
          <cell r="C4093" t="str">
            <v>EA</v>
          </cell>
          <cell r="D4093" t="str">
            <v>RM100</v>
          </cell>
          <cell r="E4093">
            <v>0.104</v>
          </cell>
          <cell r="G4093">
            <v>300411</v>
          </cell>
        </row>
        <row r="4094">
          <cell r="A4094">
            <v>300414</v>
          </cell>
          <cell r="B4094" t="str">
            <v>SCR,#8(A)X1-1/2FH,PH,SS,NA,160/#</v>
          </cell>
          <cell r="C4094" t="str">
            <v>EA</v>
          </cell>
          <cell r="D4094" t="str">
            <v>RM100</v>
          </cell>
          <cell r="E4094">
            <v>4.2999999999999997E-2</v>
          </cell>
          <cell r="G4094">
            <v>300414</v>
          </cell>
        </row>
        <row r="4095">
          <cell r="A4095">
            <v>300417</v>
          </cell>
          <cell r="B4095" t="str">
            <v>NUT,1/4-20HH,SS,FN49 142/#</v>
          </cell>
          <cell r="C4095" t="str">
            <v>EA</v>
          </cell>
          <cell r="D4095" t="str">
            <v>RM100</v>
          </cell>
          <cell r="E4095">
            <v>4.2999999999999997E-2</v>
          </cell>
          <cell r="G4095">
            <v>300417</v>
          </cell>
        </row>
        <row r="4096">
          <cell r="A4096">
            <v>300420</v>
          </cell>
          <cell r="B4096" t="str">
            <v>SCR,#8X1PN FH,BR16,TY-A,204/#</v>
          </cell>
          <cell r="C4096" t="str">
            <v>EA</v>
          </cell>
          <cell r="D4096" t="str">
            <v>RM100</v>
          </cell>
          <cell r="E4096">
            <v>0.11600000000000001</v>
          </cell>
          <cell r="G4096">
            <v>300420</v>
          </cell>
        </row>
        <row r="4097">
          <cell r="A4097">
            <v>300421</v>
          </cell>
          <cell r="B4097" t="str">
            <v>SCR,#10X1-1/2PN,PH,SS 18-8(A),GR2</v>
          </cell>
          <cell r="C4097" t="str">
            <v>EA</v>
          </cell>
          <cell r="D4097" t="str">
            <v>RM100</v>
          </cell>
          <cell r="E4097">
            <v>9.0999999999999998E-2</v>
          </cell>
          <cell r="G4097">
            <v>300421</v>
          </cell>
        </row>
        <row r="4098">
          <cell r="A4098">
            <v>300422</v>
          </cell>
          <cell r="B4098" t="str">
            <v>SCR,#10-24X1FH,PH,SS,NA,FN17,146/#</v>
          </cell>
          <cell r="C4098" t="str">
            <v>EA</v>
          </cell>
          <cell r="D4098" t="str">
            <v>RM100</v>
          </cell>
          <cell r="E4098">
            <v>4.9799999999999997E-2</v>
          </cell>
          <cell r="G4098">
            <v>300422</v>
          </cell>
        </row>
        <row r="4099">
          <cell r="A4099">
            <v>300423</v>
          </cell>
          <cell r="B4099" t="str">
            <v>SCR,#4-40X1/4PN,SL,STL,ZN,MS</v>
          </cell>
          <cell r="C4099" t="str">
            <v>EA</v>
          </cell>
          <cell r="D4099" t="str">
            <v>RM100</v>
          </cell>
          <cell r="E4099">
            <v>1.4999999999999999E-2</v>
          </cell>
          <cell r="G4099">
            <v>300423</v>
          </cell>
        </row>
        <row r="4100">
          <cell r="A4100">
            <v>300424</v>
          </cell>
          <cell r="B4100" t="str">
            <v>SCR,1/4-20X2RH,PH,STL,ZN,</v>
          </cell>
          <cell r="C4100" t="str">
            <v>EA</v>
          </cell>
          <cell r="D4100" t="str">
            <v>RM100</v>
          </cell>
          <cell r="E4100">
            <v>8.8900000000000007E-2</v>
          </cell>
          <cell r="G4100">
            <v>300424</v>
          </cell>
        </row>
        <row r="4101">
          <cell r="A4101">
            <v>300426</v>
          </cell>
          <cell r="B4101" t="str">
            <v>SCR,#6-32x1/2PN,SL,STL,ZN,MS</v>
          </cell>
          <cell r="C4101" t="str">
            <v>EA</v>
          </cell>
          <cell r="D4101" t="str">
            <v>RM100</v>
          </cell>
          <cell r="E4101">
            <v>1.4999999999999999E-2</v>
          </cell>
          <cell r="G4101">
            <v>300426</v>
          </cell>
        </row>
        <row r="4102">
          <cell r="A4102">
            <v>300428</v>
          </cell>
          <cell r="B4102" t="str">
            <v>SCR,#8-32X1/2PN,PH, SS</v>
          </cell>
          <cell r="C4102" t="str">
            <v>EA</v>
          </cell>
          <cell r="D4102" t="str">
            <v>RM100</v>
          </cell>
          <cell r="E4102">
            <v>0.1366</v>
          </cell>
          <cell r="G4102">
            <v>300428</v>
          </cell>
        </row>
        <row r="4103">
          <cell r="A4103">
            <v>300439</v>
          </cell>
          <cell r="B4103" t="str">
            <v>SCR,5/16X1 HH LAG STL ZN SRIE</v>
          </cell>
          <cell r="C4103" t="str">
            <v>EA</v>
          </cell>
          <cell r="D4103" t="str">
            <v>RM100</v>
          </cell>
          <cell r="E4103">
            <v>0.1069</v>
          </cell>
          <cell r="G4103">
            <v>300439</v>
          </cell>
        </row>
        <row r="4104">
          <cell r="A4104">
            <v>300442</v>
          </cell>
          <cell r="B4104" t="str">
            <v>SCR,5/16X6,HH,STL,ZN,LAG,ST10,9.4/#</v>
          </cell>
          <cell r="C4104" t="str">
            <v>EA</v>
          </cell>
          <cell r="D4104" t="str">
            <v>RM100</v>
          </cell>
          <cell r="E4104">
            <v>0.28749999999999998</v>
          </cell>
          <cell r="G4104">
            <v>300442</v>
          </cell>
        </row>
        <row r="4105">
          <cell r="A4105">
            <v>300443</v>
          </cell>
          <cell r="B4105" t="str">
            <v>SCR,5/16x2 HH LAG STL ZN SRIE 27.5/#</v>
          </cell>
          <cell r="C4105" t="str">
            <v>EA</v>
          </cell>
          <cell r="D4105" t="str">
            <v>RM100</v>
          </cell>
          <cell r="E4105">
            <v>6.5000000000000002E-2</v>
          </cell>
          <cell r="G4105">
            <v>300443</v>
          </cell>
        </row>
        <row r="4106">
          <cell r="A4106">
            <v>300451</v>
          </cell>
          <cell r="B4106" t="str">
            <v>SCR,1/4-20X1-3/4 PN,PH,TYPE F</v>
          </cell>
          <cell r="C4106" t="str">
            <v>EA</v>
          </cell>
          <cell r="D4106" t="str">
            <v>RM100</v>
          </cell>
          <cell r="E4106">
            <v>0.06</v>
          </cell>
          <cell r="G4106">
            <v>300451</v>
          </cell>
        </row>
        <row r="4107">
          <cell r="A4107">
            <v>300452</v>
          </cell>
          <cell r="B4107" t="str">
            <v>SCR,1/4-20X3/4 FH,PH,TYPE F</v>
          </cell>
          <cell r="C4107" t="str">
            <v>EA</v>
          </cell>
          <cell r="D4107" t="str">
            <v>RM100</v>
          </cell>
          <cell r="E4107">
            <v>5.3999999999999999E-2</v>
          </cell>
          <cell r="G4107">
            <v>300452</v>
          </cell>
        </row>
        <row r="4108">
          <cell r="A4108">
            <v>300453</v>
          </cell>
          <cell r="B4108" t="str">
            <v>SCR,1/4-20X1-1/2 PN,PH,TYPE F</v>
          </cell>
          <cell r="C4108" t="str">
            <v>EA</v>
          </cell>
          <cell r="D4108" t="str">
            <v>RM100</v>
          </cell>
          <cell r="E4108">
            <v>0.14499999999999999</v>
          </cell>
          <cell r="G4108">
            <v>300453</v>
          </cell>
        </row>
        <row r="4109">
          <cell r="A4109">
            <v>300456</v>
          </cell>
          <cell r="B4109" t="str">
            <v>SCR,1/4-20X1-1/2PN,TX,CAMCAR TEXTRON*</v>
          </cell>
          <cell r="C4109" t="str">
            <v>EA</v>
          </cell>
          <cell r="D4109" t="str">
            <v>RM100</v>
          </cell>
          <cell r="E4109">
            <v>4.1000000000000002E-2</v>
          </cell>
          <cell r="G4109">
            <v>300456</v>
          </cell>
        </row>
        <row r="4110">
          <cell r="A4110">
            <v>300460</v>
          </cell>
          <cell r="B4110" t="str">
            <v>SCR,1/4-20X3/4PN,TX,CAMCAR TEXTN*</v>
          </cell>
          <cell r="C4110" t="str">
            <v>EA</v>
          </cell>
          <cell r="D4110" t="str">
            <v>RM100</v>
          </cell>
          <cell r="E4110">
            <v>3.7900000000000003E-2</v>
          </cell>
          <cell r="G4110">
            <v>300460</v>
          </cell>
        </row>
        <row r="4111">
          <cell r="A4111">
            <v>300464</v>
          </cell>
          <cell r="B4111" t="str">
            <v>BIT,SCREW,FH,T27,FOR:#300465*</v>
          </cell>
          <cell r="C4111" t="str">
            <v>EA</v>
          </cell>
          <cell r="D4111" t="str">
            <v>RM100</v>
          </cell>
          <cell r="E4111">
            <v>1.36</v>
          </cell>
          <cell r="G4111">
            <v>300464</v>
          </cell>
        </row>
        <row r="4112">
          <cell r="A4112">
            <v>300465</v>
          </cell>
          <cell r="B4112" t="str">
            <v>SCR,1/4-20X3/4FH,TX,SMALLER HEAD*</v>
          </cell>
          <cell r="C4112" t="str">
            <v>EA</v>
          </cell>
          <cell r="D4112" t="str">
            <v>RM100</v>
          </cell>
          <cell r="E4112">
            <v>3.2199999999999999E-2</v>
          </cell>
          <cell r="G4112">
            <v>300465</v>
          </cell>
        </row>
        <row r="4113">
          <cell r="A4113">
            <v>300490</v>
          </cell>
          <cell r="B4113" t="str">
            <v>NUT,T5/16-18X5/8STL,W/FLNG R561810TH3</v>
          </cell>
          <cell r="C4113" t="str">
            <v>EA</v>
          </cell>
          <cell r="D4113" t="str">
            <v>RM100</v>
          </cell>
          <cell r="E4113">
            <v>0.27</v>
          </cell>
          <cell r="G4113">
            <v>300490</v>
          </cell>
        </row>
        <row r="4114">
          <cell r="A4114">
            <v>300491</v>
          </cell>
          <cell r="B4114" t="str">
            <v>SCR,1/4-20 X 1 FH,PH,SS, 18/8</v>
          </cell>
          <cell r="C4114" t="str">
            <v>EA</v>
          </cell>
          <cell r="D4114" t="str">
            <v>RM100</v>
          </cell>
          <cell r="E4114">
            <v>0.12690000000000001</v>
          </cell>
          <cell r="G4114">
            <v>300491</v>
          </cell>
        </row>
        <row r="4115">
          <cell r="A4115">
            <v>300493</v>
          </cell>
          <cell r="B4115" t="str">
            <v>SCR,1/4-20 X 1-1/2 FH,PH,SS</v>
          </cell>
          <cell r="C4115" t="str">
            <v>EA</v>
          </cell>
          <cell r="D4115" t="str">
            <v>RM100</v>
          </cell>
          <cell r="E4115">
            <v>9.5000000000000001E-2</v>
          </cell>
          <cell r="G4115">
            <v>300493</v>
          </cell>
        </row>
        <row r="4116">
          <cell r="A4116">
            <v>300498</v>
          </cell>
          <cell r="B4116" t="str">
            <v>SCR,#10-32X3/8,SLT, RHBRMS,BR5 222</v>
          </cell>
          <cell r="C4116" t="str">
            <v>EA</v>
          </cell>
          <cell r="D4116" t="str">
            <v>RM100</v>
          </cell>
          <cell r="E4116">
            <v>0.1166</v>
          </cell>
          <cell r="G4116">
            <v>300498</v>
          </cell>
        </row>
        <row r="4117">
          <cell r="A4117">
            <v>300500</v>
          </cell>
          <cell r="B4117" t="str">
            <v>SCR,1/4-20X1/2 FH,PH,SS,18-8 FN18,MS</v>
          </cell>
          <cell r="C4117" t="str">
            <v>EA</v>
          </cell>
          <cell r="D4117" t="str">
            <v>RM100</v>
          </cell>
          <cell r="E4117">
            <v>5.9200000000000003E-2</v>
          </cell>
          <cell r="G4117">
            <v>300500</v>
          </cell>
        </row>
        <row r="4118">
          <cell r="A4118">
            <v>300501</v>
          </cell>
          <cell r="B4118" t="str">
            <v>ASSM,SCR,5/16X3-1/2 LAG W/WASHERS</v>
          </cell>
          <cell r="C4118" t="str">
            <v>EA</v>
          </cell>
          <cell r="D4118" t="str">
            <v>RM100</v>
          </cell>
          <cell r="E4118">
            <v>0.14829999999999999</v>
          </cell>
          <cell r="G4118">
            <v>300501</v>
          </cell>
        </row>
        <row r="4119">
          <cell r="A4119">
            <v>300506</v>
          </cell>
          <cell r="B4119" t="str">
            <v>SCR,5/16X3-1/2 HH LAG STL ZN (450/BX)*</v>
          </cell>
          <cell r="C4119" t="str">
            <v>EA</v>
          </cell>
          <cell r="D4119" t="str">
            <v>RM100</v>
          </cell>
          <cell r="E4119">
            <v>8.6900000000000005E-2</v>
          </cell>
          <cell r="G4119">
            <v>300506</v>
          </cell>
        </row>
        <row r="4120">
          <cell r="A4120">
            <v>300510</v>
          </cell>
          <cell r="B4120" t="str">
            <v>SCR,#8(A)X3/4 PN,PH,SS,NA 18-8 FN22 238</v>
          </cell>
          <cell r="C4120" t="str">
            <v>EA</v>
          </cell>
          <cell r="D4120" t="str">
            <v>MA100</v>
          </cell>
          <cell r="E4120">
            <v>6.6000000000000003E-2</v>
          </cell>
          <cell r="G4120">
            <v>300510</v>
          </cell>
        </row>
        <row r="4121">
          <cell r="A4121">
            <v>300511</v>
          </cell>
          <cell r="B4121" t="str">
            <v>SCR,#8X3/4,FH,PH,STL,ZN</v>
          </cell>
          <cell r="C4121" t="str">
            <v>EA</v>
          </cell>
          <cell r="D4121" t="str">
            <v>RM100</v>
          </cell>
          <cell r="E4121">
            <v>0.02</v>
          </cell>
          <cell r="G4121">
            <v>300511</v>
          </cell>
        </row>
        <row r="4122">
          <cell r="A4122">
            <v>300513</v>
          </cell>
          <cell r="B4122" t="str">
            <v>SCR,#8X1RH,PH,STL,ZN</v>
          </cell>
          <cell r="C4122" t="str">
            <v>EA</v>
          </cell>
          <cell r="D4122" t="str">
            <v>RM100</v>
          </cell>
          <cell r="E4122">
            <v>3.1600000000000003E-2</v>
          </cell>
          <cell r="G4122">
            <v>300513</v>
          </cell>
        </row>
        <row r="4123">
          <cell r="A4123">
            <v>300514</v>
          </cell>
          <cell r="B4123" t="str">
            <v>SCR,5/16X4 HH LAG SS 18-8 13.7</v>
          </cell>
          <cell r="C4123" t="str">
            <v>EA</v>
          </cell>
          <cell r="D4123" t="str">
            <v>RM100</v>
          </cell>
          <cell r="E4123">
            <v>0.4194</v>
          </cell>
          <cell r="G4123">
            <v>300514</v>
          </cell>
        </row>
        <row r="4124">
          <cell r="A4124">
            <v>300515</v>
          </cell>
          <cell r="B4124" t="str">
            <v>SCR,#10-24X1-1/2,PH,PN,SS 18-8</v>
          </cell>
          <cell r="C4124" t="str">
            <v>EA</v>
          </cell>
          <cell r="D4124" t="str">
            <v>RM100</v>
          </cell>
          <cell r="E4124">
            <v>5.2999999999999999E-2</v>
          </cell>
          <cell r="G4124">
            <v>300515</v>
          </cell>
        </row>
        <row r="4125">
          <cell r="A4125">
            <v>300516</v>
          </cell>
          <cell r="B4125" t="str">
            <v>SCR,5/16X3-1/2 HH LAG SS 18-8</v>
          </cell>
          <cell r="C4125" t="str">
            <v>EA</v>
          </cell>
          <cell r="D4125" t="str">
            <v>RM100</v>
          </cell>
          <cell r="E4125">
            <v>0.6</v>
          </cell>
          <cell r="G4125">
            <v>300516</v>
          </cell>
        </row>
        <row r="4126">
          <cell r="A4126">
            <v>300518</v>
          </cell>
          <cell r="B4126" t="str">
            <v>SCR,#10x1-3/4FH,PH,STL,ZN</v>
          </cell>
          <cell r="C4126" t="str">
            <v>EA</v>
          </cell>
          <cell r="D4126" t="str">
            <v>RM100</v>
          </cell>
          <cell r="E4126">
            <v>1.9199999999999998E-2</v>
          </cell>
          <cell r="G4126">
            <v>300518</v>
          </cell>
        </row>
        <row r="4127">
          <cell r="A4127">
            <v>300519</v>
          </cell>
          <cell r="B4127" t="str">
            <v>NUT,3/8-16HH,SS,18-8,FN51</v>
          </cell>
          <cell r="C4127" t="str">
            <v>EA</v>
          </cell>
          <cell r="D4127" t="str">
            <v>RM100</v>
          </cell>
          <cell r="E4127">
            <v>6.0999999999999999E-2</v>
          </cell>
          <cell r="G4127">
            <v>300519</v>
          </cell>
        </row>
        <row r="4128">
          <cell r="A4128">
            <v>300520</v>
          </cell>
          <cell r="B4128" t="str">
            <v>SCR,#12X1FH PH BR NA WD</v>
          </cell>
          <cell r="C4128" t="str">
            <v>EA</v>
          </cell>
          <cell r="D4128" t="str">
            <v>RM100</v>
          </cell>
          <cell r="E4128">
            <v>0.14849999999999999</v>
          </cell>
          <cell r="G4128">
            <v>300520</v>
          </cell>
        </row>
        <row r="4129">
          <cell r="A4129">
            <v>300521</v>
          </cell>
          <cell r="B4129" t="str">
            <v>SCR,#12X1PH,PH,SS</v>
          </cell>
          <cell r="C4129" t="str">
            <v>EA</v>
          </cell>
          <cell r="D4129" t="str">
            <v>RM100</v>
          </cell>
          <cell r="E4129">
            <v>0.1474</v>
          </cell>
          <cell r="G4129">
            <v>300521</v>
          </cell>
        </row>
        <row r="4130">
          <cell r="A4130">
            <v>300524</v>
          </cell>
          <cell r="B4130" t="str">
            <v>SCR,#14X1-1/4HW,HX,STL,ZN</v>
          </cell>
          <cell r="C4130" t="str">
            <v>EA</v>
          </cell>
          <cell r="D4130" t="str">
            <v>RM100</v>
          </cell>
          <cell r="E4130">
            <v>3.3000000000000002E-2</v>
          </cell>
          <cell r="G4130">
            <v>300524</v>
          </cell>
        </row>
        <row r="4131">
          <cell r="A4131">
            <v>300526</v>
          </cell>
          <cell r="B4131" t="str">
            <v>SCR,#14X1-3/4FH,PH,STL,ZN,WOOD</v>
          </cell>
          <cell r="C4131" t="str">
            <v>EA</v>
          </cell>
          <cell r="D4131" t="str">
            <v>RM100</v>
          </cell>
          <cell r="E4131">
            <v>0.16</v>
          </cell>
          <cell r="G4131">
            <v>300526</v>
          </cell>
        </row>
        <row r="4132">
          <cell r="A4132">
            <v>300529</v>
          </cell>
          <cell r="B4132" t="str">
            <v>SCR,#14X2FH,PH,STL,ZN</v>
          </cell>
          <cell r="C4132" t="str">
            <v>EA</v>
          </cell>
          <cell r="D4132" t="str">
            <v>RM100</v>
          </cell>
          <cell r="E4132">
            <v>3.5000000000000003E-2</v>
          </cell>
          <cell r="G4132">
            <v>300529</v>
          </cell>
        </row>
        <row r="4133">
          <cell r="A4133">
            <v>300531</v>
          </cell>
          <cell r="B4133" t="str">
            <v>SCR,#14x3/4HW,HX,STL,ZN,RECESS WSHR</v>
          </cell>
          <cell r="C4133" t="str">
            <v>EA</v>
          </cell>
          <cell r="D4133" t="str">
            <v>RM100</v>
          </cell>
          <cell r="E4133">
            <v>4.2599999999999999E-2</v>
          </cell>
          <cell r="G4133">
            <v>300531</v>
          </cell>
        </row>
        <row r="4134">
          <cell r="A4134">
            <v>300532</v>
          </cell>
          <cell r="B4134" t="str">
            <v>SCR,#14X1-1/2FH,PH,SS,NA,18-8</v>
          </cell>
          <cell r="C4134" t="str">
            <v>EA</v>
          </cell>
          <cell r="D4134" t="str">
            <v>RM100</v>
          </cell>
          <cell r="E4134">
            <v>0.22339999999999999</v>
          </cell>
          <cell r="G4134">
            <v>300532</v>
          </cell>
        </row>
        <row r="4135">
          <cell r="A4135">
            <v>300535</v>
          </cell>
          <cell r="B4135" t="str">
            <v>SCR,#12X1-1/4FH,PH,STL,ZN</v>
          </cell>
          <cell r="C4135" t="str">
            <v>EA</v>
          </cell>
          <cell r="D4135" t="str">
            <v>RM100</v>
          </cell>
          <cell r="E4135">
            <v>9.6299999999999997E-2</v>
          </cell>
          <cell r="G4135">
            <v>300535</v>
          </cell>
        </row>
        <row r="4136">
          <cell r="A4136">
            <v>300536</v>
          </cell>
          <cell r="B4136" t="str">
            <v>SCR,#12X1FH,PH,STL,ZN,WOOD</v>
          </cell>
          <cell r="C4136" t="str">
            <v>EA</v>
          </cell>
          <cell r="D4136" t="str">
            <v>RM100</v>
          </cell>
          <cell r="E4136">
            <v>8.5300000000000001E-2</v>
          </cell>
          <cell r="G4136">
            <v>300536</v>
          </cell>
        </row>
        <row r="4137">
          <cell r="A4137">
            <v>300538</v>
          </cell>
          <cell r="B4137" t="str">
            <v>SCR,#8X3/4FH,PH,SS,NA,FN21</v>
          </cell>
          <cell r="C4137" t="str">
            <v>EA</v>
          </cell>
          <cell r="D4137" t="str">
            <v>RM100</v>
          </cell>
          <cell r="E4137">
            <v>5.7299999999999997E-2</v>
          </cell>
          <cell r="G4137">
            <v>300538</v>
          </cell>
        </row>
        <row r="4138">
          <cell r="A4138">
            <v>300539</v>
          </cell>
          <cell r="B4138" t="str">
            <v>SCR,#8X5/8FH,PH,SS,NA,FN21</v>
          </cell>
          <cell r="C4138" t="str">
            <v>EA</v>
          </cell>
          <cell r="D4138" t="str">
            <v>RM100</v>
          </cell>
          <cell r="E4138">
            <v>4.4200000000000003E-2</v>
          </cell>
          <cell r="G4138">
            <v>300539</v>
          </cell>
        </row>
        <row r="4139">
          <cell r="A4139">
            <v>300543</v>
          </cell>
          <cell r="B4139" t="str">
            <v>SCR,#12AX1-1/2,FH,PH,SS,NA,SS,18-8,85/#</v>
          </cell>
          <cell r="C4139" t="str">
            <v>EA</v>
          </cell>
          <cell r="D4139" t="str">
            <v>RM100</v>
          </cell>
          <cell r="E4139">
            <v>8.14E-2</v>
          </cell>
          <cell r="G4139">
            <v>300543</v>
          </cell>
        </row>
        <row r="4140">
          <cell r="A4140">
            <v>300544</v>
          </cell>
          <cell r="B4140" t="str">
            <v>SCR,#6X3/4,HH,WH,STL,ZN</v>
          </cell>
          <cell r="C4140" t="str">
            <v>EA</v>
          </cell>
          <cell r="D4140" t="str">
            <v>RM100</v>
          </cell>
          <cell r="E4140">
            <v>1.4999999999999999E-2</v>
          </cell>
          <cell r="G4140">
            <v>300544</v>
          </cell>
        </row>
        <row r="4141">
          <cell r="A4141">
            <v>300548</v>
          </cell>
          <cell r="B4141" t="str">
            <v>SCR,#8AX1,PN,PH,SS,NA,FN21,197/#</v>
          </cell>
          <cell r="C4141" t="str">
            <v>EA</v>
          </cell>
          <cell r="D4141" t="str">
            <v>RM100</v>
          </cell>
          <cell r="E4141">
            <v>2.1000000000000001E-2</v>
          </cell>
          <cell r="G4141">
            <v>300548</v>
          </cell>
        </row>
        <row r="4142">
          <cell r="A4142">
            <v>300552</v>
          </cell>
          <cell r="B4142" t="str">
            <v>SCR,#10X1-3/4,FH,PH,SS,A,107/#</v>
          </cell>
          <cell r="C4142" t="str">
            <v>EA</v>
          </cell>
          <cell r="D4142" t="str">
            <v>RM100</v>
          </cell>
          <cell r="E4142">
            <v>0.10589999999999999</v>
          </cell>
          <cell r="G4142">
            <v>300552</v>
          </cell>
        </row>
        <row r="4143">
          <cell r="A4143">
            <v>300555</v>
          </cell>
          <cell r="B4143" t="str">
            <v>SCR,#12AX1,PN,PH,STL,ZN</v>
          </cell>
          <cell r="C4143" t="str">
            <v>EA</v>
          </cell>
          <cell r="D4143" t="str">
            <v>RM100</v>
          </cell>
          <cell r="E4143">
            <v>1.4999999999999999E-2</v>
          </cell>
          <cell r="G4143">
            <v>300555</v>
          </cell>
        </row>
        <row r="4144">
          <cell r="A4144">
            <v>300556</v>
          </cell>
          <cell r="B4144" t="str">
            <v>SCR,#8X2-1/2,FH,PH,BUG DWS CRS BLK*</v>
          </cell>
          <cell r="C4144" t="str">
            <v>EA</v>
          </cell>
          <cell r="D4144" t="str">
            <v>RM100</v>
          </cell>
          <cell r="E4144">
            <v>1.5599999999999999E-2</v>
          </cell>
          <cell r="G4144">
            <v>300556</v>
          </cell>
        </row>
        <row r="4145">
          <cell r="A4145">
            <v>300558</v>
          </cell>
          <cell r="B4145" t="str">
            <v>SCR,#12AX1-1/2,PH,PH,STL,ZN</v>
          </cell>
          <cell r="C4145" t="str">
            <v>EA</v>
          </cell>
          <cell r="D4145" t="str">
            <v>RM100</v>
          </cell>
          <cell r="E4145">
            <v>4.2000000000000003E-2</v>
          </cell>
          <cell r="G4145">
            <v>300558</v>
          </cell>
        </row>
        <row r="4146">
          <cell r="A4146">
            <v>300559</v>
          </cell>
          <cell r="B4146" t="str">
            <v>SCR,#12AX7/8,PH,PH,STL,ZN</v>
          </cell>
          <cell r="C4146" t="str">
            <v>EA</v>
          </cell>
          <cell r="D4146" t="str">
            <v>RM100</v>
          </cell>
          <cell r="E4146">
            <v>5.6000000000000001E-2</v>
          </cell>
          <cell r="G4146">
            <v>300559</v>
          </cell>
        </row>
        <row r="4147">
          <cell r="A4147">
            <v>300560</v>
          </cell>
          <cell r="B4147" t="str">
            <v>SCR,#12X1-3/4,FH PH STL ZN 77/#</v>
          </cell>
          <cell r="C4147" t="str">
            <v>EA</v>
          </cell>
          <cell r="D4147" t="str">
            <v>RM100</v>
          </cell>
          <cell r="E4147">
            <v>9.6600000000000005E-2</v>
          </cell>
          <cell r="G4147">
            <v>300560</v>
          </cell>
        </row>
        <row r="4148">
          <cell r="A4148">
            <v>300563</v>
          </cell>
          <cell r="B4148" t="str">
            <v>SCR,#10-24x3/4,FH,PH,SS,MS,18-8</v>
          </cell>
          <cell r="C4148" t="str">
            <v>EA</v>
          </cell>
          <cell r="D4148" t="str">
            <v>RM100</v>
          </cell>
          <cell r="E4148">
            <v>3.5200000000000002E-2</v>
          </cell>
          <cell r="G4148">
            <v>300563</v>
          </cell>
        </row>
        <row r="4149">
          <cell r="A4149">
            <v>300564</v>
          </cell>
          <cell r="B4149" t="str">
            <v>SCR,#12-24x3/4,FH,PH,SS,MS,18-8,SRIE*</v>
          </cell>
          <cell r="C4149" t="str">
            <v>EA</v>
          </cell>
          <cell r="D4149" t="str">
            <v>RM100</v>
          </cell>
          <cell r="E4149">
            <v>0.04</v>
          </cell>
          <cell r="G4149">
            <v>300564</v>
          </cell>
        </row>
        <row r="4150">
          <cell r="A4150">
            <v>300565</v>
          </cell>
          <cell r="B4150" t="str">
            <v>SCR,#10-24x1/2,FH,PH,18-8 SS,NA,240/#</v>
          </cell>
          <cell r="C4150" t="str">
            <v>EA</v>
          </cell>
          <cell r="D4150" t="str">
            <v>RM100</v>
          </cell>
          <cell r="E4150">
            <v>2.3199999999999998E-2</v>
          </cell>
          <cell r="G4150">
            <v>300565</v>
          </cell>
        </row>
        <row r="4151">
          <cell r="A4151">
            <v>300605</v>
          </cell>
          <cell r="B4151" t="str">
            <v>SCR,#6AX1/2,PN,PH,SS,18-8,SRID-B*</v>
          </cell>
          <cell r="C4151" t="str">
            <v>EA</v>
          </cell>
          <cell r="D4151" t="str">
            <v>RM100</v>
          </cell>
          <cell r="E4151">
            <v>3.2099999999999997E-2</v>
          </cell>
          <cell r="G4151">
            <v>300605</v>
          </cell>
        </row>
        <row r="4152">
          <cell r="A4152">
            <v>300606</v>
          </cell>
          <cell r="B4152" t="str">
            <v>SCR,1/4-20X5/8,PN,PH,STL,ZN,MS,</v>
          </cell>
          <cell r="C4152" t="str">
            <v>EA</v>
          </cell>
          <cell r="D4152" t="str">
            <v>RM100</v>
          </cell>
          <cell r="E4152">
            <v>3.8899999999999997E-2</v>
          </cell>
          <cell r="G4152">
            <v>300606</v>
          </cell>
        </row>
        <row r="4153">
          <cell r="A4153">
            <v>300609</v>
          </cell>
          <cell r="B4153" t="str">
            <v>SCR,#8AX1/2,FH,PH,SS,NA</v>
          </cell>
          <cell r="C4153" t="str">
            <v>EA</v>
          </cell>
          <cell r="D4153" t="str">
            <v>RM100</v>
          </cell>
          <cell r="E4153">
            <v>8.6599999999999996E-2</v>
          </cell>
          <cell r="G4153">
            <v>300609</v>
          </cell>
        </row>
        <row r="4154">
          <cell r="A4154">
            <v>300612</v>
          </cell>
          <cell r="B4154" t="str">
            <v>SCR,SHLD BOLT, 1/4-20X3/4" MCM91327A139</v>
          </cell>
          <cell r="C4154" t="str">
            <v>EA</v>
          </cell>
          <cell r="D4154" t="str">
            <v>RM100</v>
          </cell>
          <cell r="E4154">
            <v>3.64</v>
          </cell>
          <cell r="G4154">
            <v>300612</v>
          </cell>
        </row>
        <row r="4155">
          <cell r="A4155">
            <v>300613</v>
          </cell>
          <cell r="B4155" t="str">
            <v>SCR, 6-32X3", SH SS,MCM91772A163 PK 50 q</v>
          </cell>
          <cell r="C4155" t="str">
            <v>EA</v>
          </cell>
          <cell r="D4155" t="str">
            <v>RM100</v>
          </cell>
          <cell r="E4155">
            <v>0.1106</v>
          </cell>
          <cell r="G4155">
            <v>300613</v>
          </cell>
        </row>
        <row r="4156">
          <cell r="A4156">
            <v>300793</v>
          </cell>
          <cell r="B4156" t="str">
            <v>L/WSHR,3/8MED SPLT,STL,ZN,ST67</v>
          </cell>
          <cell r="C4156" t="str">
            <v>EA</v>
          </cell>
          <cell r="D4156" t="str">
            <v>RM100</v>
          </cell>
          <cell r="E4156">
            <v>1.2699999999999999E-2</v>
          </cell>
          <cell r="G4156">
            <v>300793</v>
          </cell>
        </row>
        <row r="4157">
          <cell r="A4157">
            <v>300796</v>
          </cell>
          <cell r="B4157" t="str">
            <v>L/WSHR, #6, INT TOOTH</v>
          </cell>
          <cell r="C4157" t="str">
            <v>EA</v>
          </cell>
          <cell r="D4157" t="str">
            <v>RM100</v>
          </cell>
          <cell r="E4157">
            <v>2.75E-2</v>
          </cell>
          <cell r="G4157">
            <v>300796</v>
          </cell>
        </row>
        <row r="4158">
          <cell r="A4158">
            <v>300798</v>
          </cell>
          <cell r="B4158" t="str">
            <v>L/WSHR,5/16 MED SPLT,SS,18-8,270/#</v>
          </cell>
          <cell r="C4158" t="str">
            <v>EA</v>
          </cell>
          <cell r="D4158" t="str">
            <v>RM100</v>
          </cell>
          <cell r="E4158">
            <v>6.6500000000000004E-2</v>
          </cell>
          <cell r="G4158">
            <v>300798</v>
          </cell>
        </row>
        <row r="4159">
          <cell r="A4159">
            <v>300800</v>
          </cell>
          <cell r="B4159" t="str">
            <v>L/WSHR,5/16 SPLT,STL,ZN,45/#</v>
          </cell>
          <cell r="C4159" t="str">
            <v>EA</v>
          </cell>
          <cell r="D4159" t="str">
            <v>RM100</v>
          </cell>
          <cell r="E4159">
            <v>8.3000000000000001E-3</v>
          </cell>
          <cell r="G4159">
            <v>300800</v>
          </cell>
        </row>
        <row r="4160">
          <cell r="A4160">
            <v>300801</v>
          </cell>
          <cell r="B4160" t="str">
            <v>WSHR, LCK,1/4 MED SPLT,STL,ZN,ST65,400/#</v>
          </cell>
          <cell r="C4160" t="str">
            <v>EA</v>
          </cell>
          <cell r="D4160" t="str">
            <v>RM100</v>
          </cell>
          <cell r="E4160">
            <v>8.3999999999999995E-3</v>
          </cell>
          <cell r="G4160">
            <v>300801</v>
          </cell>
        </row>
        <row r="4161">
          <cell r="A4161">
            <v>300802</v>
          </cell>
          <cell r="B4161" t="str">
            <v>L/WSHR, #10, EXT TOOTH, SS</v>
          </cell>
          <cell r="C4161" t="str">
            <v>EA</v>
          </cell>
          <cell r="D4161" t="str">
            <v>RM100</v>
          </cell>
          <cell r="E4161">
            <v>2.0199999999999999E-2</v>
          </cell>
          <cell r="G4161">
            <v>300802</v>
          </cell>
        </row>
        <row r="4162">
          <cell r="A4162">
            <v>300803</v>
          </cell>
          <cell r="B4162" t="str">
            <v>L/WSHR, 1/4", EXT TOOTH, SS</v>
          </cell>
          <cell r="C4162" t="str">
            <v>EA</v>
          </cell>
          <cell r="D4162" t="str">
            <v>RM100</v>
          </cell>
          <cell r="E4162">
            <v>3.8800000000000001E-2</v>
          </cell>
          <cell r="G4162">
            <v>300803</v>
          </cell>
        </row>
        <row r="4163">
          <cell r="A4163">
            <v>300804</v>
          </cell>
          <cell r="B4163" t="str">
            <v>L/WSHR,5/16,EXT TOOTH,SS</v>
          </cell>
          <cell r="C4163" t="str">
            <v>EA</v>
          </cell>
          <cell r="D4163" t="str">
            <v>RM100</v>
          </cell>
          <cell r="E4163">
            <v>7.4999999999999997E-2</v>
          </cell>
          <cell r="G4163">
            <v>300804</v>
          </cell>
        </row>
        <row r="4164">
          <cell r="A4164">
            <v>300805</v>
          </cell>
          <cell r="B4164" t="str">
            <v>WSHR,1/2 STD FLT,STL,ZN,ST69,36/#</v>
          </cell>
          <cell r="C4164" t="str">
            <v>EA</v>
          </cell>
          <cell r="D4164" t="str">
            <v>RM100</v>
          </cell>
          <cell r="E4164">
            <v>0.12429999999999999</v>
          </cell>
          <cell r="G4164">
            <v>300805</v>
          </cell>
        </row>
        <row r="4165">
          <cell r="A4165">
            <v>300806</v>
          </cell>
          <cell r="B4165" t="str">
            <v>WSHR,3/8 .437X1X.074,SS,18-8,92/#</v>
          </cell>
          <cell r="C4165" t="str">
            <v>EA</v>
          </cell>
          <cell r="D4165" t="str">
            <v>RM100</v>
          </cell>
          <cell r="E4165">
            <v>0.13750000000000001</v>
          </cell>
          <cell r="G4165">
            <v>300806</v>
          </cell>
        </row>
        <row r="4166">
          <cell r="A4166">
            <v>300807</v>
          </cell>
          <cell r="B4166" t="str">
            <v>WSHR,(5/16).342x1"ODx.093TK,SS,18-8,56/#</v>
          </cell>
          <cell r="C4166" t="str">
            <v>EA</v>
          </cell>
          <cell r="D4166" t="str">
            <v>RM100</v>
          </cell>
          <cell r="E4166">
            <v>0.1158</v>
          </cell>
          <cell r="G4166">
            <v>300807</v>
          </cell>
        </row>
        <row r="4167">
          <cell r="A4167">
            <v>300809</v>
          </cell>
          <cell r="B4167" t="str">
            <v>WSHR,1/2STD.10X.57X1.8 FL,BR,BR11,27.2/#</v>
          </cell>
          <cell r="C4167" t="str">
            <v>EA</v>
          </cell>
          <cell r="D4167" t="str">
            <v>RM100</v>
          </cell>
          <cell r="E4167">
            <v>0.4</v>
          </cell>
          <cell r="G4167">
            <v>300809</v>
          </cell>
        </row>
        <row r="4168">
          <cell r="A4168">
            <v>300810</v>
          </cell>
          <cell r="B4168" t="str">
            <v>WSHR,1/4IDX.560ODX.040TH,FL,BR,BR10*</v>
          </cell>
          <cell r="C4168" t="str">
            <v>EA</v>
          </cell>
          <cell r="D4168" t="str">
            <v>RM100</v>
          </cell>
          <cell r="E4168">
            <v>3.7400000000000003E-2</v>
          </cell>
          <cell r="G4168">
            <v>300810</v>
          </cell>
        </row>
        <row r="4169">
          <cell r="A4169">
            <v>300812</v>
          </cell>
          <cell r="B4169" t="str">
            <v>WSHR,#8 .535OD CNTRSNK FNSHING BR FN37*</v>
          </cell>
          <cell r="C4169" t="str">
            <v>EA</v>
          </cell>
          <cell r="D4169" t="str">
            <v>RM100</v>
          </cell>
          <cell r="E4169">
            <v>0.05</v>
          </cell>
          <cell r="G4169">
            <v>300812</v>
          </cell>
        </row>
        <row r="4170">
          <cell r="A4170">
            <v>300813</v>
          </cell>
          <cell r="B4170" t="str">
            <v>L/WSHR, 1/4", CSNK EXT TOOTH, SS</v>
          </cell>
          <cell r="C4170" t="str">
            <v>EA</v>
          </cell>
          <cell r="D4170" t="str">
            <v>RM100</v>
          </cell>
          <cell r="E4170">
            <v>0.2636</v>
          </cell>
          <cell r="G4170">
            <v>300813</v>
          </cell>
        </row>
        <row r="4171">
          <cell r="A4171">
            <v>300815</v>
          </cell>
          <cell r="B4171" t="str">
            <v>WSHR,5/16 NOMx.69ODx.093TK,SS,18-8,SS*</v>
          </cell>
          <cell r="C4171" t="str">
            <v>EA</v>
          </cell>
          <cell r="D4171" t="str">
            <v>RM100</v>
          </cell>
          <cell r="E4171">
            <v>0.1</v>
          </cell>
          <cell r="G4171">
            <v>300815</v>
          </cell>
        </row>
        <row r="4172">
          <cell r="A4172">
            <v>300822</v>
          </cell>
          <cell r="B4172" t="str">
            <v>WSHR,1/4,.281IDx1ODx.119,STL,ST66*</v>
          </cell>
          <cell r="C4172" t="str">
            <v>EA</v>
          </cell>
          <cell r="D4172" t="str">
            <v>RM100</v>
          </cell>
          <cell r="E4172">
            <v>0.08</v>
          </cell>
          <cell r="G4172">
            <v>300822</v>
          </cell>
        </row>
        <row r="4173">
          <cell r="A4173">
            <v>300827</v>
          </cell>
          <cell r="B4173" t="str">
            <v>WSHR,5/16,.341IDx1.125ODx.093,STL,ZN*</v>
          </cell>
          <cell r="C4173" t="str">
            <v>EA</v>
          </cell>
          <cell r="D4173" t="str">
            <v>RM100</v>
          </cell>
          <cell r="E4173">
            <v>3.2099999999999997E-2</v>
          </cell>
          <cell r="G4173">
            <v>300827</v>
          </cell>
        </row>
        <row r="4174">
          <cell r="A4174">
            <v>300828</v>
          </cell>
          <cell r="B4174" t="str">
            <v>WSHR,.281X5/8ODX.050,SS,6/MRI,11DR/J*</v>
          </cell>
          <cell r="C4174" t="str">
            <v>EA</v>
          </cell>
          <cell r="D4174" t="str">
            <v>RM100</v>
          </cell>
          <cell r="E4174">
            <v>1.6500000000000001E-2</v>
          </cell>
          <cell r="G4174">
            <v>300828</v>
          </cell>
        </row>
        <row r="4175">
          <cell r="A4175">
            <v>300837</v>
          </cell>
          <cell r="B4175" t="str">
            <v>WSHR,#10,FL,STL,ZN,*</v>
          </cell>
          <cell r="C4175" t="str">
            <v>EA</v>
          </cell>
          <cell r="D4175" t="str">
            <v>RM100</v>
          </cell>
          <cell r="E4175">
            <v>9.4999999999999998E-3</v>
          </cell>
          <cell r="G4175">
            <v>300837</v>
          </cell>
        </row>
        <row r="4176">
          <cell r="A4176">
            <v>300838</v>
          </cell>
          <cell r="B4176" t="str">
            <v>WSHR,#8,FLAT,.4380Dx.188IDx.047 ,SS,18-8</v>
          </cell>
          <cell r="C4176" t="str">
            <v>EA</v>
          </cell>
          <cell r="D4176" t="str">
            <v>RM100</v>
          </cell>
          <cell r="E4176">
            <v>2.63E-2</v>
          </cell>
          <cell r="G4176">
            <v>300838</v>
          </cell>
        </row>
        <row r="4177">
          <cell r="A4177">
            <v>300897</v>
          </cell>
          <cell r="B4177" t="str">
            <v>ANCH,CARTRGD ADH,HILTI#HY150*</v>
          </cell>
          <cell r="C4177" t="str">
            <v>EA</v>
          </cell>
          <cell r="D4177" t="str">
            <v>RM100</v>
          </cell>
          <cell r="E4177">
            <v>37.75</v>
          </cell>
          <cell r="G4177">
            <v>300897</v>
          </cell>
        </row>
        <row r="4178">
          <cell r="A4178">
            <v>300899</v>
          </cell>
          <cell r="B4178" t="str">
            <v>ROD,THRD,5/16-18x72,STL,ZN,AB3</v>
          </cell>
          <cell r="C4178" t="str">
            <v>FT</v>
          </cell>
          <cell r="D4178" t="str">
            <v>MA100</v>
          </cell>
          <cell r="E4178">
            <v>0.40500000000000003</v>
          </cell>
          <cell r="G4178">
            <v>300899</v>
          </cell>
        </row>
        <row r="4179">
          <cell r="A4179">
            <v>300904</v>
          </cell>
          <cell r="B4179" t="str">
            <v>STPLE,3/8ST,5012-LIQUOR COATED,5K/BOX*</v>
          </cell>
          <cell r="C4179" t="str">
            <v>EA</v>
          </cell>
          <cell r="D4179" t="str">
            <v>RM100</v>
          </cell>
          <cell r="E4179">
            <v>8.2200000000000006</v>
          </cell>
          <cell r="G4179">
            <v>300904</v>
          </cell>
        </row>
        <row r="4180">
          <cell r="A4180">
            <v>300907</v>
          </cell>
          <cell r="B4180" t="str">
            <v>STUD,1/2-13xFT, BR, FULL THRD.</v>
          </cell>
          <cell r="C4180" t="str">
            <v>FT</v>
          </cell>
          <cell r="D4180" t="str">
            <v>RM100</v>
          </cell>
          <cell r="E4180">
            <v>7.5193300000000001</v>
          </cell>
          <cell r="G4180">
            <v>300907</v>
          </cell>
        </row>
        <row r="4181">
          <cell r="A4181">
            <v>300908</v>
          </cell>
          <cell r="B4181" t="str">
            <v>STUD,1/2-13x5 BR,CMFR END FULL THRD.*</v>
          </cell>
          <cell r="C4181" t="str">
            <v>EA</v>
          </cell>
          <cell r="D4181" t="str">
            <v>MA100</v>
          </cell>
          <cell r="E4181">
            <v>8.0267199999999992</v>
          </cell>
          <cell r="G4181">
            <v>300908</v>
          </cell>
        </row>
        <row r="4182">
          <cell r="A4182">
            <v>300914</v>
          </cell>
          <cell r="B4182" t="str">
            <v>ROD,THRD1/4-20XFT,STL,ZN</v>
          </cell>
          <cell r="C4182" t="str">
            <v>FT</v>
          </cell>
          <cell r="D4182" t="str">
            <v>RM100</v>
          </cell>
          <cell r="E4182">
            <v>0.45083000000000001</v>
          </cell>
          <cell r="G4182">
            <v>300914</v>
          </cell>
        </row>
        <row r="4183">
          <cell r="A4183">
            <v>300917</v>
          </cell>
          <cell r="B4183" t="str">
            <v>ROD,THRD3/8-16XFT,SS(18-8 9884),A031</v>
          </cell>
          <cell r="C4183" t="str">
            <v>FT</v>
          </cell>
          <cell r="D4183" t="str">
            <v>RM100</v>
          </cell>
          <cell r="E4183">
            <v>1.21</v>
          </cell>
          <cell r="G4183">
            <v>300917</v>
          </cell>
        </row>
        <row r="4184">
          <cell r="A4184">
            <v>300924</v>
          </cell>
          <cell r="B4184" t="str">
            <v>SCR,#6-32X1-1/4SH,HX,STL,ZN</v>
          </cell>
          <cell r="C4184" t="str">
            <v>EA</v>
          </cell>
          <cell r="D4184" t="str">
            <v>RM100</v>
          </cell>
          <cell r="E4184">
            <v>7.4499999999999997E-2</v>
          </cell>
          <cell r="G4184">
            <v>300924</v>
          </cell>
        </row>
        <row r="4185">
          <cell r="A4185">
            <v>300926</v>
          </cell>
          <cell r="B4185" t="str">
            <v>WSHR,FLAT,1/2 NOM X 1.375 O.D. STL</v>
          </cell>
          <cell r="C4185" t="str">
            <v>EA</v>
          </cell>
          <cell r="D4185" t="str">
            <v>RM100</v>
          </cell>
          <cell r="E4185">
            <v>2.8000000000000001E-2</v>
          </cell>
          <cell r="G4185">
            <v>300926</v>
          </cell>
        </row>
        <row r="4186">
          <cell r="A4186">
            <v>300933</v>
          </cell>
          <cell r="B4186" t="str">
            <v>WSHR,3/8 FLAT,SAE GR8,PLT</v>
          </cell>
          <cell r="C4186" t="str">
            <v>EA</v>
          </cell>
          <cell r="D4186" t="str">
            <v>RM100</v>
          </cell>
          <cell r="E4186">
            <v>6.5299999999999997E-2</v>
          </cell>
          <cell r="G4186">
            <v>300933</v>
          </cell>
        </row>
        <row r="4187">
          <cell r="A4187">
            <v>300956</v>
          </cell>
          <cell r="B4187" t="str">
            <v>BOLT,M5-0.8X25mm,HXT,SS,18-8,PASSIVAT*</v>
          </cell>
          <cell r="C4187" t="str">
            <v>EA</v>
          </cell>
          <cell r="D4187" t="str">
            <v>RM100</v>
          </cell>
          <cell r="E4187">
            <v>0.12089999999999999</v>
          </cell>
          <cell r="G4187">
            <v>300956</v>
          </cell>
        </row>
        <row r="4188">
          <cell r="A4188">
            <v>300957</v>
          </cell>
          <cell r="B4188" t="str">
            <v>BOLT,M8X25mm,HX,SS,18-8</v>
          </cell>
          <cell r="C4188" t="str">
            <v>EA</v>
          </cell>
          <cell r="D4188" t="str">
            <v>RM100</v>
          </cell>
          <cell r="E4188">
            <v>0.16500000000000001</v>
          </cell>
          <cell r="G4188">
            <v>300957</v>
          </cell>
        </row>
        <row r="4189">
          <cell r="A4189">
            <v>300966</v>
          </cell>
          <cell r="B4189" t="str">
            <v>WSHR,M5,FLAT,SS,18-8,PASSIVATE*</v>
          </cell>
          <cell r="C4189" t="str">
            <v>EA</v>
          </cell>
          <cell r="D4189" t="str">
            <v>RM100</v>
          </cell>
          <cell r="E4189">
            <v>1.4500000000000001E-2</v>
          </cell>
          <cell r="G4189">
            <v>300966</v>
          </cell>
        </row>
        <row r="4190">
          <cell r="A4190">
            <v>300968</v>
          </cell>
          <cell r="B4190" t="str">
            <v>STAND OFF,#10-32X3/8LG SS,MCM#91115A660</v>
          </cell>
          <cell r="C4190" t="str">
            <v>EA</v>
          </cell>
          <cell r="D4190" t="str">
            <v>RM100</v>
          </cell>
          <cell r="E4190">
            <v>1.83</v>
          </cell>
          <cell r="G4190">
            <v>300968</v>
          </cell>
        </row>
        <row r="4191">
          <cell r="A4191">
            <v>300974</v>
          </cell>
          <cell r="B4191" t="str">
            <v>WSHR,.450"IDX.750"ODX.030"THK,SSTL</v>
          </cell>
          <cell r="C4191" t="str">
            <v>EA</v>
          </cell>
          <cell r="D4191" t="str">
            <v>RM100</v>
          </cell>
          <cell r="E4191">
            <v>6.5000000000000002E-2</v>
          </cell>
          <cell r="G4191">
            <v>300974</v>
          </cell>
        </row>
        <row r="4192">
          <cell r="A4192">
            <v>301100</v>
          </cell>
          <cell r="B4192" t="str">
            <v>KIT,GRND BUS,BAR,MRI,BR</v>
          </cell>
          <cell r="C4192" t="str">
            <v>EA</v>
          </cell>
          <cell r="D4192" t="str">
            <v>MA100</v>
          </cell>
          <cell r="E4192">
            <v>53.81026</v>
          </cell>
          <cell r="G4192">
            <v>301100</v>
          </cell>
        </row>
        <row r="4193">
          <cell r="A4193">
            <v>301585</v>
          </cell>
          <cell r="B4193" t="str">
            <v>KIT,GRND STUD,SS,3/8X12*</v>
          </cell>
          <cell r="C4193" t="str">
            <v>EA</v>
          </cell>
          <cell r="D4193" t="str">
            <v>MA100</v>
          </cell>
          <cell r="E4193">
            <v>12.987</v>
          </cell>
          <cell r="G4193">
            <v>301585</v>
          </cell>
        </row>
        <row r="4194">
          <cell r="A4194">
            <v>301587</v>
          </cell>
          <cell r="B4194" t="str">
            <v>KIT,GRND STUD,BR,1/2X5*</v>
          </cell>
          <cell r="C4194" t="str">
            <v>EA</v>
          </cell>
          <cell r="D4194" t="str">
            <v>MA100</v>
          </cell>
          <cell r="E4194">
            <v>18.46172</v>
          </cell>
          <cell r="G4194">
            <v>301587</v>
          </cell>
        </row>
        <row r="4195">
          <cell r="A4195">
            <v>304003</v>
          </cell>
          <cell r="B4195" t="str">
            <v>WSHR,1/2"IDx1-1/16"ODx0.078"THK,SANTOPRN</v>
          </cell>
          <cell r="C4195" t="str">
            <v>EA</v>
          </cell>
          <cell r="D4195" t="str">
            <v>RM100</v>
          </cell>
          <cell r="E4195">
            <v>0.27079999999999999</v>
          </cell>
          <cell r="G4195">
            <v>304003</v>
          </cell>
        </row>
        <row r="4196">
          <cell r="A4196">
            <v>304008</v>
          </cell>
          <cell r="B4196" t="str">
            <v>SCR,#8X1"PANHEAD,PH,SS,316</v>
          </cell>
          <cell r="C4196" t="str">
            <v>EA</v>
          </cell>
          <cell r="D4196" t="str">
            <v>RM100</v>
          </cell>
          <cell r="E4196">
            <v>2.4E-2</v>
          </cell>
          <cell r="G4196">
            <v>304008</v>
          </cell>
        </row>
        <row r="4197">
          <cell r="A4197">
            <v>304009</v>
          </cell>
          <cell r="B4197" t="str">
            <v>SCR,#10-32x3/4",PH,TRUSS,SS</v>
          </cell>
          <cell r="C4197" t="str">
            <v>EA</v>
          </cell>
          <cell r="D4197" t="str">
            <v>RM100</v>
          </cell>
          <cell r="E4197">
            <v>7.0699999999999999E-2</v>
          </cell>
          <cell r="G4197">
            <v>304009</v>
          </cell>
        </row>
        <row r="4198">
          <cell r="A4198">
            <v>304020</v>
          </cell>
          <cell r="B4198" t="str">
            <v>SCR,M6x35mm,SH,HX,18-8SS</v>
          </cell>
          <cell r="C4198" t="str">
            <v>EA</v>
          </cell>
          <cell r="D4198" t="str">
            <v>RM100</v>
          </cell>
          <cell r="E4198">
            <v>0.24440000000000001</v>
          </cell>
          <cell r="G4198">
            <v>304020</v>
          </cell>
        </row>
        <row r="4199">
          <cell r="A4199">
            <v>304022</v>
          </cell>
          <cell r="B4199" t="str">
            <v>SCR,#8-32X1-1/4,PN,PH,18-8 SS</v>
          </cell>
          <cell r="C4199" t="str">
            <v>EA</v>
          </cell>
          <cell r="D4199" t="str">
            <v>RM100</v>
          </cell>
          <cell r="E4199">
            <v>8.2799999999999999E-2</v>
          </cell>
          <cell r="G4199">
            <v>304022</v>
          </cell>
        </row>
        <row r="4200">
          <cell r="A4200">
            <v>304023</v>
          </cell>
          <cell r="B4200" t="str">
            <v>SCR,#10-32x1",PH,FH,18-8 SS</v>
          </cell>
          <cell r="C4200" t="str">
            <v>EA</v>
          </cell>
          <cell r="D4200" t="str">
            <v>RM100</v>
          </cell>
          <cell r="E4200">
            <v>8.9300000000000004E-2</v>
          </cell>
          <cell r="G4200">
            <v>304023</v>
          </cell>
        </row>
        <row r="4201">
          <cell r="A4201">
            <v>304026</v>
          </cell>
          <cell r="B4201" t="str">
            <v>SCR,#10-24X2,PN,PH,18-8 SS</v>
          </cell>
          <cell r="C4201" t="str">
            <v>EA</v>
          </cell>
          <cell r="D4201" t="str">
            <v>RM100</v>
          </cell>
          <cell r="E4201">
            <v>0.17030000000000001</v>
          </cell>
          <cell r="G4201">
            <v>304026</v>
          </cell>
        </row>
        <row r="4202">
          <cell r="A4202">
            <v>304087</v>
          </cell>
          <cell r="B4202" t="str">
            <v>ROD,THRD,3/8-16xFT,STL,ZN</v>
          </cell>
          <cell r="C4202" t="str">
            <v>FT</v>
          </cell>
          <cell r="D4202" t="str">
            <v>RM100</v>
          </cell>
          <cell r="E4202">
            <v>0.36</v>
          </cell>
          <cell r="G4202">
            <v>304087</v>
          </cell>
        </row>
        <row r="4203">
          <cell r="A4203">
            <v>304089</v>
          </cell>
          <cell r="B4203" t="str">
            <v>ROD,SS, ALL-THREAD,3/4-10 X LFT</v>
          </cell>
          <cell r="C4203" t="str">
            <v>FT</v>
          </cell>
          <cell r="D4203" t="str">
            <v>RM100</v>
          </cell>
          <cell r="E4203">
            <v>8.5</v>
          </cell>
          <cell r="G4203">
            <v>304089</v>
          </cell>
        </row>
        <row r="4204">
          <cell r="A4204">
            <v>304095</v>
          </cell>
          <cell r="B4204" t="str">
            <v>CLMP,C BEAM,3/8 ROD 3/4,WIDE BEAM#92-3/8</v>
          </cell>
          <cell r="C4204" t="str">
            <v>EA</v>
          </cell>
          <cell r="D4204" t="str">
            <v>RM100</v>
          </cell>
          <cell r="E4204">
            <v>1.3204</v>
          </cell>
          <cell r="G4204">
            <v>304095</v>
          </cell>
        </row>
        <row r="4205">
          <cell r="A4205">
            <v>304096</v>
          </cell>
          <cell r="B4205" t="str">
            <v>SCR,#10-24x7/8 FH,PH,SS,MS</v>
          </cell>
          <cell r="C4205" t="str">
            <v>EA</v>
          </cell>
          <cell r="D4205" t="str">
            <v>RM100</v>
          </cell>
          <cell r="E4205">
            <v>4.6800000000000001E-2</v>
          </cell>
          <cell r="G4205">
            <v>304096</v>
          </cell>
        </row>
        <row r="4206">
          <cell r="A4206">
            <v>304097</v>
          </cell>
          <cell r="B4206" t="str">
            <v>CLMP,I BEAM,U-BOLT FOR 1-5/8 STRUT</v>
          </cell>
          <cell r="C4206" t="str">
            <v>EA</v>
          </cell>
          <cell r="D4206" t="str">
            <v>MA100</v>
          </cell>
          <cell r="E4206">
            <v>4.2957000000000001</v>
          </cell>
          <cell r="G4206">
            <v>304097</v>
          </cell>
        </row>
        <row r="4207">
          <cell r="A4207">
            <v>304114</v>
          </cell>
          <cell r="B4207" t="str">
            <v>WSHR,5/8 INT TOOTH LCK .663 IDx1.071 OD*</v>
          </cell>
          <cell r="C4207" t="str">
            <v>EA</v>
          </cell>
          <cell r="D4207" t="str">
            <v>RM100</v>
          </cell>
          <cell r="E4207">
            <v>0.18779999999999999</v>
          </cell>
          <cell r="G4207">
            <v>304114</v>
          </cell>
        </row>
        <row r="4208">
          <cell r="A4208">
            <v>304131</v>
          </cell>
          <cell r="B4208" t="str">
            <v>SCR,5/16-18x1-1/2 PH F SS MS 18-8  33/#</v>
          </cell>
          <cell r="C4208" t="str">
            <v>EA</v>
          </cell>
          <cell r="D4208" t="str">
            <v>RM100</v>
          </cell>
          <cell r="E4208">
            <v>9.2999999999999999E-2</v>
          </cell>
          <cell r="G4208">
            <v>304131</v>
          </cell>
        </row>
        <row r="4209">
          <cell r="A4209">
            <v>304132</v>
          </cell>
          <cell r="B4209" t="str">
            <v>SCR,#8-32x5/16 FH,PH,ZN,McM # 90273A191</v>
          </cell>
          <cell r="C4209" t="str">
            <v>EA</v>
          </cell>
          <cell r="D4209" t="str">
            <v>RM100</v>
          </cell>
          <cell r="E4209">
            <v>5.3600000000000002E-2</v>
          </cell>
          <cell r="G4209">
            <v>304132</v>
          </cell>
        </row>
        <row r="4210">
          <cell r="A4210">
            <v>304133</v>
          </cell>
          <cell r="B4210" t="str">
            <v>SCR,5/16-18X1-1/2,SH,HX,SS,</v>
          </cell>
          <cell r="C4210" t="str">
            <v>EA</v>
          </cell>
          <cell r="D4210" t="str">
            <v>RM100</v>
          </cell>
          <cell r="E4210">
            <v>0.63700000000000001</v>
          </cell>
          <cell r="G4210">
            <v>304133</v>
          </cell>
        </row>
        <row r="4211">
          <cell r="A4211">
            <v>304134</v>
          </cell>
          <cell r="B4211" t="str">
            <v>SCR,#14(A)x1-1/4FH PH STL ZN 80/LB</v>
          </cell>
          <cell r="C4211" t="str">
            <v>EA</v>
          </cell>
          <cell r="D4211" t="str">
            <v>RM100</v>
          </cell>
          <cell r="E4211">
            <v>8.1199999999999994E-2</v>
          </cell>
          <cell r="G4211">
            <v>304134</v>
          </cell>
        </row>
        <row r="4212">
          <cell r="A4212">
            <v>304161</v>
          </cell>
          <cell r="B4212" t="str">
            <v>PIN,ROLL,1/4"X7/8"LG,ZN,ST,MCM#90692A348</v>
          </cell>
          <cell r="C4212" t="str">
            <v>EA</v>
          </cell>
          <cell r="D4212" t="str">
            <v>RM100</v>
          </cell>
          <cell r="E4212">
            <v>6.83E-2</v>
          </cell>
          <cell r="G4212">
            <v>304161</v>
          </cell>
        </row>
        <row r="4213">
          <cell r="A4213">
            <v>304162</v>
          </cell>
          <cell r="B4213" t="str">
            <v>SCR,1/4-20X2,SH,HX,STL,OX,MCM#91251A550</v>
          </cell>
          <cell r="C4213" t="str">
            <v>EA</v>
          </cell>
          <cell r="D4213" t="str">
            <v>RM100</v>
          </cell>
          <cell r="E4213">
            <v>0.25280000000000002</v>
          </cell>
          <cell r="G4213">
            <v>304162</v>
          </cell>
        </row>
        <row r="4214">
          <cell r="A4214">
            <v>304163</v>
          </cell>
          <cell r="B4214" t="str">
            <v>SCR,5/16-18X1,HH,NA,STL,ZN,MCM#92865A583</v>
          </cell>
          <cell r="C4214" t="str">
            <v>EA</v>
          </cell>
          <cell r="D4214" t="str">
            <v>RM100</v>
          </cell>
          <cell r="E4214">
            <v>0.1053</v>
          </cell>
          <cell r="G4214">
            <v>304163</v>
          </cell>
        </row>
        <row r="4215">
          <cell r="A4215">
            <v>304166</v>
          </cell>
          <cell r="B4215" t="str">
            <v>SCR,#10(A)x1HW,STL,ZN PL*</v>
          </cell>
          <cell r="C4215" t="str">
            <v>EA</v>
          </cell>
          <cell r="D4215" t="str">
            <v>RM100</v>
          </cell>
          <cell r="E4215">
            <v>7.6700000000000004E-2</v>
          </cell>
          <cell r="G4215">
            <v>304166</v>
          </cell>
        </row>
        <row r="4216">
          <cell r="A4216">
            <v>304174</v>
          </cell>
          <cell r="B4216" t="str">
            <v>SCR,#6x1,DRYWALL BLK</v>
          </cell>
          <cell r="C4216" t="str">
            <v>EA</v>
          </cell>
          <cell r="D4216" t="str">
            <v>RM100</v>
          </cell>
          <cell r="E4216">
            <v>1.54E-2</v>
          </cell>
          <cell r="G4216">
            <v>304174</v>
          </cell>
        </row>
        <row r="4217">
          <cell r="A4217">
            <v>304175</v>
          </cell>
          <cell r="B4217" t="str">
            <v>SCR,#6x1-1/4 DRYWALL BLK</v>
          </cell>
          <cell r="C4217" t="str">
            <v>EA</v>
          </cell>
          <cell r="D4217" t="str">
            <v>RM100</v>
          </cell>
          <cell r="E4217">
            <v>1.1299999999999999E-2</v>
          </cell>
          <cell r="G4217">
            <v>304175</v>
          </cell>
        </row>
        <row r="4218">
          <cell r="A4218">
            <v>304202</v>
          </cell>
          <cell r="B4218" t="str">
            <v>SCR,#6x1-5/8, 18-8, S/S FH, PH</v>
          </cell>
          <cell r="C4218" t="str">
            <v>EA</v>
          </cell>
          <cell r="D4218" t="str">
            <v>RM100</v>
          </cell>
          <cell r="E4218">
            <v>9.7699999999999995E-2</v>
          </cell>
          <cell r="G4218">
            <v>304202</v>
          </cell>
        </row>
        <row r="4219">
          <cell r="A4219">
            <v>304203</v>
          </cell>
          <cell r="B4219" t="str">
            <v>SCR,#6x1-5/8,PH,DRYWALL BLK</v>
          </cell>
          <cell r="C4219" t="str">
            <v>EA</v>
          </cell>
          <cell r="D4219" t="str">
            <v>RM100</v>
          </cell>
          <cell r="E4219">
            <v>9.1000000000000004E-3</v>
          </cell>
          <cell r="G4219">
            <v>304203</v>
          </cell>
        </row>
        <row r="4220">
          <cell r="A4220">
            <v>304204</v>
          </cell>
          <cell r="B4220" t="str">
            <v>ROD,THRD 3/8-16XFT,SS,MCM 98920A031</v>
          </cell>
          <cell r="C4220" t="str">
            <v>FT</v>
          </cell>
          <cell r="D4220" t="str">
            <v>RM100</v>
          </cell>
          <cell r="E4220">
            <v>2.29</v>
          </cell>
          <cell r="G4220">
            <v>304204</v>
          </cell>
        </row>
        <row r="4221">
          <cell r="A4221" t="str">
            <v>304204_THREADED ROD</v>
          </cell>
          <cell r="B4221" t="str">
            <v>ROD,THRD 3/8-16X22.25",SS</v>
          </cell>
          <cell r="C4221" t="str">
            <v>EA</v>
          </cell>
          <cell r="D4221" t="str">
            <v>MA100</v>
          </cell>
          <cell r="E4221">
            <v>0</v>
          </cell>
          <cell r="G4221" t="str">
            <v>304204_THREADED ROD</v>
          </cell>
        </row>
        <row r="4222">
          <cell r="A4222">
            <v>304205</v>
          </cell>
          <cell r="B4222" t="str">
            <v>SCR,#8X3",PH,DRYWALL  BLK</v>
          </cell>
          <cell r="C4222" t="str">
            <v>EA</v>
          </cell>
          <cell r="D4222" t="str">
            <v>RM100</v>
          </cell>
          <cell r="E4222">
            <v>3.2899999999999999E-2</v>
          </cell>
          <cell r="G4222">
            <v>304205</v>
          </cell>
        </row>
        <row r="4223">
          <cell r="A4223">
            <v>304222</v>
          </cell>
          <cell r="B4223" t="str">
            <v>SCR,#12x1,HX,HD,ZN</v>
          </cell>
          <cell r="C4223" t="str">
            <v>EA</v>
          </cell>
          <cell r="D4223" t="str">
            <v>RM100</v>
          </cell>
          <cell r="E4223">
            <v>6.2899999999999998E-2</v>
          </cell>
          <cell r="G4223">
            <v>304222</v>
          </cell>
        </row>
        <row r="4224">
          <cell r="A4224">
            <v>304230</v>
          </cell>
          <cell r="B4224" t="str">
            <v>ANCH,HILTI KB-TZ 3/8x3-3/4*</v>
          </cell>
          <cell r="C4224" t="str">
            <v>EA</v>
          </cell>
          <cell r="D4224" t="str">
            <v>RM100</v>
          </cell>
          <cell r="E4224">
            <v>1.2405999999999999</v>
          </cell>
          <cell r="G4224">
            <v>304230</v>
          </cell>
        </row>
        <row r="4225">
          <cell r="A4225">
            <v>304233</v>
          </cell>
          <cell r="B4225" t="str">
            <v>ANCH,HILTI KWIK-BOLT 5/8x4-3/4*</v>
          </cell>
          <cell r="C4225" t="str">
            <v>EA</v>
          </cell>
          <cell r="D4225" t="str">
            <v>RM100</v>
          </cell>
          <cell r="E4225">
            <v>1.8692299999999999</v>
          </cell>
          <cell r="G4225">
            <v>304233</v>
          </cell>
        </row>
        <row r="4226">
          <cell r="A4226">
            <v>304234</v>
          </cell>
          <cell r="B4226" t="str">
            <v>SPRING,COMPR SS WIRE .72"OD X.2"X.0.055"</v>
          </cell>
          <cell r="C4226" t="str">
            <v>EA</v>
          </cell>
          <cell r="D4226" t="str">
            <v>RM100</v>
          </cell>
          <cell r="E4226">
            <v>1.768</v>
          </cell>
          <cell r="G4226">
            <v>304234</v>
          </cell>
        </row>
        <row r="4227">
          <cell r="A4227">
            <v>304238</v>
          </cell>
          <cell r="B4227" t="str">
            <v>BOLT,5/16-18x1 HH,TAP,STL,ZN,GR 2,36.3/#</v>
          </cell>
          <cell r="C4227" t="str">
            <v>EA</v>
          </cell>
          <cell r="D4227" t="str">
            <v>RM100</v>
          </cell>
          <cell r="E4227">
            <v>0.15079999999999999</v>
          </cell>
          <cell r="G4227">
            <v>304238</v>
          </cell>
        </row>
        <row r="4228">
          <cell r="A4228">
            <v>304240</v>
          </cell>
          <cell r="B4228" t="str">
            <v>BOLT,5/16-18x1.25 HH,T,STL,ZN,GR 2*</v>
          </cell>
          <cell r="C4228" t="str">
            <v>EA</v>
          </cell>
          <cell r="D4228" t="str">
            <v>RM100</v>
          </cell>
          <cell r="E4228">
            <v>9.2899999999999996E-2</v>
          </cell>
          <cell r="G4228">
            <v>304240</v>
          </cell>
        </row>
        <row r="4229">
          <cell r="A4229">
            <v>304241</v>
          </cell>
          <cell r="B4229" t="str">
            <v>SCR,#10-32x1-1/2,FH,PH,SS</v>
          </cell>
          <cell r="C4229" t="str">
            <v>EA</v>
          </cell>
          <cell r="D4229" t="str">
            <v>RM100</v>
          </cell>
          <cell r="E4229">
            <v>0.46700000000000003</v>
          </cell>
          <cell r="G4229">
            <v>304241</v>
          </cell>
        </row>
        <row r="4230">
          <cell r="A4230">
            <v>304245</v>
          </cell>
          <cell r="B4230" t="str">
            <v>RIVET,1/8DIA X .063-.125GRIP ALUM *</v>
          </cell>
          <cell r="C4230" t="str">
            <v>EA</v>
          </cell>
          <cell r="D4230" t="str">
            <v>RM100</v>
          </cell>
          <cell r="E4230">
            <v>2.9520000000000001E-2</v>
          </cell>
          <cell r="G4230">
            <v>304245</v>
          </cell>
        </row>
        <row r="4231">
          <cell r="A4231">
            <v>304252</v>
          </cell>
          <cell r="B4231" t="str">
            <v>SCR,5/16x1-1/2,HH,LAG,STL</v>
          </cell>
          <cell r="C4231" t="str">
            <v>EA</v>
          </cell>
          <cell r="D4231" t="str">
            <v>RM100</v>
          </cell>
          <cell r="E4231">
            <v>0.05</v>
          </cell>
          <cell r="G4231">
            <v>304252</v>
          </cell>
        </row>
        <row r="4232">
          <cell r="A4232">
            <v>304263</v>
          </cell>
          <cell r="B4232" t="str">
            <v>BOLT,1/4-20x3/4 HH,ZN, GR 2</v>
          </cell>
          <cell r="C4232" t="str">
            <v>EA</v>
          </cell>
          <cell r="D4232" t="str">
            <v>RM100</v>
          </cell>
          <cell r="E4232">
            <v>8.5000000000000006E-2</v>
          </cell>
          <cell r="G4232">
            <v>304263</v>
          </cell>
        </row>
        <row r="4233">
          <cell r="A4233">
            <v>304264</v>
          </cell>
          <cell r="B4233" t="str">
            <v>SCR,#6x1/2,HX,STL,ZN,TPT</v>
          </cell>
          <cell r="C4233" t="str">
            <v>EA</v>
          </cell>
          <cell r="D4233" t="str">
            <v>RM100</v>
          </cell>
          <cell r="E4233">
            <v>2.4E-2</v>
          </cell>
          <cell r="G4233">
            <v>304264</v>
          </cell>
        </row>
        <row r="4234">
          <cell r="A4234">
            <v>304266</v>
          </cell>
          <cell r="B4234" t="str">
            <v>SCR,#6-32x5/8,PH,STL,,ZN</v>
          </cell>
          <cell r="C4234" t="str">
            <v>EA</v>
          </cell>
          <cell r="D4234" t="str">
            <v>RM100</v>
          </cell>
          <cell r="E4234">
            <v>1.47E-2</v>
          </cell>
          <cell r="G4234">
            <v>304266</v>
          </cell>
        </row>
        <row r="4235">
          <cell r="A4235">
            <v>304275</v>
          </cell>
          <cell r="B4235" t="str">
            <v>SCR,#10-24x1/2,PH,PH,SS*</v>
          </cell>
          <cell r="C4235" t="str">
            <v>EA</v>
          </cell>
          <cell r="D4235" t="str">
            <v>RM100</v>
          </cell>
          <cell r="E4235">
            <v>0.1048</v>
          </cell>
          <cell r="G4235">
            <v>304275</v>
          </cell>
        </row>
        <row r="4236">
          <cell r="A4236">
            <v>304282</v>
          </cell>
          <cell r="B4236" t="str">
            <v>SCR,#6-32x1/4,PH,PH,STL ZN,MS</v>
          </cell>
          <cell r="C4236" t="str">
            <v>EA</v>
          </cell>
          <cell r="D4236" t="str">
            <v>RM100</v>
          </cell>
          <cell r="E4236">
            <v>1.4E-2</v>
          </cell>
          <cell r="G4236">
            <v>304282</v>
          </cell>
        </row>
        <row r="4237">
          <cell r="A4237">
            <v>304285</v>
          </cell>
          <cell r="B4237" t="str">
            <v>SCR,#4-40x3/8,FH,PH,SS,MS</v>
          </cell>
          <cell r="C4237" t="str">
            <v>EA</v>
          </cell>
          <cell r="D4237" t="str">
            <v>RM100</v>
          </cell>
          <cell r="E4237">
            <v>2.12E-2</v>
          </cell>
          <cell r="G4237">
            <v>304285</v>
          </cell>
        </row>
        <row r="4238">
          <cell r="A4238">
            <v>304287</v>
          </cell>
          <cell r="B4238" t="str">
            <v>SCR,#4-40x3/8,FH,PH,STL ZN,MS</v>
          </cell>
          <cell r="C4238" t="str">
            <v>EA</v>
          </cell>
          <cell r="D4238" t="str">
            <v>RM100</v>
          </cell>
          <cell r="E4238">
            <v>1.09E-2</v>
          </cell>
          <cell r="G4238">
            <v>304287</v>
          </cell>
        </row>
        <row r="4239">
          <cell r="A4239">
            <v>304289</v>
          </cell>
          <cell r="B4239" t="str">
            <v>SCR,#4-40x1/4,FH,PH,STL ZN,MS</v>
          </cell>
          <cell r="C4239" t="str">
            <v>EA</v>
          </cell>
          <cell r="D4239" t="str">
            <v>RM100</v>
          </cell>
          <cell r="E4239">
            <v>1.6199999999999999E-2</v>
          </cell>
          <cell r="G4239">
            <v>304289</v>
          </cell>
        </row>
        <row r="4240">
          <cell r="A4240">
            <v>304301</v>
          </cell>
          <cell r="B4240" t="str">
            <v>SCR,#8-32x1/2 PH,FH,18-8 STNLS STL</v>
          </cell>
          <cell r="C4240" t="str">
            <v>EA</v>
          </cell>
          <cell r="D4240" t="str">
            <v>RM100</v>
          </cell>
          <cell r="E4240">
            <v>4.1200000000000001E-2</v>
          </cell>
          <cell r="G4240">
            <v>304301</v>
          </cell>
        </row>
        <row r="4241">
          <cell r="A4241">
            <v>304304</v>
          </cell>
          <cell r="B4241" t="str">
            <v>SCR,5/16-18x1-1/4 PH FL18-8 SS</v>
          </cell>
          <cell r="C4241" t="str">
            <v>EA</v>
          </cell>
          <cell r="D4241" t="str">
            <v>RM100</v>
          </cell>
          <cell r="E4241">
            <v>0.33860000000000001</v>
          </cell>
          <cell r="G4241">
            <v>304304</v>
          </cell>
        </row>
        <row r="4242">
          <cell r="A4242">
            <v>304307</v>
          </cell>
          <cell r="B4242" t="str">
            <v>SCR,1/4-20x3/4,SH,HX,SS,NA</v>
          </cell>
          <cell r="C4242" t="str">
            <v>EA</v>
          </cell>
          <cell r="D4242" t="str">
            <v>RM100</v>
          </cell>
          <cell r="E4242">
            <v>8.2500000000000004E-2</v>
          </cell>
          <cell r="G4242">
            <v>304307</v>
          </cell>
        </row>
        <row r="4243">
          <cell r="A4243">
            <v>304308</v>
          </cell>
          <cell r="B4243" t="str">
            <v>SCR,1/4-20x1-1/16, 5/16DX5/8"SHLDR,STL</v>
          </cell>
          <cell r="C4243" t="str">
            <v>EA</v>
          </cell>
          <cell r="D4243" t="str">
            <v>RM100</v>
          </cell>
          <cell r="E4243">
            <v>0.28999999999999998</v>
          </cell>
          <cell r="G4243">
            <v>304308</v>
          </cell>
        </row>
        <row r="4244">
          <cell r="A4244">
            <v>304310</v>
          </cell>
          <cell r="B4244" t="str">
            <v>SCR,#8-32x1/2 PH,FH,STL,ZN</v>
          </cell>
          <cell r="C4244" t="str">
            <v>EA</v>
          </cell>
          <cell r="D4244" t="str">
            <v>RM100</v>
          </cell>
          <cell r="E4244">
            <v>3.5799999999999998E-2</v>
          </cell>
          <cell r="G4244">
            <v>304310</v>
          </cell>
        </row>
        <row r="4245">
          <cell r="A4245">
            <v>304311</v>
          </cell>
          <cell r="B4245" t="str">
            <v>SCR,#10-32x1/2,PH PN,18-8 SS</v>
          </cell>
          <cell r="C4245" t="str">
            <v>EA</v>
          </cell>
          <cell r="D4245" t="str">
            <v>RM100</v>
          </cell>
          <cell r="E4245">
            <v>5.0999999999999997E-2</v>
          </cell>
          <cell r="G4245">
            <v>304311</v>
          </cell>
        </row>
        <row r="4246">
          <cell r="A4246">
            <v>304312</v>
          </cell>
          <cell r="B4246" t="str">
            <v>SCR,#10-32x5/8 PH FH,STL ZN</v>
          </cell>
          <cell r="C4246" t="str">
            <v>EA</v>
          </cell>
          <cell r="D4246" t="str">
            <v>RM100</v>
          </cell>
          <cell r="E4246">
            <v>3.5000000000000003E-2</v>
          </cell>
          <cell r="G4246">
            <v>304312</v>
          </cell>
        </row>
        <row r="4247">
          <cell r="A4247">
            <v>304330</v>
          </cell>
          <cell r="B4247" t="str">
            <v>SCR,#8-32x1 SH HX, STL ZN</v>
          </cell>
          <cell r="C4247" t="str">
            <v>EA</v>
          </cell>
          <cell r="D4247" t="str">
            <v>RM100</v>
          </cell>
          <cell r="E4247">
            <v>0.1012</v>
          </cell>
          <cell r="G4247">
            <v>304330</v>
          </cell>
        </row>
        <row r="4248">
          <cell r="A4248">
            <v>304331</v>
          </cell>
          <cell r="B4248" t="str">
            <v>WSHR,3/8 .400x1x.058 STL ZN</v>
          </cell>
          <cell r="C4248" t="str">
            <v>EA</v>
          </cell>
          <cell r="D4248" t="str">
            <v>RM100</v>
          </cell>
          <cell r="E4248">
            <v>1.6299999999999999E-2</v>
          </cell>
          <cell r="G4248">
            <v>304331</v>
          </cell>
        </row>
        <row r="4249">
          <cell r="A4249">
            <v>304349</v>
          </cell>
          <cell r="B4249" t="str">
            <v>BOLT,5/16-18x1/2 HH,T,STL,ZN</v>
          </cell>
          <cell r="C4249" t="str">
            <v>EA</v>
          </cell>
          <cell r="D4249" t="str">
            <v>RM100</v>
          </cell>
          <cell r="E4249">
            <v>8.9800000000000005E-2</v>
          </cell>
          <cell r="G4249">
            <v>304349</v>
          </cell>
        </row>
        <row r="4250">
          <cell r="A4250">
            <v>304350</v>
          </cell>
          <cell r="B4250" t="str">
            <v>SCR,3/8x3-1/2 HH LAG,STL ZN</v>
          </cell>
          <cell r="C4250" t="str">
            <v>EA</v>
          </cell>
          <cell r="D4250" t="str">
            <v>RM100</v>
          </cell>
          <cell r="E4250">
            <v>0.3508</v>
          </cell>
          <cell r="G4250">
            <v>304350</v>
          </cell>
        </row>
        <row r="4251">
          <cell r="A4251">
            <v>304355</v>
          </cell>
          <cell r="B4251" t="str">
            <v>BOLT,3/8-16x3 HH,CARB STL, GR 5</v>
          </cell>
          <cell r="C4251" t="str">
            <v>EA</v>
          </cell>
          <cell r="D4251" t="str">
            <v>RM100</v>
          </cell>
          <cell r="E4251">
            <v>0.38700000000000001</v>
          </cell>
          <cell r="G4251">
            <v>304355</v>
          </cell>
        </row>
        <row r="4252">
          <cell r="A4252">
            <v>304356</v>
          </cell>
          <cell r="B4252" t="str">
            <v>NUT,3/8-16 FINISH HEX STL</v>
          </cell>
          <cell r="C4252" t="str">
            <v>EA</v>
          </cell>
          <cell r="D4252" t="str">
            <v>RM100</v>
          </cell>
          <cell r="E4252">
            <v>1.66E-2</v>
          </cell>
          <cell r="G4252">
            <v>304356</v>
          </cell>
        </row>
        <row r="4253">
          <cell r="A4253">
            <v>304359</v>
          </cell>
          <cell r="B4253" t="str">
            <v>SCR,1/4-20x1/2 PH PN,18-8 SS</v>
          </cell>
          <cell r="C4253" t="str">
            <v>EA</v>
          </cell>
          <cell r="D4253" t="str">
            <v>RM100</v>
          </cell>
          <cell r="E4253">
            <v>0.15329999999999999</v>
          </cell>
          <cell r="G4253">
            <v>304359</v>
          </cell>
        </row>
        <row r="4254">
          <cell r="A4254">
            <v>304371</v>
          </cell>
          <cell r="B4254" t="str">
            <v>SCR,#8(A)x3-1/2 PH FH,STL,NA DRYWALL</v>
          </cell>
          <cell r="C4254" t="str">
            <v>EA</v>
          </cell>
          <cell r="D4254" t="str">
            <v>RM100</v>
          </cell>
          <cell r="E4254">
            <v>9.4299999999999995E-2</v>
          </cell>
          <cell r="G4254">
            <v>304371</v>
          </cell>
        </row>
        <row r="4255">
          <cell r="A4255">
            <v>304378</v>
          </cell>
          <cell r="B4255" t="str">
            <v>SCR,1/4-20x1 PH FH,STL ZN</v>
          </cell>
          <cell r="C4255" t="str">
            <v>EA</v>
          </cell>
          <cell r="D4255" t="str">
            <v>RM100</v>
          </cell>
          <cell r="E4255">
            <v>0.05</v>
          </cell>
          <cell r="G4255">
            <v>304378</v>
          </cell>
        </row>
        <row r="4256">
          <cell r="A4256">
            <v>304383</v>
          </cell>
          <cell r="B4256" t="str">
            <v>NUT,3/4-10 THIN HX SS 18-8 MCM91847A550*</v>
          </cell>
          <cell r="C4256" t="str">
            <v>EA</v>
          </cell>
          <cell r="D4256" t="str">
            <v>RM100</v>
          </cell>
          <cell r="E4256">
            <v>0.70599999999999996</v>
          </cell>
          <cell r="G4256">
            <v>304383</v>
          </cell>
        </row>
        <row r="4257">
          <cell r="A4257">
            <v>304386</v>
          </cell>
          <cell r="B4257" t="str">
            <v>WSHR,1/4"SAE.281x.625x1/16" STL ZN</v>
          </cell>
          <cell r="C4257" t="str">
            <v>EA</v>
          </cell>
          <cell r="D4257" t="str">
            <v>RM100</v>
          </cell>
          <cell r="E4257">
            <v>2.1100000000000001E-2</v>
          </cell>
          <cell r="G4257">
            <v>304386</v>
          </cell>
        </row>
        <row r="4258">
          <cell r="A4258">
            <v>304387</v>
          </cell>
          <cell r="B4258" t="str">
            <v>SCR,1/4-20x3/4 FH,NA,STL,ZN GR2</v>
          </cell>
          <cell r="C4258" t="str">
            <v>EA</v>
          </cell>
          <cell r="D4258" t="str">
            <v>RM100</v>
          </cell>
          <cell r="E4258">
            <v>3.1E-2</v>
          </cell>
          <cell r="G4258">
            <v>304387</v>
          </cell>
        </row>
        <row r="4259">
          <cell r="A4259">
            <v>304404</v>
          </cell>
          <cell r="B4259" t="str">
            <v>SCR,#10-24x3/4 FH,PH,BR</v>
          </cell>
          <cell r="C4259" t="str">
            <v>EA</v>
          </cell>
          <cell r="D4259" t="str">
            <v>MA100</v>
          </cell>
          <cell r="E4259">
            <v>0.15939999999999999</v>
          </cell>
          <cell r="G4259">
            <v>304404</v>
          </cell>
        </row>
        <row r="4260">
          <cell r="A4260">
            <v>304413</v>
          </cell>
          <cell r="B4260" t="str">
            <v>EYE,SCR,WIRE #4x1.13,WOOD THRD,SS*</v>
          </cell>
          <cell r="C4260" t="str">
            <v>EA</v>
          </cell>
          <cell r="D4260" t="str">
            <v>RM100</v>
          </cell>
          <cell r="E4260">
            <v>0.75</v>
          </cell>
          <cell r="G4260">
            <v>304413</v>
          </cell>
        </row>
        <row r="4261">
          <cell r="A4261">
            <v>304419</v>
          </cell>
          <cell r="B4261" t="str">
            <v>SCR,#8-32X3/4,PN,PH,SS,NA,WITH INT WSHR</v>
          </cell>
          <cell r="C4261" t="str">
            <v>EA</v>
          </cell>
          <cell r="D4261" t="str">
            <v>RM100</v>
          </cell>
          <cell r="E4261">
            <v>0.12</v>
          </cell>
          <cell r="G4261">
            <v>304419</v>
          </cell>
        </row>
        <row r="4262">
          <cell r="A4262">
            <v>304434</v>
          </cell>
          <cell r="B4262" t="str">
            <v>SCR,#12(A)x3-1/2FH PH STL ZN</v>
          </cell>
          <cell r="C4262" t="str">
            <v>EA</v>
          </cell>
          <cell r="D4262" t="str">
            <v>RM100</v>
          </cell>
          <cell r="E4262">
            <v>0.16309999999999999</v>
          </cell>
          <cell r="G4262">
            <v>304434</v>
          </cell>
        </row>
        <row r="4263">
          <cell r="A4263">
            <v>304446</v>
          </cell>
          <cell r="B4263" t="str">
            <v>EYEBLT,WIRE 1/4-20x1-1/2 MCM#9489T18*</v>
          </cell>
          <cell r="C4263" t="str">
            <v>EA</v>
          </cell>
          <cell r="D4263" t="str">
            <v>RM100</v>
          </cell>
          <cell r="E4263">
            <v>0.31480000000000002</v>
          </cell>
          <cell r="G4263">
            <v>304446</v>
          </cell>
        </row>
        <row r="4264">
          <cell r="A4264">
            <v>304453</v>
          </cell>
          <cell r="B4264" t="str">
            <v>ANCH,HILTI KB3 3, 3/8x3-3/4*</v>
          </cell>
          <cell r="C4264" t="str">
            <v>EA</v>
          </cell>
          <cell r="D4264" t="str">
            <v>RM100</v>
          </cell>
          <cell r="E4264">
            <v>0.35199999999999998</v>
          </cell>
          <cell r="G4264">
            <v>304453</v>
          </cell>
        </row>
        <row r="4265">
          <cell r="A4265">
            <v>304455</v>
          </cell>
          <cell r="B4265" t="str">
            <v>ANCH, VERT. THRD. ROD 3/8" SAMMY</v>
          </cell>
          <cell r="C4265" t="str">
            <v>EA</v>
          </cell>
          <cell r="D4265" t="str">
            <v>MA100</v>
          </cell>
          <cell r="E4265">
            <v>0.83109999999999995</v>
          </cell>
          <cell r="G4265">
            <v>304455</v>
          </cell>
        </row>
        <row r="4266">
          <cell r="A4266">
            <v>304456</v>
          </cell>
          <cell r="B4266" t="str">
            <v>ANCH, HORZ. THRD. ROD 3/8" SAMMY</v>
          </cell>
          <cell r="C4266" t="str">
            <v>EA</v>
          </cell>
          <cell r="D4266" t="str">
            <v>MA100</v>
          </cell>
          <cell r="E4266">
            <v>1.0002</v>
          </cell>
          <cell r="G4266">
            <v>304456</v>
          </cell>
        </row>
        <row r="4267">
          <cell r="A4267">
            <v>304462</v>
          </cell>
          <cell r="B4267" t="str">
            <v>WSHR,MESH.25THKX.318I.D.X1 O.D. SNCUFE</v>
          </cell>
          <cell r="C4267" t="str">
            <v>EA</v>
          </cell>
          <cell r="D4267" t="str">
            <v>RM100</v>
          </cell>
          <cell r="E4267">
            <v>3.44</v>
          </cell>
          <cell r="G4267">
            <v>304462</v>
          </cell>
        </row>
        <row r="4268">
          <cell r="A4268">
            <v>304471</v>
          </cell>
          <cell r="B4268" t="str">
            <v>SCR,TAP-CON,1/4x3-1/4,FH,PH,MASONRY*</v>
          </cell>
          <cell r="C4268" t="str">
            <v>EA</v>
          </cell>
          <cell r="D4268" t="str">
            <v>RM100</v>
          </cell>
          <cell r="E4268">
            <v>0.2535</v>
          </cell>
          <cell r="G4268">
            <v>304471</v>
          </cell>
        </row>
        <row r="4269">
          <cell r="A4269">
            <v>304482</v>
          </cell>
          <cell r="B4269" t="str">
            <v>SCR,#8 X 2-1/4 PAN PH. BLK. STL</v>
          </cell>
          <cell r="C4269" t="str">
            <v>EA</v>
          </cell>
          <cell r="D4269" t="str">
            <v>RM100</v>
          </cell>
          <cell r="E4269">
            <v>2.2100000000000002E-2</v>
          </cell>
          <cell r="G4269">
            <v>304482</v>
          </cell>
        </row>
        <row r="4270">
          <cell r="A4270">
            <v>304488</v>
          </cell>
          <cell r="B4270" t="str">
            <v>SCR,#6x7/16 PN PH FRMG SDS BLACK PHOS</v>
          </cell>
          <cell r="C4270" t="str">
            <v>EA</v>
          </cell>
          <cell r="D4270" t="str">
            <v>RM100</v>
          </cell>
          <cell r="E4270">
            <v>1.2500000000000001E-2</v>
          </cell>
          <cell r="G4270">
            <v>304488</v>
          </cell>
        </row>
        <row r="4271">
          <cell r="A4271">
            <v>304499</v>
          </cell>
          <cell r="B4271" t="str">
            <v>SCR,#10x1-1/4FH PH STL ZN</v>
          </cell>
          <cell r="C4271" t="str">
            <v>EA</v>
          </cell>
          <cell r="D4271" t="str">
            <v>RM100</v>
          </cell>
          <cell r="E4271">
            <v>5.0099999999999999E-2</v>
          </cell>
          <cell r="G4271">
            <v>304499</v>
          </cell>
        </row>
        <row r="4272">
          <cell r="A4272">
            <v>304504</v>
          </cell>
          <cell r="B4272" t="str">
            <v>SCR,#8(A)x5/8 PN,PH,STL,ZN MCM#90190A196</v>
          </cell>
          <cell r="C4272" t="str">
            <v>EA</v>
          </cell>
          <cell r="D4272" t="str">
            <v>RM100</v>
          </cell>
          <cell r="E4272">
            <v>5.3999999999999999E-2</v>
          </cell>
          <cell r="G4272">
            <v>304504</v>
          </cell>
        </row>
        <row r="4273">
          <cell r="A4273">
            <v>304506</v>
          </cell>
          <cell r="B4273" t="str">
            <v>SCR,TAP-CON,3/16x1-1/4,HH</v>
          </cell>
          <cell r="C4273" t="str">
            <v>EA</v>
          </cell>
          <cell r="D4273" t="str">
            <v>RM100</v>
          </cell>
          <cell r="E4273">
            <v>7.85E-2</v>
          </cell>
          <cell r="G4273">
            <v>304506</v>
          </cell>
        </row>
        <row r="4274">
          <cell r="A4274">
            <v>304512</v>
          </cell>
          <cell r="B4274" t="str">
            <v>SCR,TAP-CON,1/4x4,HH Blue</v>
          </cell>
          <cell r="C4274" t="str">
            <v>EA</v>
          </cell>
          <cell r="D4274" t="str">
            <v>RM100</v>
          </cell>
          <cell r="E4274">
            <v>0.52839999999999998</v>
          </cell>
          <cell r="G4274">
            <v>304512</v>
          </cell>
        </row>
        <row r="4275">
          <cell r="A4275">
            <v>304515</v>
          </cell>
          <cell r="B4275" t="str">
            <v>SCR,#10-24x3/4 PH PN STL ZN F31 178#</v>
          </cell>
          <cell r="C4275" t="str">
            <v>EA</v>
          </cell>
          <cell r="D4275" t="str">
            <v>RM100</v>
          </cell>
          <cell r="E4275">
            <v>2.1600000000000001E-2</v>
          </cell>
          <cell r="G4275">
            <v>304515</v>
          </cell>
        </row>
        <row r="4276">
          <cell r="A4276">
            <v>304520</v>
          </cell>
          <cell r="B4276" t="str">
            <v>SCR,#10-24x1/2,SET, HX SCKT W/NYLON *</v>
          </cell>
          <cell r="C4276" t="str">
            <v>EA</v>
          </cell>
          <cell r="D4276" t="str">
            <v>MA100</v>
          </cell>
          <cell r="E4276">
            <v>0.49320000000000003</v>
          </cell>
          <cell r="G4276">
            <v>304520</v>
          </cell>
        </row>
        <row r="4277">
          <cell r="A4277">
            <v>304526</v>
          </cell>
          <cell r="B4277" t="str">
            <v>WSHR,LCK,#6 EXT TOOTH (STL) ZN PLT</v>
          </cell>
          <cell r="C4277" t="str">
            <v>EA</v>
          </cell>
          <cell r="D4277" t="str">
            <v>RM100</v>
          </cell>
          <cell r="E4277">
            <v>1.67E-2</v>
          </cell>
          <cell r="G4277">
            <v>304526</v>
          </cell>
        </row>
        <row r="4278">
          <cell r="A4278">
            <v>304546</v>
          </cell>
          <cell r="B4278" t="str">
            <v>BOLT,1/2-13x1-1/2 HH,STL,FULLTHRD</v>
          </cell>
          <cell r="C4278" t="str">
            <v>EA</v>
          </cell>
          <cell r="D4278" t="str">
            <v>RM100</v>
          </cell>
          <cell r="E4278">
            <v>0.84699999999999998</v>
          </cell>
          <cell r="G4278">
            <v>304546</v>
          </cell>
        </row>
        <row r="4279">
          <cell r="A4279">
            <v>304555</v>
          </cell>
          <cell r="B4279" t="str">
            <v>ANCH,SCR TAPPED 3/8-16x2x1/4 SHANK HX *</v>
          </cell>
          <cell r="C4279" t="str">
            <v>EA</v>
          </cell>
          <cell r="D4279" t="str">
            <v>RM100</v>
          </cell>
          <cell r="E4279">
            <v>0.71</v>
          </cell>
          <cell r="G4279">
            <v>304555</v>
          </cell>
        </row>
        <row r="4280">
          <cell r="A4280">
            <v>304562</v>
          </cell>
          <cell r="B4280" t="str">
            <v>WSHR,FLAT,3/8X5/8X1/64,FIBER</v>
          </cell>
          <cell r="C4280" t="str">
            <v>EA</v>
          </cell>
          <cell r="D4280" t="str">
            <v>RM100</v>
          </cell>
          <cell r="E4280">
            <v>2.5899999999999999E-2</v>
          </cell>
          <cell r="G4280">
            <v>304562</v>
          </cell>
        </row>
        <row r="4281">
          <cell r="A4281">
            <v>304568</v>
          </cell>
          <cell r="B4281" t="str">
            <v>ISLTR,GLASTIC 1/2-13 2015-4C</v>
          </cell>
          <cell r="C4281" t="str">
            <v>EA</v>
          </cell>
          <cell r="D4281" t="str">
            <v>RM100</v>
          </cell>
          <cell r="E4281">
            <v>7.21</v>
          </cell>
          <cell r="G4281">
            <v>304568</v>
          </cell>
        </row>
        <row r="4282">
          <cell r="A4282">
            <v>304572</v>
          </cell>
          <cell r="B4282" t="str">
            <v>SCR,#10-32x3/4FH,PH,ZN,MS</v>
          </cell>
          <cell r="C4282" t="str">
            <v>EA</v>
          </cell>
          <cell r="D4282" t="str">
            <v>RM100</v>
          </cell>
          <cell r="E4282">
            <v>3.9300000000000002E-2</v>
          </cell>
          <cell r="G4282">
            <v>304572</v>
          </cell>
        </row>
        <row r="4283">
          <cell r="A4283">
            <v>304574</v>
          </cell>
          <cell r="B4283" t="str">
            <v>SCR,#8X1FH,PH,ZN,MS</v>
          </cell>
          <cell r="C4283" t="str">
            <v>EA</v>
          </cell>
          <cell r="D4283" t="str">
            <v>RM100</v>
          </cell>
          <cell r="E4283">
            <v>4.8399999999999999E-2</v>
          </cell>
          <cell r="G4283">
            <v>304574</v>
          </cell>
        </row>
        <row r="4284">
          <cell r="A4284">
            <v>304575</v>
          </cell>
          <cell r="B4284" t="str">
            <v>SCR,#10-32X1SH,ZN,CAP SCR</v>
          </cell>
          <cell r="C4284" t="str">
            <v>EA</v>
          </cell>
          <cell r="D4284" t="str">
            <v>RM100</v>
          </cell>
          <cell r="E4284">
            <v>0.11</v>
          </cell>
          <cell r="G4284">
            <v>304575</v>
          </cell>
        </row>
        <row r="4285">
          <cell r="A4285">
            <v>304580</v>
          </cell>
          <cell r="B4285" t="str">
            <v>WSHR,FLAT,1/4,HARDEND</v>
          </cell>
          <cell r="C4285" t="str">
            <v>EA</v>
          </cell>
          <cell r="D4285" t="str">
            <v>RM100</v>
          </cell>
          <cell r="E4285">
            <v>7.2999999999999995E-2</v>
          </cell>
          <cell r="G4285">
            <v>304580</v>
          </cell>
        </row>
        <row r="4286">
          <cell r="A4286">
            <v>304582</v>
          </cell>
          <cell r="B4286" t="str">
            <v>SCR,3/8-16X1HH,ZN,CAP SCR</v>
          </cell>
          <cell r="C4286" t="str">
            <v>EA</v>
          </cell>
          <cell r="D4286" t="str">
            <v>RM100</v>
          </cell>
          <cell r="E4286">
            <v>0.10100000000000001</v>
          </cell>
          <cell r="G4286">
            <v>304582</v>
          </cell>
        </row>
        <row r="4287">
          <cell r="A4287">
            <v>304586</v>
          </cell>
          <cell r="B4287" t="str">
            <v>SCR,#10-24x1/4,PN,PH,STL,ZN*</v>
          </cell>
          <cell r="C4287" t="str">
            <v>EA</v>
          </cell>
          <cell r="D4287" t="str">
            <v>RM100</v>
          </cell>
          <cell r="E4287">
            <v>2.9600000000000001E-2</v>
          </cell>
          <cell r="G4287">
            <v>304586</v>
          </cell>
        </row>
        <row r="4288">
          <cell r="A4288">
            <v>304589</v>
          </cell>
          <cell r="B4288" t="str">
            <v>SCR,3/8-16X1SH,SS,W/NYLON</v>
          </cell>
          <cell r="C4288" t="str">
            <v>EA</v>
          </cell>
          <cell r="D4288" t="str">
            <v>RM100</v>
          </cell>
          <cell r="E4288">
            <v>1.4159999999999999</v>
          </cell>
          <cell r="G4288">
            <v>304589</v>
          </cell>
        </row>
        <row r="4289">
          <cell r="A4289">
            <v>304592</v>
          </cell>
          <cell r="B4289" t="str">
            <v>NUT,6-32 HEX ACORN,S/S,MCM 91855A271</v>
          </cell>
          <cell r="C4289" t="str">
            <v>EA</v>
          </cell>
          <cell r="D4289" t="str">
            <v>RM100</v>
          </cell>
          <cell r="E4289">
            <v>0.24160000000000001</v>
          </cell>
          <cell r="G4289">
            <v>304592</v>
          </cell>
        </row>
        <row r="4290">
          <cell r="A4290">
            <v>304617</v>
          </cell>
          <cell r="B4290" t="str">
            <v>NUT,3/4-10 HEX,SS,MCM 91845A330</v>
          </cell>
          <cell r="C4290" t="str">
            <v>EA</v>
          </cell>
          <cell r="D4290" t="str">
            <v>RM100</v>
          </cell>
          <cell r="E4290">
            <v>0.67300000000000004</v>
          </cell>
          <cell r="G4290">
            <v>304617</v>
          </cell>
        </row>
        <row r="4291">
          <cell r="A4291">
            <v>304618</v>
          </cell>
          <cell r="B4291" t="str">
            <v>SCR,1/4-20X1-1/4FH,PH</v>
          </cell>
          <cell r="C4291" t="str">
            <v>EA</v>
          </cell>
          <cell r="D4291" t="str">
            <v>RM100</v>
          </cell>
          <cell r="E4291">
            <v>0.03</v>
          </cell>
          <cell r="G4291">
            <v>304618</v>
          </cell>
        </row>
        <row r="4292">
          <cell r="A4292">
            <v>304660</v>
          </cell>
          <cell r="B4292" t="str">
            <v>ANCH,HILTI KWIK-BOLT 1/2X3-3/4*</v>
          </cell>
          <cell r="C4292" t="str">
            <v>EA</v>
          </cell>
          <cell r="D4292" t="str">
            <v>RM100</v>
          </cell>
          <cell r="E4292">
            <v>0.93049999999999999</v>
          </cell>
          <cell r="G4292">
            <v>304660</v>
          </cell>
        </row>
        <row r="4293">
          <cell r="A4293">
            <v>304667</v>
          </cell>
          <cell r="B4293" t="str">
            <v>ROD,THRD 1/2-13X144,MCM 90038A033</v>
          </cell>
          <cell r="C4293" t="str">
            <v>FT</v>
          </cell>
          <cell r="D4293" t="str">
            <v>RM100</v>
          </cell>
          <cell r="E4293">
            <v>0.9</v>
          </cell>
          <cell r="G4293">
            <v>304667</v>
          </cell>
        </row>
        <row r="4294">
          <cell r="A4294">
            <v>304680</v>
          </cell>
          <cell r="B4294" t="str">
            <v>WSHR,.344IDX..688OD,STL,ZN</v>
          </cell>
          <cell r="C4294" t="str">
            <v>EA</v>
          </cell>
          <cell r="D4294" t="str">
            <v>RM100</v>
          </cell>
          <cell r="E4294">
            <v>3.2399999999999998E-2</v>
          </cell>
          <cell r="G4294">
            <v>304680</v>
          </cell>
        </row>
        <row r="4295">
          <cell r="A4295">
            <v>304714</v>
          </cell>
          <cell r="B4295" t="str">
            <v>WSHR,5/16 IDX5/8 OD, RUBBER</v>
          </cell>
          <cell r="C4295" t="str">
            <v>EA</v>
          </cell>
          <cell r="D4295" t="str">
            <v>RM100</v>
          </cell>
          <cell r="E4295">
            <v>0.90500000000000003</v>
          </cell>
          <cell r="G4295">
            <v>304714</v>
          </cell>
        </row>
        <row r="4296">
          <cell r="A4296">
            <v>304715</v>
          </cell>
          <cell r="B4296" t="str">
            <v>SCR,1/4-20X1/2FH,PH,STL,ZN</v>
          </cell>
          <cell r="C4296" t="str">
            <v>EA</v>
          </cell>
          <cell r="D4296" t="str">
            <v>RM100</v>
          </cell>
          <cell r="E4296">
            <v>3.5000000000000003E-2</v>
          </cell>
          <cell r="G4296">
            <v>304715</v>
          </cell>
        </row>
        <row r="4297">
          <cell r="A4297">
            <v>304728</v>
          </cell>
          <cell r="B4297" t="str">
            <v>WSHR,3/8X1(OD),FLAT,STL,ZN</v>
          </cell>
          <cell r="C4297" t="str">
            <v>EA</v>
          </cell>
          <cell r="D4297" t="str">
            <v>RM100</v>
          </cell>
          <cell r="E4297">
            <v>1.6299999999999999E-2</v>
          </cell>
          <cell r="G4297">
            <v>304728</v>
          </cell>
        </row>
        <row r="4298">
          <cell r="A4298">
            <v>304731</v>
          </cell>
          <cell r="B4298" t="str">
            <v>WSHR,5/8 .640IDX1.062,NA,NA,UHMW-PE,NA,</v>
          </cell>
          <cell r="C4298" t="str">
            <v>EA</v>
          </cell>
          <cell r="D4298" t="str">
            <v>RM100</v>
          </cell>
          <cell r="E4298">
            <v>0.81200000000000006</v>
          </cell>
          <cell r="G4298">
            <v>304731</v>
          </cell>
        </row>
        <row r="4299">
          <cell r="A4299">
            <v>304732</v>
          </cell>
          <cell r="B4299" t="str">
            <v>WSHR,FLAT,5/8" STL .688"IDX1.75"ODX.134</v>
          </cell>
          <cell r="C4299" t="str">
            <v>EA</v>
          </cell>
          <cell r="D4299" t="str">
            <v>RM100</v>
          </cell>
          <cell r="E4299">
            <v>0.20899999999999999</v>
          </cell>
          <cell r="G4299">
            <v>304732</v>
          </cell>
        </row>
        <row r="4300">
          <cell r="A4300">
            <v>304733</v>
          </cell>
          <cell r="B4300" t="str">
            <v>WSHR,3/8 .390IDX.625,NA,NA,UHMW-PE,NA</v>
          </cell>
          <cell r="C4300" t="str">
            <v>EA</v>
          </cell>
          <cell r="D4300" t="str">
            <v>RM100</v>
          </cell>
          <cell r="E4300">
            <v>0.31240000000000001</v>
          </cell>
          <cell r="G4300">
            <v>304733</v>
          </cell>
        </row>
        <row r="4301">
          <cell r="A4301">
            <v>304737</v>
          </cell>
          <cell r="B4301" t="str">
            <v>WSHR,3/8 X1.5ODX1/8THK,ZN</v>
          </cell>
          <cell r="C4301" t="str">
            <v>EA</v>
          </cell>
          <cell r="D4301" t="str">
            <v>RM100</v>
          </cell>
          <cell r="E4301">
            <v>0.16209999999999999</v>
          </cell>
          <cell r="G4301">
            <v>304737</v>
          </cell>
        </row>
        <row r="4302">
          <cell r="A4302">
            <v>304749</v>
          </cell>
          <cell r="B4302" t="str">
            <v>SCR,1/4-20X1-1/4,HH,CAP,GR8</v>
          </cell>
          <cell r="C4302" t="str">
            <v>EA</v>
          </cell>
          <cell r="D4302" t="str">
            <v>RM100</v>
          </cell>
          <cell r="E4302">
            <v>0.1</v>
          </cell>
          <cell r="G4302">
            <v>304749</v>
          </cell>
        </row>
        <row r="4303">
          <cell r="A4303">
            <v>304776</v>
          </cell>
          <cell r="B4303" t="str">
            <v>SCREW,0-80X3/16,PHIL,FLAT,ZNC</v>
          </cell>
          <cell r="C4303" t="str">
            <v>EA</v>
          </cell>
          <cell r="D4303" t="str">
            <v>RM100</v>
          </cell>
          <cell r="E4303">
            <v>9.6199999999999994E-2</v>
          </cell>
          <cell r="G4303">
            <v>304776</v>
          </cell>
        </row>
        <row r="4304">
          <cell r="A4304">
            <v>304786</v>
          </cell>
          <cell r="B4304" t="str">
            <v>SCR,#10-32x1/4 SH,SET,CUP PT, 316 SS</v>
          </cell>
          <cell r="C4304" t="str">
            <v>EA</v>
          </cell>
          <cell r="D4304" t="str">
            <v>RM100</v>
          </cell>
          <cell r="E4304">
            <v>0.12759999999999999</v>
          </cell>
          <cell r="G4304">
            <v>304786</v>
          </cell>
        </row>
        <row r="4305">
          <cell r="A4305">
            <v>304787</v>
          </cell>
          <cell r="B4305" t="str">
            <v>SCR,#10-24X1-1/2,SH,HX,SS 18-8</v>
          </cell>
          <cell r="C4305" t="str">
            <v>EA</v>
          </cell>
          <cell r="D4305" t="str">
            <v>RM100</v>
          </cell>
          <cell r="E4305">
            <v>0.11219999999999999</v>
          </cell>
          <cell r="G4305">
            <v>304787</v>
          </cell>
        </row>
        <row r="4306">
          <cell r="A4306">
            <v>304792</v>
          </cell>
          <cell r="B4306" t="str">
            <v>SCR,#8X4" FH,PH,STL,ZN  WOOD SCREW</v>
          </cell>
          <cell r="C4306" t="str">
            <v>EA</v>
          </cell>
          <cell r="D4306" t="str">
            <v>RM100</v>
          </cell>
          <cell r="E4306">
            <v>0.14019999999999999</v>
          </cell>
          <cell r="G4306">
            <v>304792</v>
          </cell>
        </row>
        <row r="4307">
          <cell r="A4307">
            <v>304800</v>
          </cell>
          <cell r="B4307" t="str">
            <v>ROD,THRD 5/8-11X72,SS T316</v>
          </cell>
          <cell r="C4307" t="str">
            <v>FT</v>
          </cell>
          <cell r="D4307" t="str">
            <v>RM100</v>
          </cell>
          <cell r="E4307">
            <v>7.6983300000000003</v>
          </cell>
          <cell r="G4307">
            <v>304800</v>
          </cell>
        </row>
        <row r="4308">
          <cell r="A4308">
            <v>304801</v>
          </cell>
          <cell r="B4308" t="str">
            <v>SCR,M6-1x8mm,PH,PH,STL,ZN PLT</v>
          </cell>
          <cell r="C4308" t="str">
            <v>EA</v>
          </cell>
          <cell r="D4308" t="str">
            <v>RM100</v>
          </cell>
          <cell r="E4308">
            <v>6.1600000000000002E-2</v>
          </cell>
          <cell r="G4308">
            <v>304801</v>
          </cell>
        </row>
        <row r="4309">
          <cell r="A4309">
            <v>304802</v>
          </cell>
          <cell r="B4309" t="str">
            <v>L/WSHR,M6,TOOTH LOCK,SS</v>
          </cell>
          <cell r="C4309" t="str">
            <v>EA</v>
          </cell>
          <cell r="D4309" t="str">
            <v>RM100</v>
          </cell>
          <cell r="E4309">
            <v>1.89E-2</v>
          </cell>
          <cell r="G4309">
            <v>304802</v>
          </cell>
        </row>
        <row r="4310">
          <cell r="A4310">
            <v>304803</v>
          </cell>
          <cell r="B4310" t="str">
            <v>WSHR,3/8 FLAT,STL,SS</v>
          </cell>
          <cell r="C4310" t="str">
            <v>EA</v>
          </cell>
          <cell r="D4310" t="str">
            <v>RM100</v>
          </cell>
          <cell r="E4310">
            <v>0.155</v>
          </cell>
          <cell r="G4310">
            <v>304803</v>
          </cell>
        </row>
        <row r="4311">
          <cell r="A4311">
            <v>304805</v>
          </cell>
          <cell r="B4311" t="str">
            <v>SCR,3/8-16X3/4 HH SH STLZN TPT*</v>
          </cell>
          <cell r="C4311" t="str">
            <v>EA</v>
          </cell>
          <cell r="D4311" t="str">
            <v>RM100</v>
          </cell>
          <cell r="E4311">
            <v>0.19189999999999999</v>
          </cell>
          <cell r="G4311">
            <v>304805</v>
          </cell>
        </row>
        <row r="4312">
          <cell r="A4312">
            <v>304818</v>
          </cell>
          <cell r="B4312" t="str">
            <v>SCR,#4-40x3/8 PN,PH,STL,ZN,MS</v>
          </cell>
          <cell r="C4312" t="str">
            <v>EA</v>
          </cell>
          <cell r="D4312" t="str">
            <v>RM100</v>
          </cell>
          <cell r="E4312">
            <v>1.37E-2</v>
          </cell>
          <cell r="G4312">
            <v>304818</v>
          </cell>
        </row>
        <row r="4313">
          <cell r="A4313">
            <v>304819</v>
          </cell>
          <cell r="B4313" t="str">
            <v>SCR,#10-24x3/16,W/3/32HX &amp; KNRLED CUP*</v>
          </cell>
          <cell r="C4313" t="str">
            <v>EA</v>
          </cell>
          <cell r="D4313" t="str">
            <v>RM100</v>
          </cell>
          <cell r="E4313">
            <v>8.5900000000000004E-2</v>
          </cell>
          <cell r="G4313">
            <v>304819</v>
          </cell>
        </row>
        <row r="4314">
          <cell r="A4314">
            <v>304841</v>
          </cell>
          <cell r="B4314" t="str">
            <v>SCREW,#6 X 2,FLAT,PHIL,SS,SM</v>
          </cell>
          <cell r="C4314" t="str">
            <v>EA</v>
          </cell>
          <cell r="D4314" t="str">
            <v>RM100</v>
          </cell>
          <cell r="E4314">
            <v>0.10829999999999999</v>
          </cell>
          <cell r="G4314">
            <v>304841</v>
          </cell>
        </row>
        <row r="4315">
          <cell r="A4315">
            <v>304842</v>
          </cell>
          <cell r="B4315" t="str">
            <v>WSHR,#6,FINISHING,SS 98466A007*</v>
          </cell>
          <cell r="C4315" t="str">
            <v>EA</v>
          </cell>
          <cell r="D4315" t="str">
            <v>RM100</v>
          </cell>
          <cell r="E4315">
            <v>3.1300000000000001E-2</v>
          </cell>
          <cell r="G4315">
            <v>304842</v>
          </cell>
        </row>
        <row r="4316">
          <cell r="A4316">
            <v>304862</v>
          </cell>
          <cell r="B4316" t="str">
            <v>NUT,10-24,STL,4-PRONG,STAFAST 102454F11</v>
          </cell>
          <cell r="C4316" t="str">
            <v>EA</v>
          </cell>
          <cell r="D4316" t="str">
            <v>MA100</v>
          </cell>
          <cell r="E4316">
            <v>0.17219999999999999</v>
          </cell>
          <cell r="G4316">
            <v>304862</v>
          </cell>
        </row>
        <row r="4317">
          <cell r="A4317">
            <v>304876</v>
          </cell>
          <cell r="B4317" t="str">
            <v>SCR,1/4-20X5/8,PH,ZN PLTD,F.H.M.</v>
          </cell>
          <cell r="C4317" t="str">
            <v>EA</v>
          </cell>
          <cell r="D4317" t="str">
            <v>RM100</v>
          </cell>
          <cell r="E4317">
            <v>7.7100000000000002E-2</v>
          </cell>
          <cell r="G4317">
            <v>304876</v>
          </cell>
        </row>
        <row r="4318">
          <cell r="A4318">
            <v>304888</v>
          </cell>
          <cell r="B4318" t="str">
            <v>SCR,#8X3/4TR,PH,SS,18-8</v>
          </cell>
          <cell r="C4318" t="str">
            <v>EA</v>
          </cell>
          <cell r="D4318" t="str">
            <v>RM100</v>
          </cell>
          <cell r="E4318">
            <v>4.8000000000000001E-2</v>
          </cell>
          <cell r="G4318">
            <v>304888</v>
          </cell>
        </row>
        <row r="4319">
          <cell r="A4319">
            <v>304893</v>
          </cell>
          <cell r="B4319" t="str">
            <v>BOLT,5/8-11X2HH,NA,SS,NA,MCM 92240A770</v>
          </cell>
          <cell r="C4319" t="str">
            <v>EA</v>
          </cell>
          <cell r="D4319" t="str">
            <v>RM100</v>
          </cell>
          <cell r="E4319">
            <v>1.5249999999999999</v>
          </cell>
          <cell r="G4319">
            <v>304893</v>
          </cell>
        </row>
        <row r="4320">
          <cell r="A4320">
            <v>304902</v>
          </cell>
          <cell r="B4320" t="str">
            <v>SPRING,COMPR SS WIRE .72"OD X.2"X.0.072"</v>
          </cell>
          <cell r="C4320" t="str">
            <v>EA</v>
          </cell>
          <cell r="D4320" t="str">
            <v>RM100</v>
          </cell>
          <cell r="E4320">
            <v>1.5840000000000001</v>
          </cell>
          <cell r="G4320">
            <v>304902</v>
          </cell>
        </row>
        <row r="4321">
          <cell r="A4321">
            <v>304904</v>
          </cell>
          <cell r="B4321" t="str">
            <v>ROD,THRD 3/4-10x72" STL ZN PLT MCM# *</v>
          </cell>
          <cell r="C4321" t="str">
            <v>FT</v>
          </cell>
          <cell r="D4321" t="str">
            <v>RM100</v>
          </cell>
          <cell r="E4321">
            <v>1.5121</v>
          </cell>
          <cell r="G4321">
            <v>304904</v>
          </cell>
        </row>
        <row r="4322">
          <cell r="A4322">
            <v>304906</v>
          </cell>
          <cell r="B4322" t="str">
            <v>WSHR,STL BEVELED FOR 3/8" BOLT MCM *</v>
          </cell>
          <cell r="C4322" t="str">
            <v>EA</v>
          </cell>
          <cell r="D4322" t="str">
            <v>RM100</v>
          </cell>
          <cell r="E4322">
            <v>0.871</v>
          </cell>
          <cell r="G4322">
            <v>304906</v>
          </cell>
        </row>
        <row r="4323">
          <cell r="A4323">
            <v>304908</v>
          </cell>
          <cell r="B4323" t="str">
            <v>SCR,1/4-20X7/8,FH,PH,STL, ZN</v>
          </cell>
          <cell r="C4323" t="str">
            <v>EA</v>
          </cell>
          <cell r="D4323" t="str">
            <v>RM100</v>
          </cell>
          <cell r="E4323">
            <v>8.9200000000000002E-2</v>
          </cell>
          <cell r="G4323">
            <v>304908</v>
          </cell>
        </row>
        <row r="4324">
          <cell r="A4324">
            <v>304909</v>
          </cell>
          <cell r="B4324" t="str">
            <v>BOLT,5/16-18X1-1/4,HH,SL,STL,ZN</v>
          </cell>
          <cell r="C4324" t="str">
            <v>EA</v>
          </cell>
          <cell r="D4324" t="str">
            <v>RM100</v>
          </cell>
          <cell r="E4324">
            <v>0.1225</v>
          </cell>
          <cell r="G4324">
            <v>304909</v>
          </cell>
        </row>
        <row r="4325">
          <cell r="A4325">
            <v>304915</v>
          </cell>
          <cell r="B4325" t="str">
            <v>SCR,5/16-18X1-3/4,HH,TAP,STL,ZN</v>
          </cell>
          <cell r="C4325" t="str">
            <v>EA</v>
          </cell>
          <cell r="D4325" t="str">
            <v>RM100</v>
          </cell>
          <cell r="E4325">
            <v>0.185</v>
          </cell>
          <cell r="G4325">
            <v>304915</v>
          </cell>
        </row>
        <row r="4326">
          <cell r="A4326">
            <v>304921</v>
          </cell>
          <cell r="B4326" t="str">
            <v>WSHR,SHLDR KOROLATH FOR 1/2" ROD*</v>
          </cell>
          <cell r="C4326" t="str">
            <v>EA</v>
          </cell>
          <cell r="D4326" t="str">
            <v>RM100</v>
          </cell>
          <cell r="E4326">
            <v>2.65</v>
          </cell>
          <cell r="G4326">
            <v>304921</v>
          </cell>
        </row>
        <row r="4327">
          <cell r="A4327">
            <v>304922</v>
          </cell>
          <cell r="B4327" t="str">
            <v>WSHR,SHLDR KOROLATH FOR 5/8" ROD*</v>
          </cell>
          <cell r="C4327" t="str">
            <v>EA</v>
          </cell>
          <cell r="D4327" t="str">
            <v>RM100</v>
          </cell>
          <cell r="E4327">
            <v>2.65</v>
          </cell>
          <cell r="G4327">
            <v>304922</v>
          </cell>
        </row>
        <row r="4328">
          <cell r="A4328">
            <v>304923</v>
          </cell>
          <cell r="B4328" t="str">
            <v>WSHR,SHLDR KOROLATH FOR 7/8" ROD*</v>
          </cell>
          <cell r="C4328" t="str">
            <v>EA</v>
          </cell>
          <cell r="D4328" t="str">
            <v>RM100</v>
          </cell>
          <cell r="E4328">
            <v>2.65</v>
          </cell>
          <cell r="G4328">
            <v>304923</v>
          </cell>
        </row>
        <row r="4329">
          <cell r="A4329">
            <v>304924</v>
          </cell>
          <cell r="B4329" t="str">
            <v>WSHR,SHLDR KOROLATH FOR 1 1/4" ROD*</v>
          </cell>
          <cell r="C4329" t="str">
            <v>EA</v>
          </cell>
          <cell r="D4329" t="str">
            <v>RM100</v>
          </cell>
          <cell r="E4329">
            <v>2.65</v>
          </cell>
          <cell r="G4329">
            <v>304924</v>
          </cell>
        </row>
        <row r="4330">
          <cell r="A4330">
            <v>304928</v>
          </cell>
          <cell r="B4330" t="str">
            <v>WSHR,SHLDR KOROLATH FOR 3/4" ROD*</v>
          </cell>
          <cell r="C4330" t="str">
            <v>EA</v>
          </cell>
          <cell r="D4330" t="str">
            <v>RM100</v>
          </cell>
          <cell r="E4330">
            <v>2.65</v>
          </cell>
          <cell r="G4330">
            <v>304928</v>
          </cell>
        </row>
        <row r="4331">
          <cell r="A4331">
            <v>304930</v>
          </cell>
          <cell r="B4331" t="str">
            <v>SCR,10-32X1/2",PH,PH,THREAD CUT,STL</v>
          </cell>
          <cell r="C4331" t="str">
            <v>EA</v>
          </cell>
          <cell r="D4331" t="str">
            <v>RM100</v>
          </cell>
          <cell r="E4331">
            <v>4.5199999999999997E-2</v>
          </cell>
          <cell r="G4331">
            <v>304930</v>
          </cell>
        </row>
        <row r="4332">
          <cell r="A4332">
            <v>304932</v>
          </cell>
          <cell r="B4332" t="str">
            <v>SCR,1/4x2-1/4,FH,PH,TAP-CON</v>
          </cell>
          <cell r="C4332" t="str">
            <v>EA</v>
          </cell>
          <cell r="D4332" t="str">
            <v>RM100</v>
          </cell>
          <cell r="E4332">
            <v>0.1011</v>
          </cell>
          <cell r="G4332">
            <v>304932</v>
          </cell>
        </row>
        <row r="4333">
          <cell r="A4333">
            <v>304934</v>
          </cell>
          <cell r="B4333" t="str">
            <v>SCR,1/4x2-1/4,HH,PH,TAP-CON</v>
          </cell>
          <cell r="C4333" t="str">
            <v>EA</v>
          </cell>
          <cell r="D4333" t="str">
            <v>RM100</v>
          </cell>
          <cell r="E4333">
            <v>0.1852</v>
          </cell>
          <cell r="G4333">
            <v>304934</v>
          </cell>
        </row>
        <row r="4334">
          <cell r="A4334">
            <v>304935</v>
          </cell>
          <cell r="B4334" t="str">
            <v>SCR,#10-24X1,PN,PH,18-8 SS</v>
          </cell>
          <cell r="C4334" t="str">
            <v>EA</v>
          </cell>
          <cell r="D4334" t="str">
            <v>RM100</v>
          </cell>
          <cell r="E4334">
            <v>9.8599999999999993E-2</v>
          </cell>
          <cell r="G4334">
            <v>304935</v>
          </cell>
        </row>
        <row r="4335">
          <cell r="A4335">
            <v>304936</v>
          </cell>
          <cell r="B4335" t="str">
            <v>SCR,#6-32X1/2,OV,PH,SS</v>
          </cell>
          <cell r="C4335" t="str">
            <v>EA</v>
          </cell>
          <cell r="D4335" t="str">
            <v>RM100</v>
          </cell>
          <cell r="E4335">
            <v>0.03</v>
          </cell>
          <cell r="G4335">
            <v>304936</v>
          </cell>
        </row>
        <row r="4336">
          <cell r="A4336">
            <v>304938</v>
          </cell>
          <cell r="B4336" t="str">
            <v>SCR,#10-32X3/8,PN,PH,18-8 SS</v>
          </cell>
          <cell r="C4336" t="str">
            <v>EA</v>
          </cell>
          <cell r="D4336" t="str">
            <v>RM100</v>
          </cell>
          <cell r="E4336">
            <v>3.6299999999999999E-2</v>
          </cell>
          <cell r="G4336">
            <v>304938</v>
          </cell>
        </row>
        <row r="4337">
          <cell r="A4337">
            <v>304939</v>
          </cell>
          <cell r="B4337" t="str">
            <v>SCR,#10-32X3/4,PN,PH,18-8 SS</v>
          </cell>
          <cell r="C4337" t="str">
            <v>EA</v>
          </cell>
          <cell r="D4337" t="str">
            <v>RM100</v>
          </cell>
          <cell r="E4337">
            <v>3.5499999999999997E-2</v>
          </cell>
          <cell r="G4337">
            <v>304939</v>
          </cell>
        </row>
        <row r="4338">
          <cell r="A4338">
            <v>304940</v>
          </cell>
          <cell r="B4338" t="str">
            <v>SCR,3/8-16X3/4,FH,HX,STL,OX*</v>
          </cell>
          <cell r="C4338" t="str">
            <v>EA</v>
          </cell>
          <cell r="D4338" t="str">
            <v>RM100</v>
          </cell>
          <cell r="E4338">
            <v>0.18</v>
          </cell>
          <cell r="G4338">
            <v>304940</v>
          </cell>
        </row>
        <row r="4339">
          <cell r="A4339">
            <v>304941</v>
          </cell>
          <cell r="B4339" t="str">
            <v>SCR,3/8-16X6,HH,SH,STL, ZN</v>
          </cell>
          <cell r="C4339" t="str">
            <v>EA</v>
          </cell>
          <cell r="D4339" t="str">
            <v>RM100</v>
          </cell>
          <cell r="E4339">
            <v>1.2749999999999999</v>
          </cell>
          <cell r="G4339">
            <v>304941</v>
          </cell>
        </row>
        <row r="4340">
          <cell r="A4340">
            <v>304946</v>
          </cell>
          <cell r="B4340" t="str">
            <v>Anchor,Hilti HAS-E 3/8 x 5 1/8" (200/BX)</v>
          </cell>
          <cell r="C4340" t="str">
            <v>EA</v>
          </cell>
          <cell r="D4340" t="str">
            <v>RM100</v>
          </cell>
          <cell r="E4340">
            <v>1.5512999999999999</v>
          </cell>
          <cell r="G4340">
            <v>304946</v>
          </cell>
        </row>
        <row r="4341">
          <cell r="A4341">
            <v>304954</v>
          </cell>
          <cell r="B4341" t="str">
            <v>SCR,1/4-20 X 2 3/4" PH F HD  MCM 91771A</v>
          </cell>
          <cell r="C4341" t="str">
            <v>EA</v>
          </cell>
          <cell r="D4341" t="str">
            <v>RM100</v>
          </cell>
          <cell r="E4341">
            <v>0.53100000000000003</v>
          </cell>
          <cell r="G4341">
            <v>304954</v>
          </cell>
        </row>
        <row r="4342">
          <cell r="A4342">
            <v>304963</v>
          </cell>
          <cell r="B4342" t="str">
            <v>WSHR,#8,FLAT,STL SAE .445 OD .185 ID*</v>
          </cell>
          <cell r="C4342" t="str">
            <v>EA</v>
          </cell>
          <cell r="D4342" t="str">
            <v>RM100</v>
          </cell>
          <cell r="E4342">
            <v>1.072E-2</v>
          </cell>
          <cell r="G4342">
            <v>304963</v>
          </cell>
        </row>
        <row r="4343">
          <cell r="A4343">
            <v>304972</v>
          </cell>
          <cell r="B4343" t="str">
            <v>WSHR,3/4" FL. BRASS     13/16" ID,</v>
          </cell>
          <cell r="C4343" t="str">
            <v>EA</v>
          </cell>
          <cell r="D4343" t="str">
            <v>RM100</v>
          </cell>
          <cell r="E4343">
            <v>1.86</v>
          </cell>
          <cell r="G4343">
            <v>304972</v>
          </cell>
        </row>
        <row r="4344">
          <cell r="A4344">
            <v>304980</v>
          </cell>
          <cell r="B4344" t="str">
            <v>SCR,#8-32X3/8 PH FH MS STL</v>
          </cell>
          <cell r="C4344" t="str">
            <v>EA</v>
          </cell>
          <cell r="D4344" t="str">
            <v>RM100</v>
          </cell>
          <cell r="E4344">
            <v>1.72E-2</v>
          </cell>
          <cell r="G4344">
            <v>304980</v>
          </cell>
        </row>
        <row r="4345">
          <cell r="A4345">
            <v>304990</v>
          </cell>
          <cell r="B4345" t="str">
            <v>WSHR,MESH.25THKX.63I.D.X1.75 O.D. SNCUFE</v>
          </cell>
          <cell r="C4345" t="str">
            <v>EA</v>
          </cell>
          <cell r="D4345" t="str">
            <v>RM100</v>
          </cell>
          <cell r="E4345">
            <v>2.7</v>
          </cell>
          <cell r="G4345">
            <v>304990</v>
          </cell>
        </row>
        <row r="4346">
          <cell r="A4346">
            <v>304991</v>
          </cell>
          <cell r="B4346" t="str">
            <v>NUT,5/8-11 HEX,SS,MCM 91847A540</v>
          </cell>
          <cell r="C4346" t="str">
            <v>EA</v>
          </cell>
          <cell r="D4346" t="str">
            <v>RM100</v>
          </cell>
          <cell r="E4346">
            <v>0.63500000000000001</v>
          </cell>
          <cell r="G4346">
            <v>304991</v>
          </cell>
        </row>
        <row r="4347">
          <cell r="A4347">
            <v>304992</v>
          </cell>
          <cell r="B4347" t="str">
            <v>NUT,3/8-16 HEX,SS,MCM 91847A031</v>
          </cell>
          <cell r="C4347" t="str">
            <v>EA</v>
          </cell>
          <cell r="D4347" t="str">
            <v>RM100</v>
          </cell>
          <cell r="E4347">
            <v>7.1999999999999995E-2</v>
          </cell>
          <cell r="G4347">
            <v>304992</v>
          </cell>
        </row>
        <row r="4348">
          <cell r="A4348">
            <v>304995</v>
          </cell>
          <cell r="B4348" t="str">
            <v>SCR,#10-24X3/8PH PH S/S MACH</v>
          </cell>
          <cell r="C4348" t="str">
            <v>EA</v>
          </cell>
          <cell r="D4348" t="str">
            <v>RM100</v>
          </cell>
          <cell r="E4348">
            <v>5.4199999999999998E-2</v>
          </cell>
          <cell r="G4348">
            <v>304995</v>
          </cell>
        </row>
        <row r="4349">
          <cell r="A4349">
            <v>304996</v>
          </cell>
          <cell r="B4349" t="str">
            <v>WSHR,#10 FLAT .219"ID X .5"OD S/S MCM#98</v>
          </cell>
          <cell r="C4349" t="str">
            <v>EA</v>
          </cell>
          <cell r="D4349" t="str">
            <v>RM100</v>
          </cell>
          <cell r="E4349">
            <v>2.7199999999999998E-2</v>
          </cell>
          <cell r="G4349">
            <v>304996</v>
          </cell>
        </row>
        <row r="4350">
          <cell r="A4350">
            <v>304999</v>
          </cell>
          <cell r="B4350" t="str">
            <v>NUT,3/8-16x1-1/8 CPLG,18-8 SS</v>
          </cell>
          <cell r="C4350" t="str">
            <v>EA</v>
          </cell>
          <cell r="D4350" t="str">
            <v>RM100</v>
          </cell>
          <cell r="E4350">
            <v>0.65669999999999995</v>
          </cell>
          <cell r="G4350">
            <v>304999</v>
          </cell>
        </row>
        <row r="4351">
          <cell r="A4351">
            <v>305001</v>
          </cell>
          <cell r="B4351" t="str">
            <v>SCR,#14-2",PH,FH,SS 316</v>
          </cell>
          <cell r="C4351" t="str">
            <v>EA</v>
          </cell>
          <cell r="D4351" t="str">
            <v>RM100</v>
          </cell>
          <cell r="E4351">
            <v>0.45</v>
          </cell>
          <cell r="G4351">
            <v>305001</v>
          </cell>
        </row>
        <row r="4352">
          <cell r="A4352">
            <v>305002</v>
          </cell>
          <cell r="B4352" t="str">
            <v>NUT,8-32,ZINC YELLOW CR STEEL RIVET *</v>
          </cell>
          <cell r="C4352" t="str">
            <v>EA</v>
          </cell>
          <cell r="D4352" t="str">
            <v>RM100</v>
          </cell>
          <cell r="E4352">
            <v>0.14829999999999999</v>
          </cell>
          <cell r="G4352">
            <v>305002</v>
          </cell>
        </row>
        <row r="4353">
          <cell r="A4353">
            <v>305003</v>
          </cell>
          <cell r="B4353" t="str">
            <v>SCR,1/4-20x1 PN PH SS</v>
          </cell>
          <cell r="C4353" t="str">
            <v>EA</v>
          </cell>
          <cell r="D4353" t="str">
            <v>RM100</v>
          </cell>
          <cell r="E4353">
            <v>0.19939999999999999</v>
          </cell>
          <cell r="G4353">
            <v>305003</v>
          </cell>
        </row>
        <row r="4354">
          <cell r="A4354">
            <v>305004</v>
          </cell>
          <cell r="B4354" t="str">
            <v>SCR,#8-32x3/4 FH PH MS 18-8 SS</v>
          </cell>
          <cell r="C4354" t="str">
            <v>EA</v>
          </cell>
          <cell r="D4354" t="str">
            <v>RM100</v>
          </cell>
          <cell r="E4354">
            <v>4.3700000000000003E-2</v>
          </cell>
          <cell r="G4354">
            <v>305004</v>
          </cell>
        </row>
        <row r="4355">
          <cell r="A4355">
            <v>305007</v>
          </cell>
          <cell r="B4355" t="str">
            <v>SPCR,ALUM,3/4"ODx3/8"IDx3/8"LNG</v>
          </cell>
          <cell r="C4355" t="str">
            <v>EA</v>
          </cell>
          <cell r="D4355" t="str">
            <v>RM100</v>
          </cell>
          <cell r="E4355">
            <v>1.96</v>
          </cell>
          <cell r="G4355">
            <v>305007</v>
          </cell>
        </row>
        <row r="4356">
          <cell r="A4356">
            <v>305008</v>
          </cell>
          <cell r="B4356" t="str">
            <v>WSHR,#8 CSK FNSHING SS   MAX OD .448"</v>
          </cell>
          <cell r="C4356" t="str">
            <v>EA</v>
          </cell>
          <cell r="D4356" t="str">
            <v>RM100</v>
          </cell>
          <cell r="E4356">
            <v>1.8499999999999999E-2</v>
          </cell>
          <cell r="G4356">
            <v>305008</v>
          </cell>
        </row>
        <row r="4357">
          <cell r="A4357">
            <v>305009</v>
          </cell>
          <cell r="B4357" t="str">
            <v>NUT,SCREWLOCK SHORT FEM,4-40STL</v>
          </cell>
          <cell r="C4357" t="str">
            <v>EA</v>
          </cell>
          <cell r="D4357" t="str">
            <v>RM100</v>
          </cell>
          <cell r="E4357">
            <v>2.75</v>
          </cell>
          <cell r="G4357">
            <v>305009</v>
          </cell>
        </row>
        <row r="4358">
          <cell r="A4358">
            <v>305011</v>
          </cell>
          <cell r="B4358" t="str">
            <v>SPCR,ALUM,3/4"ODx3/8"IDx1/2"LNG</v>
          </cell>
          <cell r="C4358" t="str">
            <v>EA</v>
          </cell>
          <cell r="D4358" t="str">
            <v>RM100</v>
          </cell>
          <cell r="E4358">
            <v>1.96</v>
          </cell>
          <cell r="G4358">
            <v>305011</v>
          </cell>
        </row>
        <row r="4359">
          <cell r="A4359">
            <v>305012</v>
          </cell>
          <cell r="B4359" t="str">
            <v>SCR,#8-32X1,PH,FH,UNDERCUT,SS,18-8</v>
          </cell>
          <cell r="C4359" t="str">
            <v>EA</v>
          </cell>
          <cell r="D4359" t="str">
            <v>RM100</v>
          </cell>
          <cell r="E4359">
            <v>9.9599999999999994E-2</v>
          </cell>
          <cell r="G4359">
            <v>305012</v>
          </cell>
        </row>
        <row r="4360">
          <cell r="A4360">
            <v>305015</v>
          </cell>
          <cell r="B4360" t="str">
            <v>NUT,FLANGE,3/8-16,STL, BLK-OX</v>
          </cell>
          <cell r="C4360" t="str">
            <v>EA</v>
          </cell>
          <cell r="D4360" t="str">
            <v>RM100</v>
          </cell>
          <cell r="E4360">
            <v>2.16</v>
          </cell>
          <cell r="G4360">
            <v>305015</v>
          </cell>
        </row>
        <row r="4361">
          <cell r="A4361">
            <v>305017</v>
          </cell>
          <cell r="B4361" t="str">
            <v>SCR,3/8-16x2-3/4 HH, SS</v>
          </cell>
          <cell r="C4361" t="str">
            <v>EA</v>
          </cell>
          <cell r="D4361" t="str">
            <v>RM100</v>
          </cell>
          <cell r="E4361">
            <v>0.69</v>
          </cell>
          <cell r="G4361">
            <v>305017</v>
          </cell>
        </row>
        <row r="4362">
          <cell r="A4362">
            <v>305018</v>
          </cell>
          <cell r="B4362" t="str">
            <v>SCR,#8(A)x1-5/8NA,NA,STL,NA DRYWALL SDRL</v>
          </cell>
          <cell r="C4362" t="str">
            <v>EA</v>
          </cell>
          <cell r="D4362" t="str">
            <v>RM100</v>
          </cell>
          <cell r="E4362">
            <v>3.56E-2</v>
          </cell>
          <cell r="G4362">
            <v>305018</v>
          </cell>
        </row>
        <row r="4363">
          <cell r="A4363">
            <v>305019</v>
          </cell>
          <cell r="B4363" t="str">
            <v>SCR,#10-24X3/8 FH,PH,18-8SS</v>
          </cell>
          <cell r="C4363" t="str">
            <v>EA</v>
          </cell>
          <cell r="D4363" t="str">
            <v>RM100</v>
          </cell>
          <cell r="E4363">
            <v>6.0199999999999997E-2</v>
          </cell>
          <cell r="G4363">
            <v>305019</v>
          </cell>
        </row>
        <row r="4364">
          <cell r="A4364">
            <v>305020</v>
          </cell>
          <cell r="B4364" t="str">
            <v>SCR,#10-24X5/8 FH,PH,18-8SS</v>
          </cell>
          <cell r="C4364" t="str">
            <v>EA</v>
          </cell>
          <cell r="D4364" t="str">
            <v>RM100</v>
          </cell>
          <cell r="E4364">
            <v>6.5699999999999995E-2</v>
          </cell>
          <cell r="G4364">
            <v>305020</v>
          </cell>
        </row>
        <row r="4365">
          <cell r="A4365">
            <v>305023</v>
          </cell>
          <cell r="B4365" t="str">
            <v>SCR,3/8-16x4,HH,316 SS</v>
          </cell>
          <cell r="C4365" t="str">
            <v>EA</v>
          </cell>
          <cell r="D4365" t="str">
            <v>RM100</v>
          </cell>
          <cell r="E4365">
            <v>1.032</v>
          </cell>
          <cell r="G4365">
            <v>305023</v>
          </cell>
        </row>
        <row r="4366">
          <cell r="A4366">
            <v>305024</v>
          </cell>
          <cell r="B4366" t="str">
            <v>BOLT,3/8-16X1,HH,STL,ZN, GR 5</v>
          </cell>
          <cell r="C4366" t="str">
            <v>EA</v>
          </cell>
          <cell r="D4366" t="str">
            <v>RM100</v>
          </cell>
          <cell r="E4366">
            <v>0.1489</v>
          </cell>
          <cell r="G4366">
            <v>305024</v>
          </cell>
        </row>
        <row r="4367">
          <cell r="A4367">
            <v>305026</v>
          </cell>
          <cell r="B4367" t="str">
            <v>SCR,1/4-20X3,PH,FH,DRILL POINT,WD-METAL</v>
          </cell>
          <cell r="C4367" t="str">
            <v>EA</v>
          </cell>
          <cell r="D4367" t="str">
            <v>RM100</v>
          </cell>
          <cell r="E4367">
            <v>0.32040000000000002</v>
          </cell>
          <cell r="G4367">
            <v>305026</v>
          </cell>
        </row>
        <row r="4368">
          <cell r="A4368">
            <v>305027</v>
          </cell>
          <cell r="B4368" t="str">
            <v>SCR,#10-32x7/8,PH,FH,18-8 SS</v>
          </cell>
          <cell r="C4368" t="str">
            <v>EA</v>
          </cell>
          <cell r="D4368" t="str">
            <v>RM100</v>
          </cell>
          <cell r="E4368">
            <v>0.09</v>
          </cell>
          <cell r="G4368">
            <v>305027</v>
          </cell>
        </row>
        <row r="4369">
          <cell r="A4369">
            <v>305029</v>
          </cell>
          <cell r="B4369" t="str">
            <v>SCR,1/4-20X5/8,BT,SOC,18-8,SS*</v>
          </cell>
          <cell r="C4369" t="str">
            <v>EA</v>
          </cell>
          <cell r="D4369" t="str">
            <v>RM100</v>
          </cell>
          <cell r="E4369">
            <v>8.5999999999999993E-2</v>
          </cell>
          <cell r="G4369">
            <v>305029</v>
          </cell>
        </row>
        <row r="4370">
          <cell r="A4370">
            <v>305033</v>
          </cell>
          <cell r="B4370" t="str">
            <v>SCR,#12(A)X3/4RH,PH,STL,ZN SELF-TAPPING</v>
          </cell>
          <cell r="C4370" t="str">
            <v>EA</v>
          </cell>
          <cell r="D4370" t="str">
            <v>RM100</v>
          </cell>
          <cell r="E4370">
            <v>6.4899999999999999E-2</v>
          </cell>
          <cell r="G4370">
            <v>305033</v>
          </cell>
        </row>
        <row r="4371">
          <cell r="A4371">
            <v>305036</v>
          </cell>
          <cell r="B4371" t="str">
            <v>SCR,#12-14X3HX,STL,ZN SELF-TAPPING</v>
          </cell>
          <cell r="C4371" t="str">
            <v>EA</v>
          </cell>
          <cell r="D4371" t="str">
            <v>RM100</v>
          </cell>
          <cell r="E4371">
            <v>0.14949999999999999</v>
          </cell>
          <cell r="G4371">
            <v>305036</v>
          </cell>
        </row>
        <row r="4372">
          <cell r="A4372">
            <v>305037</v>
          </cell>
          <cell r="B4372" t="str">
            <v>SCR,#12(AB)X3/4,PH,STL,ZN,SMS</v>
          </cell>
          <cell r="C4372" t="str">
            <v>EA</v>
          </cell>
          <cell r="D4372" t="str">
            <v>RM100</v>
          </cell>
          <cell r="E4372">
            <v>3.4099999999999998E-2</v>
          </cell>
          <cell r="G4372">
            <v>305037</v>
          </cell>
        </row>
        <row r="4373">
          <cell r="A4373">
            <v>305039</v>
          </cell>
          <cell r="B4373" t="str">
            <v>SCR,3/8-16X1-1/2 HX WSHHD ZN, TYPE "F"*</v>
          </cell>
          <cell r="C4373" t="str">
            <v>EA</v>
          </cell>
          <cell r="D4373" t="str">
            <v>RM100</v>
          </cell>
          <cell r="E4373">
            <v>0.26500000000000001</v>
          </cell>
          <cell r="G4373">
            <v>305039</v>
          </cell>
        </row>
        <row r="4374">
          <cell r="A4374">
            <v>305040</v>
          </cell>
          <cell r="B4374" t="str">
            <v>SCR,#12-14X2,HX,STL,ZN SELF-TAPPING</v>
          </cell>
          <cell r="C4374" t="str">
            <v>EA</v>
          </cell>
          <cell r="D4374" t="str">
            <v>RM100</v>
          </cell>
          <cell r="E4374">
            <v>9.8599999999999993E-2</v>
          </cell>
          <cell r="G4374">
            <v>305040</v>
          </cell>
        </row>
        <row r="4375">
          <cell r="A4375">
            <v>305044</v>
          </cell>
          <cell r="B4375" t="str">
            <v>ANCH,KB3 3/8X3 HILTI KWIK-BOLT*</v>
          </cell>
          <cell r="C4375" t="str">
            <v>EA</v>
          </cell>
          <cell r="D4375" t="str">
            <v>RM100</v>
          </cell>
          <cell r="E4375">
            <v>0.32740000000000002</v>
          </cell>
          <cell r="G4375">
            <v>305044</v>
          </cell>
        </row>
        <row r="4376">
          <cell r="A4376">
            <v>305050</v>
          </cell>
          <cell r="B4376" t="str">
            <v>SCR,#10-32X.5,SOCKET HEAD,SS,18-8</v>
          </cell>
          <cell r="C4376" t="str">
            <v>EA</v>
          </cell>
          <cell r="D4376" t="str">
            <v>MA100</v>
          </cell>
          <cell r="E4376">
            <v>0.18720000000000001</v>
          </cell>
          <cell r="G4376">
            <v>305050</v>
          </cell>
        </row>
        <row r="4377">
          <cell r="A4377">
            <v>305051</v>
          </cell>
          <cell r="B4377" t="str">
            <v>SCR,5/16-18x3/4,PN,PH,STL ZN,MS*</v>
          </cell>
          <cell r="C4377" t="str">
            <v>EA</v>
          </cell>
          <cell r="D4377" t="str">
            <v>RM100</v>
          </cell>
          <cell r="E4377">
            <v>0.18279999999999999</v>
          </cell>
          <cell r="G4377">
            <v>305051</v>
          </cell>
        </row>
        <row r="4378">
          <cell r="A4378">
            <v>305057</v>
          </cell>
          <cell r="B4378" t="str">
            <v>SCR,5/16-18x3/4,SH,HX,STL BLK OX, FH*</v>
          </cell>
          <cell r="C4378" t="str">
            <v>EA</v>
          </cell>
          <cell r="D4378" t="str">
            <v>RM100</v>
          </cell>
          <cell r="E4378">
            <v>0.1188</v>
          </cell>
          <cell r="G4378">
            <v>305057</v>
          </cell>
        </row>
        <row r="4379">
          <cell r="A4379">
            <v>305065</v>
          </cell>
          <cell r="B4379" t="str">
            <v>SCR,5/16-18x5/8,TRUSS HEAD,PH,SS*</v>
          </cell>
          <cell r="C4379" t="str">
            <v>EA</v>
          </cell>
          <cell r="D4379" t="str">
            <v>RM100</v>
          </cell>
          <cell r="E4379">
            <v>0.30719999999999997</v>
          </cell>
          <cell r="G4379">
            <v>305065</v>
          </cell>
        </row>
        <row r="4380">
          <cell r="A4380">
            <v>305066</v>
          </cell>
          <cell r="B4380" t="str">
            <v>SCR,1/4-20x3/8 PH PN,18-8 SS</v>
          </cell>
          <cell r="C4380" t="str">
            <v>EA</v>
          </cell>
          <cell r="D4380" t="str">
            <v>RM100</v>
          </cell>
          <cell r="E4380">
            <v>9.5299999999999996E-2</v>
          </cell>
          <cell r="G4380">
            <v>305066</v>
          </cell>
        </row>
        <row r="4381">
          <cell r="A4381">
            <v>305070</v>
          </cell>
          <cell r="B4381" t="str">
            <v>SCR,#10-32X2.25",SS,FH,PH</v>
          </cell>
          <cell r="C4381" t="str">
            <v>EA</v>
          </cell>
          <cell r="D4381" t="str">
            <v>MA100</v>
          </cell>
          <cell r="E4381">
            <v>0.2</v>
          </cell>
          <cell r="G4381">
            <v>305070</v>
          </cell>
        </row>
        <row r="4382">
          <cell r="A4382">
            <v>305093</v>
          </cell>
          <cell r="B4382" t="str">
            <v>BOLT,3/8-16X1 3/4,HH,SS 18-8,FULL THRD</v>
          </cell>
          <cell r="C4382" t="str">
            <v>EA</v>
          </cell>
          <cell r="D4382" t="str">
            <v>RM100</v>
          </cell>
          <cell r="E4382">
            <v>0.61</v>
          </cell>
          <cell r="G4382">
            <v>305093</v>
          </cell>
        </row>
        <row r="4383">
          <cell r="A4383">
            <v>305094</v>
          </cell>
          <cell r="B4383" t="str">
            <v>BOLT,3/8-16X2,HH,SS 18-8,FULL THRD</v>
          </cell>
          <cell r="C4383" t="str">
            <v>EA</v>
          </cell>
          <cell r="D4383" t="str">
            <v>RM100</v>
          </cell>
          <cell r="E4383">
            <v>0.48499999999999999</v>
          </cell>
          <cell r="G4383">
            <v>305094</v>
          </cell>
        </row>
        <row r="4384">
          <cell r="A4384">
            <v>305108</v>
          </cell>
          <cell r="B4384" t="str">
            <v>SCR,#6-32X1/2,FH,S/S,MS</v>
          </cell>
          <cell r="C4384" t="str">
            <v>EA</v>
          </cell>
          <cell r="D4384" t="str">
            <v>RM100</v>
          </cell>
          <cell r="E4384">
            <v>2.5999999999999999E-2</v>
          </cell>
          <cell r="G4384">
            <v>305108</v>
          </cell>
        </row>
        <row r="4385">
          <cell r="A4385">
            <v>305109</v>
          </cell>
          <cell r="B4385" t="str">
            <v>NUT,#10-32 SS LNUT w/SERRATED FLNG</v>
          </cell>
          <cell r="C4385" t="str">
            <v>EA</v>
          </cell>
          <cell r="D4385" t="str">
            <v>RM100</v>
          </cell>
          <cell r="E4385">
            <v>7.1999999999999995E-2</v>
          </cell>
          <cell r="G4385">
            <v>305109</v>
          </cell>
        </row>
        <row r="4386">
          <cell r="A4386">
            <v>305112</v>
          </cell>
          <cell r="B4386" t="str">
            <v>SCR,3/8-16X1-1/4 HH STL ZN</v>
          </cell>
          <cell r="C4386" t="str">
            <v>EA</v>
          </cell>
          <cell r="D4386" t="str">
            <v>RM100</v>
          </cell>
          <cell r="E4386">
            <v>0.17330000000000001</v>
          </cell>
          <cell r="G4386">
            <v>305112</v>
          </cell>
        </row>
        <row r="4387">
          <cell r="A4387">
            <v>305120</v>
          </cell>
          <cell r="B4387" t="str">
            <v>SCR,#8x3,PHL BUG,SDS,BLK</v>
          </cell>
          <cell r="C4387" t="str">
            <v>EA</v>
          </cell>
          <cell r="D4387" t="str">
            <v>RM100</v>
          </cell>
          <cell r="E4387">
            <v>0.1638</v>
          </cell>
          <cell r="G4387">
            <v>305120</v>
          </cell>
        </row>
        <row r="4388">
          <cell r="A4388">
            <v>305126</v>
          </cell>
          <cell r="B4388" t="str">
            <v>SCR,#6-32x3/8,FH,PH,OX*</v>
          </cell>
          <cell r="C4388" t="str">
            <v>EA</v>
          </cell>
          <cell r="D4388" t="str">
            <v>RM100</v>
          </cell>
          <cell r="E4388">
            <v>3.95E-2</v>
          </cell>
          <cell r="G4388">
            <v>305126</v>
          </cell>
        </row>
        <row r="4389">
          <cell r="A4389">
            <v>305128</v>
          </cell>
          <cell r="B4389" t="str">
            <v>SCR,#10-32X5/8,FH,SS</v>
          </cell>
          <cell r="C4389" t="str">
            <v>EA</v>
          </cell>
          <cell r="D4389" t="str">
            <v>RM100</v>
          </cell>
          <cell r="E4389">
            <v>6.1800000000000001E-2</v>
          </cell>
          <cell r="G4389">
            <v>305128</v>
          </cell>
        </row>
        <row r="4390">
          <cell r="A4390">
            <v>305129</v>
          </cell>
          <cell r="B4390" t="str">
            <v>NUT,#10-32 SS LNUT W/NYL INSRT</v>
          </cell>
          <cell r="C4390" t="str">
            <v>EA</v>
          </cell>
          <cell r="D4390" t="str">
            <v>RM100</v>
          </cell>
          <cell r="E4390">
            <v>3.5000000000000003E-2</v>
          </cell>
          <cell r="G4390">
            <v>305129</v>
          </cell>
        </row>
        <row r="4391">
          <cell r="A4391">
            <v>305131</v>
          </cell>
          <cell r="B4391" t="str">
            <v>NUT,CLIP, 10-32</v>
          </cell>
          <cell r="C4391" t="str">
            <v>EA</v>
          </cell>
          <cell r="D4391" t="str">
            <v>RM100</v>
          </cell>
          <cell r="E4391">
            <v>0.46460000000000001</v>
          </cell>
          <cell r="G4391">
            <v>305131</v>
          </cell>
        </row>
        <row r="4392">
          <cell r="A4392">
            <v>305140</v>
          </cell>
          <cell r="B4392" t="str">
            <v>SCR,#8X1-1/2,PN,PH,STL ZN,SD</v>
          </cell>
          <cell r="C4392" t="str">
            <v>EA</v>
          </cell>
          <cell r="D4392" t="str">
            <v>RM100</v>
          </cell>
          <cell r="E4392">
            <v>7.4999999999999997E-2</v>
          </cell>
          <cell r="G4392">
            <v>305140</v>
          </cell>
        </row>
        <row r="4393">
          <cell r="A4393">
            <v>305149</v>
          </cell>
          <cell r="B4393" t="str">
            <v>SCR,1/4-20x3/4,FH,PH,316SS</v>
          </cell>
          <cell r="C4393" t="str">
            <v>EA</v>
          </cell>
          <cell r="D4393" t="str">
            <v>RM100</v>
          </cell>
          <cell r="E4393">
            <v>0.34200000000000003</v>
          </cell>
          <cell r="G4393">
            <v>305149</v>
          </cell>
        </row>
        <row r="4394">
          <cell r="A4394">
            <v>305153</v>
          </cell>
          <cell r="B4394" t="str">
            <v>SCR,3/8-16X3-1/2 HANGER HEADLESS</v>
          </cell>
          <cell r="C4394" t="str">
            <v>EA</v>
          </cell>
          <cell r="D4394" t="str">
            <v>RM100</v>
          </cell>
          <cell r="E4394">
            <v>0.35199999999999998</v>
          </cell>
          <cell r="G4394">
            <v>305153</v>
          </cell>
        </row>
        <row r="4395">
          <cell r="A4395">
            <v>305156</v>
          </cell>
          <cell r="B4395" t="str">
            <v>NUT,#10-24 SS LNUT W/NYL INSRT</v>
          </cell>
          <cell r="C4395" t="str">
            <v>EA</v>
          </cell>
          <cell r="D4395" t="str">
            <v>RM100</v>
          </cell>
          <cell r="E4395">
            <v>4.3999999999999997E-2</v>
          </cell>
          <cell r="G4395">
            <v>305156</v>
          </cell>
        </row>
        <row r="4396">
          <cell r="A4396">
            <v>305157</v>
          </cell>
          <cell r="B4396" t="str">
            <v>SCR,SHOULDER 1/4" DIA X 3/16" LG SOC HD</v>
          </cell>
          <cell r="C4396" t="str">
            <v>EA</v>
          </cell>
          <cell r="D4396" t="str">
            <v>RM100</v>
          </cell>
          <cell r="E4396">
            <v>1.95</v>
          </cell>
          <cell r="G4396">
            <v>305157</v>
          </cell>
        </row>
        <row r="4397">
          <cell r="A4397">
            <v>305180</v>
          </cell>
          <cell r="B4397" t="str">
            <v>BOLT,3/8-16X4 HH,HX,STL,ZN, GR5</v>
          </cell>
          <cell r="C4397" t="str">
            <v>EA</v>
          </cell>
          <cell r="D4397" t="str">
            <v>RM100</v>
          </cell>
          <cell r="E4397">
            <v>0.5</v>
          </cell>
          <cell r="G4397">
            <v>305180</v>
          </cell>
        </row>
        <row r="4398">
          <cell r="A4398">
            <v>305181</v>
          </cell>
          <cell r="B4398" t="str">
            <v>SCR,#10-24X3/4,SH,SET SCR 18-8 SS</v>
          </cell>
          <cell r="C4398" t="str">
            <v>EA</v>
          </cell>
          <cell r="D4398" t="str">
            <v>RM100</v>
          </cell>
          <cell r="E4398">
            <v>4.2000000000000003E-2</v>
          </cell>
          <cell r="G4398">
            <v>305181</v>
          </cell>
        </row>
        <row r="4399">
          <cell r="A4399">
            <v>305182</v>
          </cell>
          <cell r="B4399" t="str">
            <v>SCR,1/4-20x1,FH,PH,316SS MCM#91500A542</v>
          </cell>
          <cell r="C4399" t="str">
            <v>EA</v>
          </cell>
          <cell r="D4399" t="str">
            <v>RM100</v>
          </cell>
          <cell r="E4399">
            <v>0.34820000000000001</v>
          </cell>
          <cell r="G4399">
            <v>305182</v>
          </cell>
        </row>
        <row r="4400">
          <cell r="A4400">
            <v>305183</v>
          </cell>
          <cell r="B4400" t="str">
            <v>SCR,#10X3.5" FH,PH,STL,ZN  WOOD SCREW</v>
          </cell>
          <cell r="C4400" t="str">
            <v>EA</v>
          </cell>
          <cell r="D4400" t="str">
            <v>RM100</v>
          </cell>
          <cell r="E4400">
            <v>0.19040000000000001</v>
          </cell>
          <cell r="G4400">
            <v>305183</v>
          </cell>
        </row>
        <row r="4401">
          <cell r="A4401">
            <v>305190</v>
          </cell>
          <cell r="B4401" t="str">
            <v>WSHR,.656MIN IDx1.312 MAX OD GRADE1074*</v>
          </cell>
          <cell r="C4401" t="str">
            <v>EA</v>
          </cell>
          <cell r="D4401" t="str">
            <v>RM100</v>
          </cell>
          <cell r="E4401">
            <v>0.99</v>
          </cell>
          <cell r="G4401">
            <v>305190</v>
          </cell>
        </row>
        <row r="4402">
          <cell r="A4402">
            <v>305191</v>
          </cell>
          <cell r="B4402" t="str">
            <v>SCR,#4-40x5/8,PH,PH,18-8SS</v>
          </cell>
          <cell r="C4402" t="str">
            <v>EA</v>
          </cell>
          <cell r="D4402" t="str">
            <v>RM100</v>
          </cell>
          <cell r="E4402">
            <v>4.3200000000000002E-2</v>
          </cell>
          <cell r="G4402">
            <v>305191</v>
          </cell>
        </row>
        <row r="4403">
          <cell r="A4403">
            <v>305194</v>
          </cell>
          <cell r="B4403" t="str">
            <v>SCR,#10-24x1-1/2FH,PH,410SS MCM#92485A43</v>
          </cell>
          <cell r="C4403" t="str">
            <v>EA</v>
          </cell>
          <cell r="D4403" t="str">
            <v>RM100</v>
          </cell>
          <cell r="E4403">
            <v>7.9000000000000001E-2</v>
          </cell>
          <cell r="G4403">
            <v>305194</v>
          </cell>
        </row>
        <row r="4404">
          <cell r="A4404">
            <v>305195</v>
          </cell>
          <cell r="B4404" t="str">
            <v>SCR,#4-40X3/16PN,SL,STL,ZN,MS</v>
          </cell>
          <cell r="C4404" t="str">
            <v>EA</v>
          </cell>
          <cell r="D4404" t="str">
            <v>RM100</v>
          </cell>
          <cell r="E4404">
            <v>1.5299999999999999E-2</v>
          </cell>
          <cell r="G4404">
            <v>305195</v>
          </cell>
        </row>
        <row r="4405">
          <cell r="A4405">
            <v>305196</v>
          </cell>
          <cell r="B4405" t="str">
            <v>NUT,10-32,ZINC YELLOW CR STEEL RIVET *</v>
          </cell>
          <cell r="C4405" t="str">
            <v>EA</v>
          </cell>
          <cell r="D4405" t="str">
            <v>RM100</v>
          </cell>
          <cell r="E4405">
            <v>0.23</v>
          </cell>
          <cell r="G4405">
            <v>305196</v>
          </cell>
        </row>
        <row r="4406">
          <cell r="A4406">
            <v>305198</v>
          </cell>
          <cell r="B4406" t="str">
            <v>SCR,5/16-18x1,PN,PH,STL,ZN*</v>
          </cell>
          <cell r="C4406" t="str">
            <v>EA</v>
          </cell>
          <cell r="D4406" t="str">
            <v>RM100</v>
          </cell>
          <cell r="E4406">
            <v>0.20680000000000001</v>
          </cell>
          <cell r="G4406">
            <v>305198</v>
          </cell>
        </row>
        <row r="4407">
          <cell r="A4407">
            <v>305199</v>
          </cell>
          <cell r="B4407" t="str">
            <v>SCR,3/8-16X1,SH,SET,CUP PT, STL BLK OX</v>
          </cell>
          <cell r="C4407" t="str">
            <v>EA</v>
          </cell>
          <cell r="D4407" t="str">
            <v>RM100</v>
          </cell>
          <cell r="E4407">
            <v>0.39</v>
          </cell>
          <cell r="G4407">
            <v>305199</v>
          </cell>
        </row>
        <row r="4408">
          <cell r="A4408">
            <v>305203</v>
          </cell>
          <cell r="B4408" t="str">
            <v>SCR,3/8-16X4,SH,HX,CAP,STL,ZN</v>
          </cell>
          <cell r="C4408" t="str">
            <v>EA</v>
          </cell>
          <cell r="D4408" t="str">
            <v>RM100</v>
          </cell>
          <cell r="E4408">
            <v>0.9</v>
          </cell>
          <cell r="G4408">
            <v>305203</v>
          </cell>
        </row>
        <row r="4409">
          <cell r="A4409">
            <v>305204</v>
          </cell>
          <cell r="B4409" t="str">
            <v>SCR,#8-32x1-3/4 SH HX, 18-8SS</v>
          </cell>
          <cell r="C4409" t="str">
            <v>EA</v>
          </cell>
          <cell r="D4409" t="str">
            <v>RM100</v>
          </cell>
          <cell r="E4409">
            <v>0.21049999999999999</v>
          </cell>
          <cell r="G4409">
            <v>305204</v>
          </cell>
        </row>
        <row r="4410">
          <cell r="A4410">
            <v>305205</v>
          </cell>
          <cell r="B4410" t="str">
            <v>SPRING PLUNGER,LOCKING,5/16-18X9/16</v>
          </cell>
          <cell r="C4410" t="str">
            <v>EA</v>
          </cell>
          <cell r="D4410" t="str">
            <v>RM100</v>
          </cell>
          <cell r="E4410">
            <v>4.0199999999999996</v>
          </cell>
          <cell r="G4410">
            <v>305205</v>
          </cell>
        </row>
        <row r="4411">
          <cell r="A4411">
            <v>305219</v>
          </cell>
          <cell r="B4411" t="str">
            <v>SCR,1/4-20X3/8",HX,SH,CAP,18-8 SS</v>
          </cell>
          <cell r="C4411" t="str">
            <v>EA</v>
          </cell>
          <cell r="D4411" t="str">
            <v>RM100</v>
          </cell>
          <cell r="E4411">
            <v>0.1216</v>
          </cell>
          <cell r="G4411">
            <v>305219</v>
          </cell>
        </row>
        <row r="4412">
          <cell r="A4412">
            <v>305236</v>
          </cell>
          <cell r="B4412" t="str">
            <v>SCR,#10-32X2,TH,SD,SS,McM#91785A838</v>
          </cell>
          <cell r="C4412" t="str">
            <v>EA</v>
          </cell>
          <cell r="D4412" t="str">
            <v>RM100</v>
          </cell>
          <cell r="E4412">
            <v>0.2964</v>
          </cell>
          <cell r="G4412">
            <v>305236</v>
          </cell>
        </row>
        <row r="4413">
          <cell r="A4413">
            <v>305243</v>
          </cell>
          <cell r="B4413" t="str">
            <v>SCR,#10-32X1"PH,PH,18-8 SS,MCM#91772A833</v>
          </cell>
          <cell r="C4413" t="str">
            <v>EA</v>
          </cell>
          <cell r="D4413" t="str">
            <v>RM100</v>
          </cell>
          <cell r="E4413">
            <v>0.08</v>
          </cell>
          <cell r="G4413">
            <v>305243</v>
          </cell>
        </row>
        <row r="4414">
          <cell r="A4414">
            <v>305245</v>
          </cell>
          <cell r="B4414" t="str">
            <v>PLUG,FINISHING 1/2" ID, BLK NYLON</v>
          </cell>
          <cell r="C4414" t="str">
            <v>EA</v>
          </cell>
          <cell r="D4414" t="str">
            <v>RM100</v>
          </cell>
          <cell r="E4414">
            <v>7.4999999999999997E-2</v>
          </cell>
          <cell r="G4414">
            <v>305245</v>
          </cell>
        </row>
        <row r="4415">
          <cell r="A4415">
            <v>305247</v>
          </cell>
          <cell r="B4415" t="str">
            <v>SCR,#10-32X1-1/4,SH,18-8 SS</v>
          </cell>
          <cell r="C4415" t="str">
            <v>EA</v>
          </cell>
          <cell r="D4415" t="str">
            <v>RM100</v>
          </cell>
          <cell r="E4415">
            <v>0.309</v>
          </cell>
          <cell r="G4415">
            <v>305247</v>
          </cell>
        </row>
        <row r="4416">
          <cell r="A4416">
            <v>305248</v>
          </cell>
          <cell r="B4416" t="str">
            <v>SCR,#10-32X1-1/2,SH,18-8 SS</v>
          </cell>
          <cell r="C4416" t="str">
            <v>EA</v>
          </cell>
          <cell r="D4416" t="str">
            <v>RM100</v>
          </cell>
          <cell r="E4416">
            <v>0.19</v>
          </cell>
          <cell r="G4416">
            <v>305248</v>
          </cell>
        </row>
        <row r="4417">
          <cell r="A4417">
            <v>305249</v>
          </cell>
          <cell r="B4417" t="str">
            <v>SCR,#10-32x3", PH, OVL HD, 18-8 SS</v>
          </cell>
          <cell r="C4417" t="str">
            <v>EA</v>
          </cell>
          <cell r="D4417" t="str">
            <v>RM100</v>
          </cell>
          <cell r="E4417">
            <v>0.245</v>
          </cell>
          <cell r="G4417">
            <v>305249</v>
          </cell>
        </row>
        <row r="4418">
          <cell r="A4418">
            <v>305251</v>
          </cell>
          <cell r="B4418" t="str">
            <v>SCR,#10-24x3/4,PN,PH,STL,ZN,TYPE F</v>
          </cell>
          <cell r="C4418" t="str">
            <v>EA</v>
          </cell>
          <cell r="D4418" t="str">
            <v>RM100</v>
          </cell>
          <cell r="E4418">
            <v>0.1169</v>
          </cell>
          <cell r="G4418">
            <v>305251</v>
          </cell>
        </row>
        <row r="4419">
          <cell r="A4419">
            <v>305253</v>
          </cell>
          <cell r="B4419" t="str">
            <v>SCR,3/16X2.75,FH,PH,MCM#90161A629,CONC*</v>
          </cell>
          <cell r="C4419" t="str">
            <v>EA</v>
          </cell>
          <cell r="D4419" t="str">
            <v>RM100</v>
          </cell>
          <cell r="E4419">
            <v>0.14699999999999999</v>
          </cell>
          <cell r="G4419">
            <v>305253</v>
          </cell>
        </row>
        <row r="4420">
          <cell r="A4420">
            <v>305254</v>
          </cell>
          <cell r="B4420" t="str">
            <v>WSHR,3/8X2" OD FENDER SS18-8</v>
          </cell>
          <cell r="C4420" t="str">
            <v>EA</v>
          </cell>
          <cell r="D4420" t="str">
            <v>RM100</v>
          </cell>
          <cell r="E4420">
            <v>0.65</v>
          </cell>
          <cell r="G4420">
            <v>305254</v>
          </cell>
        </row>
        <row r="4421">
          <cell r="A4421">
            <v>305256</v>
          </cell>
          <cell r="B4421" t="str">
            <v>BOLT,5/8-18x10"LG HH MCM#91257A838 **</v>
          </cell>
          <cell r="C4421" t="str">
            <v>EA</v>
          </cell>
          <cell r="D4421" t="str">
            <v>RM100</v>
          </cell>
          <cell r="E4421">
            <v>5.5</v>
          </cell>
          <cell r="G4421">
            <v>305256</v>
          </cell>
        </row>
        <row r="4422">
          <cell r="A4422">
            <v>305257</v>
          </cell>
          <cell r="B4422" t="str">
            <v>NUT,5/8-18 HEX MCM#90499A835 GRADE 8 STL</v>
          </cell>
          <cell r="C4422" t="str">
            <v>EA</v>
          </cell>
          <cell r="D4422" t="str">
            <v>RM100</v>
          </cell>
          <cell r="E4422">
            <v>0.25</v>
          </cell>
          <cell r="G4422">
            <v>305257</v>
          </cell>
        </row>
        <row r="4423">
          <cell r="A4423">
            <v>305262</v>
          </cell>
          <cell r="B4423" t="str">
            <v>WSHR,FLAT 24OZ CU FOR 1/2" WVGD</v>
          </cell>
          <cell r="C4423" t="str">
            <v>EA</v>
          </cell>
          <cell r="D4423" t="str">
            <v>MA100</v>
          </cell>
          <cell r="E4423">
            <v>1.85985</v>
          </cell>
          <cell r="G4423">
            <v>305262</v>
          </cell>
        </row>
        <row r="4424">
          <cell r="A4424">
            <v>305263</v>
          </cell>
          <cell r="B4424" t="str">
            <v>WSHR,FLAT 24OZ CU FOR 1" WVGD</v>
          </cell>
          <cell r="C4424" t="str">
            <v>EA</v>
          </cell>
          <cell r="D4424" t="str">
            <v>MA100</v>
          </cell>
          <cell r="E4424">
            <v>1.85985</v>
          </cell>
          <cell r="G4424">
            <v>305263</v>
          </cell>
        </row>
        <row r="4425">
          <cell r="A4425" t="str">
            <v>305263-OP</v>
          </cell>
          <cell r="B4425" t="str">
            <v>Copper washer cutting</v>
          </cell>
          <cell r="C4425" t="str">
            <v>EA</v>
          </cell>
          <cell r="D4425" t="str">
            <v>RM100</v>
          </cell>
          <cell r="E4425">
            <v>2.38</v>
          </cell>
          <cell r="G4425" t="str">
            <v>305263-OP</v>
          </cell>
        </row>
        <row r="4426">
          <cell r="A4426">
            <v>305264</v>
          </cell>
          <cell r="B4426" t="str">
            <v>WSHR,FLAT 24OZ CU FOR 1-1/4" WVGD</v>
          </cell>
          <cell r="C4426" t="str">
            <v>EA</v>
          </cell>
          <cell r="D4426" t="str">
            <v>MA100</v>
          </cell>
          <cell r="E4426">
            <v>0.93067</v>
          </cell>
          <cell r="G4426">
            <v>305264</v>
          </cell>
        </row>
        <row r="4427">
          <cell r="A4427">
            <v>305265</v>
          </cell>
          <cell r="B4427" t="str">
            <v>WSHR,FLAT 24OZ CU FOR 1-1/2" WVGD</v>
          </cell>
          <cell r="C4427" t="str">
            <v>EA</v>
          </cell>
          <cell r="D4427" t="str">
            <v>MA100</v>
          </cell>
          <cell r="E4427">
            <v>2.15496</v>
          </cell>
          <cell r="G4427">
            <v>305265</v>
          </cell>
        </row>
        <row r="4428">
          <cell r="A4428">
            <v>305266</v>
          </cell>
          <cell r="B4428" t="str">
            <v>WSHR,FLAT 24OZ CU FOR 2" WVGD</v>
          </cell>
          <cell r="C4428" t="str">
            <v>EA</v>
          </cell>
          <cell r="D4428" t="str">
            <v>MA100</v>
          </cell>
          <cell r="E4428">
            <v>2.9723899999999999</v>
          </cell>
          <cell r="G4428">
            <v>305266</v>
          </cell>
        </row>
        <row r="4429">
          <cell r="A4429">
            <v>305267</v>
          </cell>
          <cell r="B4429" t="str">
            <v>WSHR,FLAT 24OZ CU FOR 2-1/2" WVGD</v>
          </cell>
          <cell r="C4429" t="str">
            <v>EA</v>
          </cell>
          <cell r="D4429" t="str">
            <v>MA100</v>
          </cell>
          <cell r="E4429">
            <v>1.25637</v>
          </cell>
          <cell r="G4429">
            <v>305267</v>
          </cell>
        </row>
        <row r="4430">
          <cell r="A4430">
            <v>305268</v>
          </cell>
          <cell r="B4430" t="str">
            <v>WSHR,FLAT 24OZ CU FOR 3" WVGD</v>
          </cell>
          <cell r="C4430" t="str">
            <v>EA</v>
          </cell>
          <cell r="D4430" t="str">
            <v>MA100</v>
          </cell>
          <cell r="E4430">
            <v>3.3353700000000002</v>
          </cell>
          <cell r="G4430">
            <v>305268</v>
          </cell>
        </row>
        <row r="4431">
          <cell r="A4431">
            <v>305269</v>
          </cell>
          <cell r="B4431" t="str">
            <v>WSHR,FLAT 24OZ CU FOR 3/4" WVGD</v>
          </cell>
          <cell r="C4431" t="str">
            <v>EA</v>
          </cell>
          <cell r="D4431" t="str">
            <v>MA100</v>
          </cell>
          <cell r="E4431">
            <v>1.7477100000000001</v>
          </cell>
          <cell r="G4431">
            <v>305269</v>
          </cell>
        </row>
        <row r="4432">
          <cell r="A4432">
            <v>305270</v>
          </cell>
          <cell r="B4432" t="str">
            <v>WSHR, FLAT CU FOR 3/8" ROD SUPPORTS</v>
          </cell>
          <cell r="C4432" t="str">
            <v>EA</v>
          </cell>
          <cell r="D4432" t="str">
            <v>MA100</v>
          </cell>
          <cell r="E4432">
            <v>0.42753999999999998</v>
          </cell>
          <cell r="G4432">
            <v>305270</v>
          </cell>
        </row>
        <row r="4433">
          <cell r="A4433">
            <v>305271</v>
          </cell>
          <cell r="B4433" t="str">
            <v>SCR,1/4-20x1",BT,SOC,316,SS</v>
          </cell>
          <cell r="C4433" t="str">
            <v>EA</v>
          </cell>
          <cell r="D4433" t="str">
            <v>RM100</v>
          </cell>
          <cell r="E4433">
            <v>0.45440000000000003</v>
          </cell>
          <cell r="G4433">
            <v>305271</v>
          </cell>
        </row>
        <row r="4434">
          <cell r="A4434">
            <v>305272</v>
          </cell>
          <cell r="B4434" t="str">
            <v>SCR,1/4-20X1/2",HX,SH,CAP,SS</v>
          </cell>
          <cell r="C4434" t="str">
            <v>EA</v>
          </cell>
          <cell r="D4434" t="str">
            <v>RM100</v>
          </cell>
          <cell r="E4434">
            <v>0.19220000000000001</v>
          </cell>
          <cell r="G4434">
            <v>305272</v>
          </cell>
        </row>
        <row r="4435">
          <cell r="A4435">
            <v>305273</v>
          </cell>
          <cell r="B4435" t="str">
            <v>SCR,5/16-18X3/4"BH,SC3/16McM#92949A581</v>
          </cell>
          <cell r="C4435" t="str">
            <v>EA</v>
          </cell>
          <cell r="D4435" t="str">
            <v>RM100</v>
          </cell>
          <cell r="E4435">
            <v>0.18</v>
          </cell>
          <cell r="G4435">
            <v>305273</v>
          </cell>
        </row>
        <row r="4436">
          <cell r="A4436">
            <v>305274</v>
          </cell>
          <cell r="B4436" t="str">
            <v>SCR,#10-32X1/2,PH,FH,SS, McM#91771A829</v>
          </cell>
          <cell r="C4436" t="str">
            <v>EA</v>
          </cell>
          <cell r="D4436" t="str">
            <v>RM100</v>
          </cell>
          <cell r="E4436">
            <v>6.2199999999999998E-2</v>
          </cell>
          <cell r="G4436">
            <v>305274</v>
          </cell>
        </row>
        <row r="4437">
          <cell r="A4437">
            <v>305275</v>
          </cell>
          <cell r="B4437" t="str">
            <v>SCR,1/4-20x3/4,FH,SH,18-SS MCM#92210A540</v>
          </cell>
          <cell r="C4437" t="str">
            <v>EA</v>
          </cell>
          <cell r="D4437" t="str">
            <v>RM100</v>
          </cell>
          <cell r="E4437">
            <v>0.1636</v>
          </cell>
          <cell r="G4437">
            <v>305275</v>
          </cell>
        </row>
        <row r="4438">
          <cell r="A4438">
            <v>305276</v>
          </cell>
          <cell r="B4438" t="str">
            <v>SCR,1/4-20x1",SL, RH,BRASS</v>
          </cell>
          <cell r="C4438" t="str">
            <v>EA</v>
          </cell>
          <cell r="D4438" t="str">
            <v>RM100</v>
          </cell>
          <cell r="E4438">
            <v>0.2029</v>
          </cell>
          <cell r="G4438">
            <v>305276</v>
          </cell>
        </row>
        <row r="4439">
          <cell r="A4439">
            <v>305277</v>
          </cell>
          <cell r="B4439" t="str">
            <v>SCR,#4-40x1/8,PH,PH,18-8SS</v>
          </cell>
          <cell r="C4439" t="str">
            <v>EA</v>
          </cell>
          <cell r="D4439" t="str">
            <v>RM100</v>
          </cell>
          <cell r="E4439">
            <v>3.2099999999999997E-2</v>
          </cell>
          <cell r="G4439">
            <v>305277</v>
          </cell>
        </row>
        <row r="4440">
          <cell r="A4440">
            <v>305278</v>
          </cell>
          <cell r="B4440" t="str">
            <v>SCR,#10-32X3/16", SHC, SS, MCM#92196A264</v>
          </cell>
          <cell r="C4440" t="str">
            <v>EA</v>
          </cell>
          <cell r="D4440" t="str">
            <v>RM100</v>
          </cell>
          <cell r="E4440">
            <v>0.154</v>
          </cell>
          <cell r="G4440">
            <v>305278</v>
          </cell>
        </row>
        <row r="4441">
          <cell r="A4441">
            <v>305279</v>
          </cell>
          <cell r="B4441" t="str">
            <v>SCR,5/16-18X1",LOW WIDE HEAD,SL,18-8 SS</v>
          </cell>
          <cell r="C4441" t="str">
            <v>EA</v>
          </cell>
          <cell r="D4441" t="str">
            <v>RM100</v>
          </cell>
          <cell r="E4441">
            <v>1.9039999999999999</v>
          </cell>
          <cell r="G4441">
            <v>305279</v>
          </cell>
        </row>
        <row r="4442">
          <cell r="A4442">
            <v>305281</v>
          </cell>
          <cell r="B4442" t="str">
            <v>FOAM POLYURETHANE,W/ADH.3/16"X1/2"W, 100</v>
          </cell>
          <cell r="C4442" t="str">
            <v>RL</v>
          </cell>
          <cell r="D4442" t="str">
            <v>RM100</v>
          </cell>
          <cell r="E4442">
            <v>9.2799999999999994</v>
          </cell>
          <cell r="G4442">
            <v>305281</v>
          </cell>
        </row>
        <row r="4443">
          <cell r="A4443">
            <v>305375</v>
          </cell>
          <cell r="B4443" t="str">
            <v>SCR,#8-32X3/4,PN,PH,SS,,McM #91735A197</v>
          </cell>
          <cell r="C4443" t="str">
            <v>EA</v>
          </cell>
          <cell r="D4443" t="str">
            <v>RM100</v>
          </cell>
          <cell r="E4443">
            <v>4.4999999999999998E-2</v>
          </cell>
          <cell r="G4443">
            <v>305375</v>
          </cell>
        </row>
        <row r="4444">
          <cell r="A4444">
            <v>305376</v>
          </cell>
          <cell r="B4444" t="str">
            <v>SCR,#10-24X1/4,FH-UNDERCUT,SS #91771A238</v>
          </cell>
          <cell r="C4444" t="str">
            <v>EA</v>
          </cell>
          <cell r="D4444" t="str">
            <v>RM100</v>
          </cell>
          <cell r="E4444">
            <v>9.3399999999999997E-2</v>
          </cell>
          <cell r="G4444">
            <v>305376</v>
          </cell>
        </row>
        <row r="4445">
          <cell r="A4445">
            <v>305377</v>
          </cell>
          <cell r="B4445" t="str">
            <v>SCR,#10-24X1/2,FH-UNDERCUT,SS #91099A320</v>
          </cell>
          <cell r="C4445" t="str">
            <v>EA</v>
          </cell>
          <cell r="D4445" t="str">
            <v>RM100</v>
          </cell>
          <cell r="E4445">
            <v>8.7099999999999997E-2</v>
          </cell>
          <cell r="G4445">
            <v>305377</v>
          </cell>
        </row>
        <row r="4446">
          <cell r="A4446">
            <v>305378</v>
          </cell>
          <cell r="B4446" t="str">
            <v>THREAD ADAPTER,10-24 TO 10-32 #95316A330</v>
          </cell>
          <cell r="C4446" t="str">
            <v>EA</v>
          </cell>
          <cell r="D4446" t="str">
            <v>RM100</v>
          </cell>
          <cell r="E4446">
            <v>3.62</v>
          </cell>
          <cell r="G4446">
            <v>305378</v>
          </cell>
        </row>
        <row r="4447">
          <cell r="A4447">
            <v>305382</v>
          </cell>
          <cell r="B4447" t="str">
            <v>SCR,#8-32 x 3/4,SHCS, 316</v>
          </cell>
          <cell r="C4447" t="str">
            <v>EA</v>
          </cell>
          <cell r="D4447" t="str">
            <v>RM100</v>
          </cell>
          <cell r="E4447">
            <v>0.19600000000000001</v>
          </cell>
          <cell r="G4447">
            <v>305382</v>
          </cell>
        </row>
        <row r="4448">
          <cell r="A4448">
            <v>305502</v>
          </cell>
          <cell r="B4448" t="str">
            <v>WSHR,#8 SPLIT, .30 OD 18-8,SS</v>
          </cell>
          <cell r="C4448" t="str">
            <v>EA</v>
          </cell>
          <cell r="D4448" t="str">
            <v>RM100</v>
          </cell>
          <cell r="E4448">
            <v>1.78E-2</v>
          </cell>
          <cell r="G4448">
            <v>305502</v>
          </cell>
        </row>
        <row r="4449">
          <cell r="A4449">
            <v>305507</v>
          </cell>
          <cell r="B4449" t="str">
            <v>SCR,SHOULDER 3/8" DIA X 1/4" LG SOC HD</v>
          </cell>
          <cell r="C4449" t="str">
            <v>EA</v>
          </cell>
          <cell r="D4449" t="str">
            <v>RM100</v>
          </cell>
          <cell r="E4449">
            <v>2.39</v>
          </cell>
          <cell r="G4449">
            <v>305507</v>
          </cell>
        </row>
        <row r="4450">
          <cell r="A4450">
            <v>305508</v>
          </cell>
          <cell r="B4450" t="str">
            <v>SCR,SHOULDER 1/2" DIA X 1" LG SOC HD</v>
          </cell>
          <cell r="C4450" t="str">
            <v>EA</v>
          </cell>
          <cell r="D4450" t="str">
            <v>RM100</v>
          </cell>
          <cell r="E4450">
            <v>3.42</v>
          </cell>
          <cell r="G4450">
            <v>305508</v>
          </cell>
        </row>
        <row r="4451">
          <cell r="A4451">
            <v>305509</v>
          </cell>
          <cell r="B4451" t="str">
            <v>SCR,SHLDR,3/4"O.D.x5/8"LG,SS,SOC HD*</v>
          </cell>
          <cell r="C4451" t="str">
            <v>EA</v>
          </cell>
          <cell r="D4451" t="str">
            <v>RM100</v>
          </cell>
          <cell r="E4451">
            <v>10.5</v>
          </cell>
          <cell r="G4451">
            <v>305509</v>
          </cell>
        </row>
        <row r="4452">
          <cell r="A4452">
            <v>305516</v>
          </cell>
          <cell r="B4452" t="str">
            <v>SCR,1/4-20X1-1/4,BH,SOC,316 SS</v>
          </cell>
          <cell r="C4452" t="str">
            <v>EA</v>
          </cell>
          <cell r="D4452" t="str">
            <v>RM100</v>
          </cell>
          <cell r="E4452">
            <v>0.93400000000000005</v>
          </cell>
          <cell r="G4452">
            <v>305516</v>
          </cell>
        </row>
        <row r="4453">
          <cell r="A4453">
            <v>305517</v>
          </cell>
          <cell r="B4453" t="str">
            <v>SCR,1/4-20X2,BH,SOC,316 SS</v>
          </cell>
          <cell r="C4453" t="str">
            <v>EA</v>
          </cell>
          <cell r="D4453" t="str">
            <v>RM100</v>
          </cell>
          <cell r="E4453">
            <v>0.59799999999999998</v>
          </cell>
          <cell r="G4453">
            <v>305517</v>
          </cell>
        </row>
        <row r="4454">
          <cell r="A4454">
            <v>305520</v>
          </cell>
          <cell r="B4454" t="str">
            <v>RIVET,1/8DIA X 0.126-0.187GRIP RANGE 18</v>
          </cell>
          <cell r="C4454" t="str">
            <v>EA</v>
          </cell>
          <cell r="D4454" t="str">
            <v>RM100</v>
          </cell>
          <cell r="E4454">
            <v>9.4600000000000009</v>
          </cell>
          <cell r="G4454">
            <v>305520</v>
          </cell>
        </row>
        <row r="4455">
          <cell r="A4455">
            <v>305522</v>
          </cell>
          <cell r="B4455" t="str">
            <v>SCR,1/4-20X3/4,BH,SOC,316 SS*</v>
          </cell>
          <cell r="C4455" t="str">
            <v>EA</v>
          </cell>
          <cell r="D4455" t="str">
            <v>RM100</v>
          </cell>
          <cell r="E4455">
            <v>0.39240000000000003</v>
          </cell>
          <cell r="G4455">
            <v>305522</v>
          </cell>
        </row>
        <row r="4456">
          <cell r="A4456">
            <v>305523</v>
          </cell>
          <cell r="B4456" t="str">
            <v>SCR,M8X16,FH,HX,STL,OX*</v>
          </cell>
          <cell r="C4456" t="str">
            <v>EA</v>
          </cell>
          <cell r="D4456" t="str">
            <v>RM100</v>
          </cell>
          <cell r="E4456">
            <v>9.8000000000000004E-2</v>
          </cell>
          <cell r="G4456">
            <v>305523</v>
          </cell>
        </row>
        <row r="4457">
          <cell r="A4457">
            <v>305524</v>
          </cell>
          <cell r="B4457" t="str">
            <v>SCR,5/16-18X2-1/4,HH,FLNG,N/A,STL,OX*</v>
          </cell>
          <cell r="C4457" t="str">
            <v>EA</v>
          </cell>
          <cell r="D4457" t="str">
            <v>RM100</v>
          </cell>
          <cell r="E4457">
            <v>0.34599999999999997</v>
          </cell>
          <cell r="G4457">
            <v>305524</v>
          </cell>
        </row>
        <row r="4458">
          <cell r="A4458">
            <v>305534</v>
          </cell>
          <cell r="B4458" t="str">
            <v>TAPE,4941,VHB,3M,.045"X1"X36YDS</v>
          </cell>
          <cell r="C4458" t="str">
            <v>RL</v>
          </cell>
          <cell r="D4458" t="str">
            <v>RM100</v>
          </cell>
          <cell r="E4458">
            <v>116.71</v>
          </cell>
          <cell r="G4458">
            <v>305534</v>
          </cell>
        </row>
        <row r="4459">
          <cell r="A4459">
            <v>305536</v>
          </cell>
          <cell r="B4459" t="str">
            <v>NUT,1/2-13 SADDLE HILTI MSA-F 1/2</v>
          </cell>
          <cell r="C4459" t="str">
            <v>EA</v>
          </cell>
          <cell r="D4459" t="str">
            <v>RM100</v>
          </cell>
          <cell r="E4459">
            <v>1.6297999999999999</v>
          </cell>
          <cell r="G4459">
            <v>305536</v>
          </cell>
        </row>
        <row r="4460">
          <cell r="A4460">
            <v>305541</v>
          </cell>
          <cell r="B4460" t="str">
            <v>SCR,3/8-16X1/2,SOC HD,SET,FLAT POINT</v>
          </cell>
          <cell r="C4460" t="str">
            <v>EA</v>
          </cell>
          <cell r="D4460" t="str">
            <v>RM100</v>
          </cell>
          <cell r="E4460">
            <v>0.115</v>
          </cell>
          <cell r="G4460">
            <v>305541</v>
          </cell>
        </row>
        <row r="4461">
          <cell r="A4461">
            <v>305543</v>
          </cell>
          <cell r="B4461" t="str">
            <v>SCR,#10-32 3/16LG PH,PH,18-8SS,MCM#  *</v>
          </cell>
          <cell r="C4461" t="str">
            <v>EA</v>
          </cell>
          <cell r="D4461" t="str">
            <v>RM100</v>
          </cell>
          <cell r="E4461">
            <v>8.43E-2</v>
          </cell>
          <cell r="G4461">
            <v>305543</v>
          </cell>
        </row>
        <row r="4462">
          <cell r="A4462">
            <v>305544</v>
          </cell>
          <cell r="B4462" t="str">
            <v>SCR,M10-1.5x60mm SHOULDER</v>
          </cell>
          <cell r="C4462" t="str">
            <v>EA</v>
          </cell>
          <cell r="D4462" t="str">
            <v>RM100</v>
          </cell>
          <cell r="E4462">
            <v>4.29</v>
          </cell>
          <cell r="G4462">
            <v>305544</v>
          </cell>
        </row>
        <row r="4463">
          <cell r="A4463">
            <v>305545</v>
          </cell>
          <cell r="B4463" t="str">
            <v>SCR,#10-32X1/4LG,SH,316SS,MCM#92185A986</v>
          </cell>
          <cell r="C4463" t="str">
            <v>EA</v>
          </cell>
          <cell r="D4463" t="str">
            <v>RM100</v>
          </cell>
          <cell r="E4463">
            <v>0.29160000000000003</v>
          </cell>
          <cell r="G4463">
            <v>305545</v>
          </cell>
        </row>
        <row r="4464">
          <cell r="A4464">
            <v>305547</v>
          </cell>
          <cell r="B4464" t="str">
            <v>SCR,#8-32X7/8,PN,PH,SS,18-8</v>
          </cell>
          <cell r="C4464" t="str">
            <v>EA</v>
          </cell>
          <cell r="D4464" t="str">
            <v>RM100</v>
          </cell>
          <cell r="E4464">
            <v>6.4199999999999993E-2</v>
          </cell>
          <cell r="G4464">
            <v>305547</v>
          </cell>
        </row>
        <row r="4465">
          <cell r="A4465">
            <v>305548</v>
          </cell>
          <cell r="B4465" t="str">
            <v>SCR,#6-32X3/8,PN,PH,SS</v>
          </cell>
          <cell r="C4465" t="str">
            <v>EA</v>
          </cell>
          <cell r="D4465" t="str">
            <v>RM100</v>
          </cell>
          <cell r="E4465">
            <v>2.24E-2</v>
          </cell>
          <cell r="G4465">
            <v>305548</v>
          </cell>
        </row>
        <row r="4466">
          <cell r="A4466">
            <v>305549</v>
          </cell>
          <cell r="B4466" t="str">
            <v>SCR,#8-32X1,PN,PH,SS,,McM #91772A199</v>
          </cell>
          <cell r="C4466" t="str">
            <v>EA</v>
          </cell>
          <cell r="D4466" t="str">
            <v>RM100</v>
          </cell>
          <cell r="E4466">
            <v>0.1045</v>
          </cell>
          <cell r="G4466">
            <v>305549</v>
          </cell>
        </row>
        <row r="4467">
          <cell r="A4467">
            <v>305554</v>
          </cell>
          <cell r="B4467" t="str">
            <v>SCR,#10x3/4,PN,PH,STL,ZN,McM #90190A245*</v>
          </cell>
          <cell r="C4467" t="str">
            <v>EA</v>
          </cell>
          <cell r="D4467" t="str">
            <v>RM100</v>
          </cell>
          <cell r="E4467">
            <v>6.2E-2</v>
          </cell>
          <cell r="G4467">
            <v>305554</v>
          </cell>
        </row>
        <row r="4468">
          <cell r="A4468">
            <v>305564</v>
          </cell>
          <cell r="B4468" t="str">
            <v>SCR,#10-16x2,HX,SD,STL</v>
          </cell>
          <cell r="C4468" t="str">
            <v>EA</v>
          </cell>
          <cell r="D4468" t="str">
            <v>RM100</v>
          </cell>
          <cell r="E4468">
            <v>6.5299999999999997E-2</v>
          </cell>
          <cell r="G4468">
            <v>305564</v>
          </cell>
        </row>
        <row r="4469">
          <cell r="A4469">
            <v>305567</v>
          </cell>
          <cell r="B4469" t="str">
            <v>SCR,3/8-16X1",FH,HX,STL,OX*</v>
          </cell>
          <cell r="C4469" t="str">
            <v>EA</v>
          </cell>
          <cell r="D4469" t="str">
            <v>RM100</v>
          </cell>
          <cell r="E4469">
            <v>0.26040000000000002</v>
          </cell>
          <cell r="G4469">
            <v>305567</v>
          </cell>
        </row>
        <row r="4470">
          <cell r="A4470">
            <v>305570</v>
          </cell>
          <cell r="B4470" t="str">
            <v>NUT,#8-32 SS LNUT W/NYL INSRT</v>
          </cell>
          <cell r="C4470" t="str">
            <v>EA</v>
          </cell>
          <cell r="D4470" t="str">
            <v>RM100</v>
          </cell>
          <cell r="E4470">
            <v>6.0600000000000001E-2</v>
          </cell>
          <cell r="G4470">
            <v>305570</v>
          </cell>
        </row>
        <row r="4471">
          <cell r="A4471">
            <v>305571</v>
          </cell>
          <cell r="B4471" t="str">
            <v>SCR,5/16-18X1/2", PH TRUSS,18-8 SS</v>
          </cell>
          <cell r="C4471" t="str">
            <v>EA</v>
          </cell>
          <cell r="D4471" t="str">
            <v>RM100</v>
          </cell>
          <cell r="E4471">
            <v>0.29310000000000003</v>
          </cell>
          <cell r="G4471">
            <v>305571</v>
          </cell>
        </row>
        <row r="4472">
          <cell r="A4472">
            <v>305572</v>
          </cell>
          <cell r="B4472" t="str">
            <v>SCR,3/8-16X3 1/2", SS, CAP MCM#92185A641</v>
          </cell>
          <cell r="C4472" t="str">
            <v>EA</v>
          </cell>
          <cell r="D4472" t="str">
            <v>RM100</v>
          </cell>
          <cell r="E4472">
            <v>3.04</v>
          </cell>
          <cell r="G4472">
            <v>305572</v>
          </cell>
        </row>
        <row r="4473">
          <cell r="A4473">
            <v>305573</v>
          </cell>
          <cell r="B4473" t="str">
            <v>SCR,8-32X1/2",SS, FH, MCM#93085A190</v>
          </cell>
          <cell r="C4473" t="str">
            <v>EA</v>
          </cell>
          <cell r="D4473" t="str">
            <v>RM100</v>
          </cell>
          <cell r="E4473">
            <v>0.35680000000000001</v>
          </cell>
          <cell r="G4473">
            <v>305573</v>
          </cell>
        </row>
        <row r="4474">
          <cell r="A4474">
            <v>305574</v>
          </cell>
          <cell r="B4474" t="str">
            <v>SCR,6-32X2 1/2", SHC, SS, MCM#92196A161</v>
          </cell>
          <cell r="C4474" t="str">
            <v>EA</v>
          </cell>
          <cell r="D4474" t="str">
            <v>RM100</v>
          </cell>
          <cell r="E4474">
            <v>0.11</v>
          </cell>
          <cell r="G4474">
            <v>305574</v>
          </cell>
        </row>
        <row r="4475">
          <cell r="A4475">
            <v>305575</v>
          </cell>
          <cell r="B4475" t="str">
            <v>SCR,3/8-16X2 3/4", SS, CAP MCM#92185A635</v>
          </cell>
          <cell r="C4475" t="str">
            <v>EA</v>
          </cell>
          <cell r="D4475" t="str">
            <v>RM100</v>
          </cell>
          <cell r="E4475">
            <v>2.52</v>
          </cell>
          <cell r="G4475">
            <v>305575</v>
          </cell>
        </row>
        <row r="4476">
          <cell r="A4476">
            <v>305577</v>
          </cell>
          <cell r="B4476" t="str">
            <v>SCR,5/16-18x1-3/4 PH FH, 18-8 SS</v>
          </cell>
          <cell r="C4476" t="str">
            <v>EA</v>
          </cell>
          <cell r="D4476" t="str">
            <v>RM100</v>
          </cell>
          <cell r="E4476">
            <v>0.28499999999999998</v>
          </cell>
          <cell r="G4476">
            <v>305577</v>
          </cell>
        </row>
        <row r="4477">
          <cell r="A4477">
            <v>305578</v>
          </cell>
          <cell r="B4477" t="str">
            <v>SCR,1/4-20 X 1-1/4 FH,PH,SS, 18/8</v>
          </cell>
          <cell r="C4477" t="str">
            <v>EA</v>
          </cell>
          <cell r="D4477" t="str">
            <v>RM100</v>
          </cell>
          <cell r="E4477">
            <v>0.32</v>
          </cell>
          <cell r="G4477">
            <v>305578</v>
          </cell>
        </row>
        <row r="4478">
          <cell r="A4478">
            <v>305579</v>
          </cell>
          <cell r="B4478" t="str">
            <v>SCR,#8-32X1-1/4,PH,FH,18-8 SS</v>
          </cell>
          <cell r="C4478" t="str">
            <v>EA</v>
          </cell>
          <cell r="D4478" t="str">
            <v>RM100</v>
          </cell>
          <cell r="E4478">
            <v>0.13389999999999999</v>
          </cell>
          <cell r="G4478">
            <v>305579</v>
          </cell>
        </row>
        <row r="4479">
          <cell r="A4479">
            <v>305580</v>
          </cell>
          <cell r="B4479" t="str">
            <v>SCR,#8-32X1-1/2,PH,FH,18-8 SS</v>
          </cell>
          <cell r="C4479" t="str">
            <v>EA</v>
          </cell>
          <cell r="D4479" t="str">
            <v>RM100</v>
          </cell>
          <cell r="E4479">
            <v>6.9800000000000001E-2</v>
          </cell>
          <cell r="G4479">
            <v>305580</v>
          </cell>
        </row>
        <row r="4480">
          <cell r="A4480">
            <v>305582</v>
          </cell>
          <cell r="B4480" t="str">
            <v>SCR,#6-32X3/8 SET,SOCKET,CUP PT, 18-8 SS</v>
          </cell>
          <cell r="C4480" t="str">
            <v>EA</v>
          </cell>
          <cell r="D4480" t="str">
            <v>RM100</v>
          </cell>
          <cell r="E4480">
            <v>5.5500000000000001E-2</v>
          </cell>
          <cell r="G4480">
            <v>305582</v>
          </cell>
        </row>
        <row r="4481">
          <cell r="A4481">
            <v>305583</v>
          </cell>
          <cell r="B4481" t="str">
            <v>SCR,5/16-18X2-1/4,SH,HX,18-8 SS</v>
          </cell>
          <cell r="C4481" t="str">
            <v>EA</v>
          </cell>
          <cell r="D4481" t="str">
            <v>RM100</v>
          </cell>
          <cell r="E4481">
            <v>0.66</v>
          </cell>
          <cell r="G4481">
            <v>305583</v>
          </cell>
        </row>
        <row r="4482">
          <cell r="A4482">
            <v>305584</v>
          </cell>
          <cell r="B4482" t="str">
            <v>SCR,5/16-18X1",SH,HX,18-8 SS</v>
          </cell>
          <cell r="C4482" t="str">
            <v>EA</v>
          </cell>
          <cell r="D4482" t="str">
            <v>RM100</v>
          </cell>
          <cell r="E4482">
            <v>0.40160000000000001</v>
          </cell>
          <cell r="G4482">
            <v>305584</v>
          </cell>
        </row>
        <row r="4483">
          <cell r="A4483">
            <v>305585</v>
          </cell>
          <cell r="B4483" t="str">
            <v>SCR,M8-1.25X22,SOCKET FH,STL,OX*</v>
          </cell>
          <cell r="C4483" t="str">
            <v>EA</v>
          </cell>
          <cell r="D4483" t="str">
            <v>RM100</v>
          </cell>
          <cell r="E4483">
            <v>0.33</v>
          </cell>
          <cell r="G4483">
            <v>305585</v>
          </cell>
        </row>
        <row r="4484">
          <cell r="A4484">
            <v>305586</v>
          </cell>
          <cell r="B4484" t="str">
            <v>SCR,#8AX1-1/2,PN,PH,18-8 SS</v>
          </cell>
          <cell r="C4484" t="str">
            <v>EA</v>
          </cell>
          <cell r="D4484" t="str">
            <v>RM100</v>
          </cell>
          <cell r="E4484">
            <v>9.5399999999999999E-2</v>
          </cell>
          <cell r="G4484">
            <v>305586</v>
          </cell>
        </row>
        <row r="4485">
          <cell r="A4485">
            <v>305587</v>
          </cell>
          <cell r="B4485" t="str">
            <v>SCR,M5-0.8MMX8MM,BT,SOC,18-8 SS</v>
          </cell>
          <cell r="C4485" t="str">
            <v>EA</v>
          </cell>
          <cell r="D4485" t="str">
            <v>RM100</v>
          </cell>
          <cell r="E4485">
            <v>7.2400000000000006E-2</v>
          </cell>
          <cell r="G4485">
            <v>305587</v>
          </cell>
        </row>
        <row r="4486">
          <cell r="A4486">
            <v>305588</v>
          </cell>
          <cell r="B4486" t="str">
            <v>SCR,M5-0.8MMX20MM,PHILLIPS FLT,18-8 SS</v>
          </cell>
          <cell r="C4486" t="str">
            <v>EA</v>
          </cell>
          <cell r="D4486" t="str">
            <v>RM100</v>
          </cell>
          <cell r="E4486">
            <v>4.8899999999999999E-2</v>
          </cell>
          <cell r="G4486">
            <v>305588</v>
          </cell>
        </row>
        <row r="4487">
          <cell r="A4487">
            <v>305589</v>
          </cell>
          <cell r="B4487" t="str">
            <v>SCR,M5-0.8MMX25MM,SOC HEAD,18-8 SS</v>
          </cell>
          <cell r="C4487" t="str">
            <v>EA</v>
          </cell>
          <cell r="D4487" t="str">
            <v>RM100</v>
          </cell>
          <cell r="E4487">
            <v>0.14249999999999999</v>
          </cell>
          <cell r="G4487">
            <v>305589</v>
          </cell>
        </row>
        <row r="4488">
          <cell r="A4488">
            <v>305591</v>
          </cell>
          <cell r="B4488" t="str">
            <v>SCR,#8-32x3/8",PH,TRUSS,18-8SS</v>
          </cell>
          <cell r="C4488" t="str">
            <v>EA</v>
          </cell>
          <cell r="D4488" t="str">
            <v>RM100</v>
          </cell>
          <cell r="E4488">
            <v>2.76E-2</v>
          </cell>
          <cell r="G4488">
            <v>305591</v>
          </cell>
        </row>
        <row r="4489">
          <cell r="A4489">
            <v>305592</v>
          </cell>
          <cell r="B4489" t="str">
            <v>SCR,#14x2.5"PH FH,STL,ZN,TYPE "A" SH MTL</v>
          </cell>
          <cell r="C4489" t="str">
            <v>EA</v>
          </cell>
          <cell r="D4489" t="str">
            <v>RM100</v>
          </cell>
          <cell r="E4489">
            <v>0.1019</v>
          </cell>
          <cell r="G4489">
            <v>305592</v>
          </cell>
        </row>
        <row r="4490">
          <cell r="A4490">
            <v>305593</v>
          </cell>
          <cell r="B4490" t="str">
            <v>SCR,M8-1.25MMX20MM,PHILLIPS FLT,18-8 SS</v>
          </cell>
          <cell r="C4490" t="str">
            <v>EA</v>
          </cell>
          <cell r="D4490" t="str">
            <v>RM100</v>
          </cell>
          <cell r="E4490">
            <v>0</v>
          </cell>
          <cell r="G4490">
            <v>305593</v>
          </cell>
        </row>
        <row r="4491">
          <cell r="A4491">
            <v>305596</v>
          </cell>
          <cell r="B4491" t="str">
            <v>SCR,5/16-18X1/2",SH,HX,18-8 SS</v>
          </cell>
          <cell r="C4491" t="str">
            <v>EA</v>
          </cell>
          <cell r="D4491" t="str">
            <v>RM100</v>
          </cell>
          <cell r="E4491">
            <v>0.21</v>
          </cell>
          <cell r="G4491">
            <v>305596</v>
          </cell>
        </row>
        <row r="4492">
          <cell r="A4492">
            <v>305597</v>
          </cell>
          <cell r="B4492" t="str">
            <v>SPRING COMP .500"L,.36"D,.032D</v>
          </cell>
          <cell r="C4492" t="str">
            <v>EA</v>
          </cell>
          <cell r="D4492" t="str">
            <v>RM100</v>
          </cell>
          <cell r="E4492">
            <v>1.6766700000000001</v>
          </cell>
          <cell r="G4492">
            <v>305597</v>
          </cell>
        </row>
        <row r="4493">
          <cell r="A4493">
            <v>305598</v>
          </cell>
          <cell r="B4493" t="str">
            <v>SPRING COMP. 1.00"L,.36"D,.032D</v>
          </cell>
          <cell r="C4493" t="str">
            <v>EA</v>
          </cell>
          <cell r="D4493" t="str">
            <v>RM100</v>
          </cell>
          <cell r="E4493">
            <v>0.86250000000000004</v>
          </cell>
          <cell r="G4493">
            <v>305598</v>
          </cell>
        </row>
        <row r="4494">
          <cell r="A4494">
            <v>305599</v>
          </cell>
          <cell r="B4494" t="str">
            <v>SCR,1/4-20X3/8"L,RH,PH,18-8SS</v>
          </cell>
          <cell r="C4494" t="str">
            <v>EA</v>
          </cell>
          <cell r="D4494" t="str">
            <v>RM100</v>
          </cell>
          <cell r="E4494">
            <v>0.16450000000000001</v>
          </cell>
          <cell r="G4494">
            <v>305599</v>
          </cell>
        </row>
        <row r="4495">
          <cell r="A4495">
            <v>305600</v>
          </cell>
          <cell r="B4495" t="str">
            <v>STANDOFF,#10-32x7/8,1/4"OD,FEMALE,18-8SS</v>
          </cell>
          <cell r="C4495" t="str">
            <v>EA</v>
          </cell>
          <cell r="D4495" t="str">
            <v>RM100</v>
          </cell>
          <cell r="E4495">
            <v>1.94</v>
          </cell>
          <cell r="G4495">
            <v>305600</v>
          </cell>
        </row>
        <row r="4496">
          <cell r="A4496">
            <v>305601</v>
          </cell>
          <cell r="B4496" t="str">
            <v>SCR,1/4-20X3/8"L,FH,PH,18-8SS</v>
          </cell>
          <cell r="C4496" t="str">
            <v>EA</v>
          </cell>
          <cell r="D4496" t="str">
            <v>RM100</v>
          </cell>
          <cell r="E4496">
            <v>0.108</v>
          </cell>
          <cell r="G4496">
            <v>305601</v>
          </cell>
        </row>
        <row r="4497">
          <cell r="A4497">
            <v>305602</v>
          </cell>
          <cell r="B4497" t="str">
            <v>BEARING,1/4"IDX3/8"ODX3/8"L,FLANG,NYLON</v>
          </cell>
          <cell r="C4497" t="str">
            <v>EA</v>
          </cell>
          <cell r="D4497" t="str">
            <v>RM100</v>
          </cell>
          <cell r="E4497">
            <v>0.53400000000000003</v>
          </cell>
          <cell r="G4497">
            <v>305602</v>
          </cell>
        </row>
        <row r="4498">
          <cell r="A4498">
            <v>305603</v>
          </cell>
          <cell r="B4498" t="str">
            <v>FOAM NEOPRENE,W/ADH.1/4"X1/2"W,50FT</v>
          </cell>
          <cell r="C4498" t="str">
            <v>RL</v>
          </cell>
          <cell r="D4498" t="str">
            <v>RM100</v>
          </cell>
          <cell r="E4498">
            <v>8.81</v>
          </cell>
          <cell r="G4498">
            <v>305603</v>
          </cell>
        </row>
        <row r="4499">
          <cell r="A4499">
            <v>305604</v>
          </cell>
          <cell r="B4499" t="str">
            <v>SCR,#14X2-1/2"L,FH,PH,18-8SS,WOOD</v>
          </cell>
          <cell r="C4499" t="str">
            <v>EA</v>
          </cell>
          <cell r="D4499" t="str">
            <v>RM100</v>
          </cell>
          <cell r="E4499">
            <v>0.878</v>
          </cell>
          <cell r="G4499">
            <v>305604</v>
          </cell>
        </row>
        <row r="4500">
          <cell r="A4500">
            <v>305605</v>
          </cell>
          <cell r="B4500" t="str">
            <v>SCR,#14X3"L,FH,PH,18-8SS,WOOD</v>
          </cell>
          <cell r="C4500" t="str">
            <v>EA</v>
          </cell>
          <cell r="D4500" t="str">
            <v>RM100</v>
          </cell>
          <cell r="E4500">
            <v>0.43240000000000001</v>
          </cell>
          <cell r="G4500">
            <v>305605</v>
          </cell>
        </row>
        <row r="4501">
          <cell r="A4501">
            <v>305606</v>
          </cell>
          <cell r="B4501" t="str">
            <v>SCR,#10-1/2L SHEETMETAL,PH,FH,UC,18-8,SS</v>
          </cell>
          <cell r="C4501" t="str">
            <v>EA</v>
          </cell>
          <cell r="D4501" t="str">
            <v>RM100</v>
          </cell>
          <cell r="E4501">
            <v>5.7200000000000001E-2</v>
          </cell>
          <cell r="G4501">
            <v>305606</v>
          </cell>
        </row>
        <row r="4502">
          <cell r="A4502">
            <v>305608</v>
          </cell>
          <cell r="B4502" t="str">
            <v>SCR,#4-3/4L SHEETMETAL,PH,TH,18-8,SS</v>
          </cell>
          <cell r="C4502" t="str">
            <v>EA</v>
          </cell>
          <cell r="D4502" t="str">
            <v>RM100</v>
          </cell>
          <cell r="E4502">
            <v>5.5100000000000003E-2</v>
          </cell>
          <cell r="G4502">
            <v>305608</v>
          </cell>
        </row>
        <row r="4503">
          <cell r="A4503">
            <v>305609</v>
          </cell>
          <cell r="B4503" t="str">
            <v>SCR,3/8-16X3/8,SOC HD,SET,FLAT POINT</v>
          </cell>
          <cell r="C4503" t="str">
            <v>EA</v>
          </cell>
          <cell r="D4503" t="str">
            <v>RM100</v>
          </cell>
          <cell r="E4503">
            <v>0.14599999999999999</v>
          </cell>
          <cell r="G4503">
            <v>305609</v>
          </cell>
        </row>
        <row r="4504">
          <cell r="A4504">
            <v>305610</v>
          </cell>
          <cell r="B4504" t="str">
            <v>SCR,5/16x2-1/4,FH,PH,CONCRETE ANCHOR</v>
          </cell>
          <cell r="C4504" t="str">
            <v>EA</v>
          </cell>
          <cell r="D4504" t="str">
            <v>RM100</v>
          </cell>
          <cell r="E4504">
            <v>0.1792</v>
          </cell>
          <cell r="G4504">
            <v>305610</v>
          </cell>
        </row>
        <row r="4505">
          <cell r="A4505">
            <v>305611</v>
          </cell>
          <cell r="B4505" t="str">
            <v>SCR,1/4-20x3/4 PN PH SS</v>
          </cell>
          <cell r="C4505" t="str">
            <v>EA</v>
          </cell>
          <cell r="D4505" t="str">
            <v>RM100</v>
          </cell>
          <cell r="E4505">
            <v>0.6</v>
          </cell>
          <cell r="G4505">
            <v>305611</v>
          </cell>
        </row>
        <row r="4506">
          <cell r="A4506">
            <v>350251</v>
          </cell>
          <cell r="B4506" t="str">
            <v>DR,DEI 35-1/4"X83-1/8"X2"</v>
          </cell>
          <cell r="C4506" t="str">
            <v>EA</v>
          </cell>
          <cell r="D4506" t="str">
            <v>MA100</v>
          </cell>
          <cell r="E4506">
            <v>227.9</v>
          </cell>
          <cell r="G4506">
            <v>350251</v>
          </cell>
        </row>
        <row r="4507">
          <cell r="A4507">
            <v>350252</v>
          </cell>
          <cell r="B4507" t="str">
            <v>OBSOLETE</v>
          </cell>
          <cell r="C4507" t="str">
            <v>EA</v>
          </cell>
          <cell r="D4507" t="str">
            <v>MA100</v>
          </cell>
          <cell r="E4507">
            <v>229.053</v>
          </cell>
          <cell r="G4507">
            <v>350252</v>
          </cell>
        </row>
        <row r="4508">
          <cell r="A4508">
            <v>350256</v>
          </cell>
          <cell r="B4508" t="str">
            <v>ASSY,JAMB,DEI,AUTOLATCH,48x96</v>
          </cell>
          <cell r="C4508" t="str">
            <v>EA</v>
          </cell>
          <cell r="D4508" t="str">
            <v>MA100</v>
          </cell>
          <cell r="E4508">
            <v>109.3202</v>
          </cell>
          <cell r="G4508">
            <v>350256</v>
          </cell>
        </row>
        <row r="4509">
          <cell r="A4509">
            <v>350258</v>
          </cell>
          <cell r="B4509" t="str">
            <v>D/J,48"X96"X1-3/4"W/36"X84"CO INSIDE BLT</v>
          </cell>
          <cell r="C4509" t="str">
            <v>EA</v>
          </cell>
          <cell r="D4509" t="str">
            <v>MA100</v>
          </cell>
          <cell r="E4509">
            <v>169.27619999999999</v>
          </cell>
          <cell r="G4509">
            <v>350258</v>
          </cell>
        </row>
        <row r="4510">
          <cell r="A4510">
            <v>350259</v>
          </cell>
          <cell r="B4510" t="str">
            <v>DR, BLNK 24-13/16 X 24-13/16 X 2</v>
          </cell>
          <cell r="C4510" t="str">
            <v>EA</v>
          </cell>
          <cell r="D4510" t="str">
            <v>MA100</v>
          </cell>
          <cell r="E4510">
            <v>67.712500000000006</v>
          </cell>
          <cell r="G4510">
            <v>350259</v>
          </cell>
        </row>
        <row r="4511">
          <cell r="A4511">
            <v>350260</v>
          </cell>
          <cell r="B4511" t="str">
            <v>DR, BLNK 12-13/16 X 12-13/16 X 2</v>
          </cell>
          <cell r="C4511" t="str">
            <v>EA</v>
          </cell>
          <cell r="D4511" t="str">
            <v>MA100</v>
          </cell>
          <cell r="E4511">
            <v>20.0425</v>
          </cell>
          <cell r="G4511">
            <v>350260</v>
          </cell>
        </row>
        <row r="4512">
          <cell r="A4512">
            <v>350261</v>
          </cell>
          <cell r="B4512" t="str">
            <v>D/J,60"X96"X1-3/4"W/48"X84"CO OUTSWNG DR</v>
          </cell>
          <cell r="C4512" t="str">
            <v>EA</v>
          </cell>
          <cell r="D4512" t="str">
            <v>MA100</v>
          </cell>
          <cell r="E4512">
            <v>345.68520000000001</v>
          </cell>
          <cell r="G4512">
            <v>350261</v>
          </cell>
        </row>
        <row r="4513">
          <cell r="A4513">
            <v>350262</v>
          </cell>
          <cell r="B4513" t="str">
            <v>D/J,48"X96"X1-3/4"W/36"X84"CO OUTSWNG DR</v>
          </cell>
          <cell r="C4513" t="str">
            <v>EA</v>
          </cell>
          <cell r="D4513" t="str">
            <v>MA100</v>
          </cell>
          <cell r="E4513">
            <v>345.68520000000001</v>
          </cell>
          <cell r="G4513">
            <v>350262</v>
          </cell>
        </row>
        <row r="4514">
          <cell r="A4514">
            <v>350263</v>
          </cell>
          <cell r="B4514" t="str">
            <v>DR,DEI 47-1/4"X83-1/8"X2"</v>
          </cell>
          <cell r="C4514" t="str">
            <v>EA</v>
          </cell>
          <cell r="D4514" t="str">
            <v>MA100</v>
          </cell>
          <cell r="E4514">
            <v>229.053</v>
          </cell>
          <cell r="G4514">
            <v>350263</v>
          </cell>
        </row>
        <row r="4515">
          <cell r="A4515">
            <v>350291</v>
          </cell>
          <cell r="B4515" t="str">
            <v>DR, BLNK 47-5/8X83-5/8X2</v>
          </cell>
          <cell r="C4515" t="str">
            <v>EA</v>
          </cell>
          <cell r="D4515" t="str">
            <v>MA100</v>
          </cell>
          <cell r="E4515">
            <v>229.053</v>
          </cell>
          <cell r="G4515">
            <v>350291</v>
          </cell>
        </row>
        <row r="4516">
          <cell r="A4516">
            <v>350294</v>
          </cell>
          <cell r="B4516" t="str">
            <v>DR, BLNK 41-5/8X83-5/8X2</v>
          </cell>
          <cell r="C4516" t="str">
            <v>EA</v>
          </cell>
          <cell r="D4516" t="str">
            <v>RM100</v>
          </cell>
          <cell r="E4516">
            <v>241.96</v>
          </cell>
          <cell r="G4516">
            <v>350294</v>
          </cell>
        </row>
        <row r="4517">
          <cell r="A4517">
            <v>350295</v>
          </cell>
          <cell r="B4517" t="str">
            <v>DR, BLNK 35-5/8X83-5/8X2</v>
          </cell>
          <cell r="C4517" t="str">
            <v>EA</v>
          </cell>
          <cell r="D4517" t="str">
            <v>MA100</v>
          </cell>
          <cell r="E4517">
            <v>199.6515</v>
          </cell>
          <cell r="G4517">
            <v>350295</v>
          </cell>
        </row>
        <row r="4518">
          <cell r="A4518">
            <v>350296</v>
          </cell>
          <cell r="B4518" t="str">
            <v>DR, BLNK 28-5/8X83-5/8X2</v>
          </cell>
          <cell r="C4518" t="str">
            <v>EA</v>
          </cell>
          <cell r="D4518" t="str">
            <v>MA100</v>
          </cell>
          <cell r="E4518">
            <v>227.9</v>
          </cell>
          <cell r="G4518">
            <v>350296</v>
          </cell>
        </row>
        <row r="4519">
          <cell r="A4519">
            <v>350873</v>
          </cell>
          <cell r="B4519" t="str">
            <v>BASE,80CW FAN 3/4 PLYWD W/10-1/2 OPG</v>
          </cell>
          <cell r="C4519" t="str">
            <v>EA</v>
          </cell>
          <cell r="D4519" t="str">
            <v>MA100</v>
          </cell>
          <cell r="E4519">
            <v>155.94162</v>
          </cell>
          <cell r="G4519">
            <v>350873</v>
          </cell>
        </row>
        <row r="4520">
          <cell r="A4520">
            <v>350890</v>
          </cell>
          <cell r="B4520" t="str">
            <v>PNL, MRI 48 X 127-1/2</v>
          </cell>
          <cell r="C4520" t="str">
            <v>EA</v>
          </cell>
          <cell r="D4520" t="str">
            <v>MA100</v>
          </cell>
          <cell r="E4520">
            <v>153.30658</v>
          </cell>
          <cell r="G4520">
            <v>350890</v>
          </cell>
        </row>
        <row r="4521">
          <cell r="A4521">
            <v>350894</v>
          </cell>
          <cell r="B4521" t="str">
            <v>PNL, (S-71) NON-STANDARD SIZE,WOOD CORE</v>
          </cell>
          <cell r="C4521" t="str">
            <v>EA</v>
          </cell>
          <cell r="D4521" t="str">
            <v>MA100</v>
          </cell>
          <cell r="E4521">
            <v>0</v>
          </cell>
          <cell r="G4521">
            <v>350894</v>
          </cell>
        </row>
        <row r="4522">
          <cell r="A4522">
            <v>350895</v>
          </cell>
          <cell r="B4522" t="str">
            <v>PNL, (S-71) 48 X 47-1/4</v>
          </cell>
          <cell r="C4522" t="str">
            <v>EA</v>
          </cell>
          <cell r="D4522" t="str">
            <v>MA100</v>
          </cell>
          <cell r="E4522">
            <v>169.19909000000001</v>
          </cell>
          <cell r="G4522">
            <v>350895</v>
          </cell>
        </row>
        <row r="4523">
          <cell r="A4523">
            <v>350896</v>
          </cell>
          <cell r="B4523" t="str">
            <v>PNL SET,(S-71)VARIOUS SIZES RM SPECIFIC</v>
          </cell>
          <cell r="C4523" t="str">
            <v>EA</v>
          </cell>
          <cell r="D4523" t="str">
            <v>MA100</v>
          </cell>
          <cell r="E4523">
            <v>151.51</v>
          </cell>
          <cell r="G4523">
            <v>350896</v>
          </cell>
        </row>
        <row r="4524">
          <cell r="A4524">
            <v>350898</v>
          </cell>
          <cell r="B4524" t="str">
            <v>FRME SET, MRI EXPANSION BAND, 8 PANELS</v>
          </cell>
          <cell r="C4524" t="str">
            <v>EA</v>
          </cell>
          <cell r="D4524" t="str">
            <v>MA100</v>
          </cell>
          <cell r="E4524">
            <v>1669.23918</v>
          </cell>
          <cell r="G4524">
            <v>350898</v>
          </cell>
        </row>
        <row r="4525">
          <cell r="A4525">
            <v>350899</v>
          </cell>
          <cell r="B4525" t="str">
            <v>FRME SET, MRI 24'9-1/2X21'3X10'7-1/2</v>
          </cell>
          <cell r="C4525" t="str">
            <v>EA</v>
          </cell>
          <cell r="D4525" t="str">
            <v>MA100</v>
          </cell>
          <cell r="E4525">
            <v>9180.8474399999996</v>
          </cell>
          <cell r="G4525">
            <v>350899</v>
          </cell>
        </row>
        <row r="4526">
          <cell r="A4526">
            <v>350901</v>
          </cell>
          <cell r="B4526" t="str">
            <v>STOCKROOM,HEADER KIT 12" TALL</v>
          </cell>
          <cell r="C4526" t="str">
            <v>EA</v>
          </cell>
          <cell r="D4526" t="str">
            <v>MA100</v>
          </cell>
          <cell r="E4526">
            <v>677.14800000000002</v>
          </cell>
          <cell r="G4526">
            <v>350901</v>
          </cell>
        </row>
        <row r="4527">
          <cell r="A4527">
            <v>350902</v>
          </cell>
          <cell r="B4527" t="str">
            <v>FRME SET, MRI 24'X16'-9"X10'(S.America)</v>
          </cell>
          <cell r="C4527" t="str">
            <v>EA</v>
          </cell>
          <cell r="D4527" t="str">
            <v>MA100</v>
          </cell>
          <cell r="E4527">
            <v>8419.0986300000004</v>
          </cell>
          <cell r="G4527">
            <v>350902</v>
          </cell>
        </row>
        <row r="4528">
          <cell r="A4528">
            <v>350905</v>
          </cell>
          <cell r="B4528" t="str">
            <v>STOCKROOM,CELL FLR 340.5X240.75 CU/28</v>
          </cell>
          <cell r="C4528" t="str">
            <v>EA</v>
          </cell>
          <cell r="D4528" t="str">
            <v>MA100</v>
          </cell>
          <cell r="E4528">
            <v>3957.95865</v>
          </cell>
          <cell r="G4528">
            <v>350905</v>
          </cell>
        </row>
        <row r="4529">
          <cell r="A4529">
            <v>350906</v>
          </cell>
          <cell r="B4529" t="str">
            <v>STOCKROOM,MONOLITHIC FLOOR KIT</v>
          </cell>
          <cell r="C4529" t="str">
            <v>EA</v>
          </cell>
          <cell r="D4529" t="str">
            <v>MA100</v>
          </cell>
          <cell r="E4529">
            <v>7289.5284300000003</v>
          </cell>
          <cell r="G4529">
            <v>350906</v>
          </cell>
        </row>
        <row r="4530">
          <cell r="A4530">
            <v>350908</v>
          </cell>
          <cell r="B4530" t="str">
            <v>STOCKROOM,CEILING SUPPORT ROD&amp;ANCH</v>
          </cell>
          <cell r="C4530" t="str">
            <v>EA</v>
          </cell>
          <cell r="D4530" t="str">
            <v>MA100</v>
          </cell>
          <cell r="E4530">
            <v>409.52050000000003</v>
          </cell>
          <cell r="G4530">
            <v>350908</v>
          </cell>
        </row>
        <row r="4531">
          <cell r="A4531">
            <v>350909</v>
          </cell>
          <cell r="B4531" t="str">
            <v>STOCKROOM,ACCS NUT&amp;BOLTS&amp;CLG ROD S RevB</v>
          </cell>
          <cell r="C4531" t="str">
            <v>EA</v>
          </cell>
          <cell r="D4531" t="str">
            <v>MA100</v>
          </cell>
          <cell r="E4531">
            <v>1514.46326</v>
          </cell>
          <cell r="G4531">
            <v>350909</v>
          </cell>
        </row>
        <row r="4532">
          <cell r="A4532">
            <v>350910</v>
          </cell>
          <cell r="B4532" t="str">
            <v>STOCKROOM,INTERIOR PACKAGE</v>
          </cell>
          <cell r="C4532" t="str">
            <v>EA</v>
          </cell>
          <cell r="D4532" t="str">
            <v>MA100</v>
          </cell>
          <cell r="E4532">
            <v>5385.2007000000003</v>
          </cell>
          <cell r="G4532">
            <v>350910</v>
          </cell>
        </row>
        <row r="4533">
          <cell r="A4533">
            <v>350911</v>
          </cell>
          <cell r="B4533" t="str">
            <v>STOCKROOM,GE MAGNET KIT</v>
          </cell>
          <cell r="C4533" t="str">
            <v>EA</v>
          </cell>
          <cell r="D4533" t="str">
            <v>MA100</v>
          </cell>
          <cell r="E4533">
            <v>832.70659999999998</v>
          </cell>
          <cell r="G4533">
            <v>350911</v>
          </cell>
        </row>
        <row r="4534">
          <cell r="A4534">
            <v>350922</v>
          </cell>
          <cell r="B4534" t="str">
            <v>KIT, MONO FLOOR WO CONCRETE UK ONLY</v>
          </cell>
          <cell r="C4534" t="str">
            <v>EA</v>
          </cell>
          <cell r="D4534" t="str">
            <v>MA100</v>
          </cell>
          <cell r="E4534">
            <v>1308.96165</v>
          </cell>
          <cell r="G4534">
            <v>350922</v>
          </cell>
        </row>
        <row r="4535">
          <cell r="A4535">
            <v>350923</v>
          </cell>
          <cell r="B4535" t="str">
            <v>STOCKROOM,UK HARDWARE KIT</v>
          </cell>
          <cell r="C4535" t="str">
            <v>EA</v>
          </cell>
          <cell r="D4535" t="str">
            <v>MA100</v>
          </cell>
          <cell r="E4535">
            <v>1247.26748</v>
          </cell>
          <cell r="G4535">
            <v>350923</v>
          </cell>
        </row>
        <row r="4536">
          <cell r="A4536">
            <v>350934</v>
          </cell>
          <cell r="B4536" t="str">
            <v>PLATE, FMRI, PHILIPS, W/2- 2" FDTHR</v>
          </cell>
          <cell r="C4536" t="str">
            <v>EA</v>
          </cell>
          <cell r="D4536" t="str">
            <v>MA100</v>
          </cell>
          <cell r="E4536">
            <v>397.82796999999999</v>
          </cell>
          <cell r="G4536">
            <v>350934</v>
          </cell>
        </row>
        <row r="4537">
          <cell r="A4537">
            <v>350935</v>
          </cell>
          <cell r="B4537" t="str">
            <v>PLATE, FMRI, ASIA, W/1- 2" FDTHR</v>
          </cell>
          <cell r="C4537" t="str">
            <v>EA</v>
          </cell>
          <cell r="D4537" t="str">
            <v>MA100</v>
          </cell>
          <cell r="E4537">
            <v>171.00107</v>
          </cell>
          <cell r="G4537">
            <v>350935</v>
          </cell>
        </row>
        <row r="4538">
          <cell r="A4538">
            <v>350938</v>
          </cell>
          <cell r="B4538" t="str">
            <v>PNL, (S-71) 24 X 37.50</v>
          </cell>
          <cell r="C4538" t="str">
            <v>EA</v>
          </cell>
          <cell r="D4538" t="str">
            <v>MA100</v>
          </cell>
          <cell r="E4538">
            <v>96.599090000000004</v>
          </cell>
          <cell r="G4538">
            <v>350938</v>
          </cell>
        </row>
        <row r="4539">
          <cell r="A4539">
            <v>351015</v>
          </cell>
          <cell r="B4539" t="str">
            <v>CRATE,DEI 145"LX20-1/4"WX52"H</v>
          </cell>
          <cell r="C4539" t="str">
            <v>EA</v>
          </cell>
          <cell r="D4539" t="str">
            <v>MA100</v>
          </cell>
          <cell r="E4539">
            <v>135.68875</v>
          </cell>
          <cell r="G4539">
            <v>351015</v>
          </cell>
        </row>
        <row r="4540">
          <cell r="A4540">
            <v>351035</v>
          </cell>
          <cell r="B4540" t="str">
            <v>SKID,WOOD 4'X11'</v>
          </cell>
          <cell r="C4540" t="str">
            <v>EA</v>
          </cell>
          <cell r="D4540" t="str">
            <v>MA100</v>
          </cell>
          <cell r="E4540">
            <v>164.685</v>
          </cell>
          <cell r="G4540">
            <v>351035</v>
          </cell>
        </row>
        <row r="4541">
          <cell r="A4541">
            <v>351037</v>
          </cell>
          <cell r="B4541" t="str">
            <v>CRATE,LAM/VENEER</v>
          </cell>
          <cell r="C4541" t="str">
            <v>EA</v>
          </cell>
          <cell r="D4541" t="str">
            <v>MA100</v>
          </cell>
          <cell r="E4541">
            <v>55.089500000000001</v>
          </cell>
          <cell r="G4541">
            <v>351037</v>
          </cell>
        </row>
        <row r="4542">
          <cell r="A4542">
            <v>351040</v>
          </cell>
          <cell r="B4542" t="str">
            <v>SKID,WOOD 4'x10'</v>
          </cell>
          <cell r="C4542" t="str">
            <v>EA</v>
          </cell>
          <cell r="D4542" t="str">
            <v>MA100</v>
          </cell>
          <cell r="E4542">
            <v>46.350499999999997</v>
          </cell>
          <cell r="G4542">
            <v>351040</v>
          </cell>
        </row>
        <row r="4543">
          <cell r="A4543">
            <v>351042</v>
          </cell>
          <cell r="B4543" t="str">
            <v>SKID,WOOD 4'x4'</v>
          </cell>
          <cell r="C4543" t="str">
            <v>EA</v>
          </cell>
          <cell r="D4543" t="str">
            <v>MA100</v>
          </cell>
          <cell r="E4543">
            <v>64.194999999999993</v>
          </cell>
          <cell r="G4543">
            <v>351042</v>
          </cell>
        </row>
        <row r="4544">
          <cell r="A4544">
            <v>351043</v>
          </cell>
          <cell r="B4544" t="str">
            <v>SKID,WOOD 4'X8' [MINOCQUA]</v>
          </cell>
          <cell r="C4544" t="str">
            <v>EA</v>
          </cell>
          <cell r="D4544" t="str">
            <v>MA100</v>
          </cell>
          <cell r="E4544">
            <v>140.08349999999999</v>
          </cell>
          <cell r="G4544">
            <v>351043</v>
          </cell>
        </row>
        <row r="4545">
          <cell r="A4545">
            <v>351044</v>
          </cell>
          <cell r="B4545" t="str">
            <v>SKID,WOOD 40"X132" [MINOCQUA]</v>
          </cell>
          <cell r="C4545" t="str">
            <v>EA</v>
          </cell>
          <cell r="D4545" t="str">
            <v>MA100</v>
          </cell>
          <cell r="E4545">
            <v>151.52099999999999</v>
          </cell>
          <cell r="G4545">
            <v>351044</v>
          </cell>
        </row>
        <row r="4546">
          <cell r="A4546">
            <v>351045</v>
          </cell>
          <cell r="B4546" t="str">
            <v>BOBSLED, WOOD 10' LONG</v>
          </cell>
          <cell r="C4546" t="str">
            <v>EA</v>
          </cell>
          <cell r="D4546" t="str">
            <v>MA100</v>
          </cell>
          <cell r="E4546">
            <v>124.94575</v>
          </cell>
          <cell r="G4546">
            <v>351045</v>
          </cell>
        </row>
        <row r="4547">
          <cell r="A4547">
            <v>351046</v>
          </cell>
          <cell r="B4547" t="str">
            <v>BOBSLED, WOOD 12' LONG</v>
          </cell>
          <cell r="C4547" t="str">
            <v>EA</v>
          </cell>
          <cell r="D4547" t="str">
            <v>MA100</v>
          </cell>
          <cell r="E4547">
            <v>110.4892</v>
          </cell>
          <cell r="G4547">
            <v>351046</v>
          </cell>
        </row>
        <row r="4548">
          <cell r="A4548">
            <v>354929</v>
          </cell>
          <cell r="B4548" t="str">
            <v>PNL,INTERFACE 20"X63"(FACED W/3OZ CU)</v>
          </cell>
          <cell r="C4548" t="str">
            <v>EA</v>
          </cell>
          <cell r="D4548" t="str">
            <v>MA100</v>
          </cell>
          <cell r="E4548">
            <v>52.398020000000002</v>
          </cell>
          <cell r="G4548">
            <v>354929</v>
          </cell>
        </row>
        <row r="4549">
          <cell r="A4549">
            <v>354930</v>
          </cell>
          <cell r="B4549" t="str">
            <v>PNL,INTERFACE 21.75x64.5 GE BLANK</v>
          </cell>
          <cell r="C4549" t="str">
            <v>EA</v>
          </cell>
          <cell r="D4549" t="str">
            <v>MA100</v>
          </cell>
          <cell r="E4549">
            <v>146.56614999999999</v>
          </cell>
          <cell r="G4549">
            <v>354930</v>
          </cell>
        </row>
        <row r="4550">
          <cell r="A4550">
            <v>354936</v>
          </cell>
          <cell r="B4550" t="str">
            <v>ASSY,CLG HTCH 20 X 29 CLR OPG W/ SCR</v>
          </cell>
          <cell r="C4550" t="str">
            <v>EA</v>
          </cell>
          <cell r="D4550" t="str">
            <v>MA100</v>
          </cell>
          <cell r="E4550">
            <v>170.81189000000001</v>
          </cell>
          <cell r="G4550">
            <v>354936</v>
          </cell>
        </row>
        <row r="4551">
          <cell r="A4551">
            <v>354937</v>
          </cell>
          <cell r="B4551" t="str">
            <v>FRAME, CRYO 9.25 x 9.25 W/CAP</v>
          </cell>
          <cell r="C4551" t="str">
            <v>EA</v>
          </cell>
          <cell r="D4551" t="str">
            <v>MA100</v>
          </cell>
          <cell r="E4551">
            <v>73.724580000000003</v>
          </cell>
          <cell r="G4551">
            <v>354937</v>
          </cell>
        </row>
        <row r="4552">
          <cell r="A4552">
            <v>354938</v>
          </cell>
          <cell r="B4552" t="str">
            <v>FRAME, CRYO 10.25 x10.25 SIEMENS W/CAP</v>
          </cell>
          <cell r="C4552" t="str">
            <v>EA</v>
          </cell>
          <cell r="D4552" t="str">
            <v>MA100</v>
          </cell>
          <cell r="E4552">
            <v>102.90458</v>
          </cell>
          <cell r="G4552">
            <v>354938</v>
          </cell>
        </row>
        <row r="4553">
          <cell r="A4553">
            <v>354939</v>
          </cell>
          <cell r="B4553" t="str">
            <v>FRAME, CRYO 12.5 x 12.5 SIEMENS W/CAP</v>
          </cell>
          <cell r="C4553" t="str">
            <v>EA</v>
          </cell>
          <cell r="D4553" t="str">
            <v>MA100</v>
          </cell>
          <cell r="E4553">
            <v>103.25958</v>
          </cell>
          <cell r="G4553">
            <v>354939</v>
          </cell>
        </row>
        <row r="4554">
          <cell r="A4554">
            <v>398602</v>
          </cell>
          <cell r="B4554" t="str">
            <v>DOC, EVO NAMING CONVENTION</v>
          </cell>
          <cell r="C4554" t="str">
            <v>EA</v>
          </cell>
          <cell r="D4554" t="str">
            <v>MA410</v>
          </cell>
          <cell r="E4554">
            <v>0</v>
          </cell>
          <cell r="G4554">
            <v>398602</v>
          </cell>
        </row>
        <row r="4555">
          <cell r="A4555">
            <v>398651</v>
          </cell>
          <cell r="B4555" t="str">
            <v>DOC, EVO SELECTION</v>
          </cell>
          <cell r="C4555" t="str">
            <v>EA</v>
          </cell>
          <cell r="D4555" t="str">
            <v>MA410</v>
          </cell>
          <cell r="E4555">
            <v>0</v>
          </cell>
          <cell r="G4555">
            <v>398651</v>
          </cell>
        </row>
        <row r="4556">
          <cell r="A4556">
            <v>398976</v>
          </cell>
          <cell r="B4556" t="str">
            <v>WIRING DIAGRAM DC FAN ASSEMBLY</v>
          </cell>
          <cell r="C4556" t="str">
            <v>EA</v>
          </cell>
          <cell r="D4556" t="str">
            <v>MA100</v>
          </cell>
          <cell r="E4556">
            <v>0</v>
          </cell>
          <cell r="G4556">
            <v>398976</v>
          </cell>
        </row>
        <row r="4557">
          <cell r="A4557">
            <v>400102</v>
          </cell>
          <cell r="B4557" t="str">
            <v>ALUM,DOOR STOP 1/8X2XFT</v>
          </cell>
          <cell r="C4557" t="str">
            <v>FT</v>
          </cell>
          <cell r="D4557" t="str">
            <v>RM100</v>
          </cell>
          <cell r="E4557">
            <v>1.93665</v>
          </cell>
          <cell r="G4557">
            <v>400102</v>
          </cell>
        </row>
        <row r="4558">
          <cell r="A4558">
            <v>400103</v>
          </cell>
          <cell r="B4558" t="str">
            <v>WIRE,Alum,.080",MCM 8904K85</v>
          </cell>
          <cell r="C4558" t="str">
            <v>FT</v>
          </cell>
          <cell r="D4558" t="str">
            <v>RM100</v>
          </cell>
          <cell r="E4558">
            <v>0.12612000000000001</v>
          </cell>
          <cell r="G4558">
            <v>400103</v>
          </cell>
        </row>
        <row r="4559">
          <cell r="A4559">
            <v>400108</v>
          </cell>
          <cell r="B4559" t="str">
            <v>ALUM, PLATE, 6061 .19"X12"X36"</v>
          </cell>
          <cell r="C4559" t="str">
            <v>EA</v>
          </cell>
          <cell r="D4559" t="str">
            <v>MA100</v>
          </cell>
          <cell r="E4559">
            <v>90.15</v>
          </cell>
          <cell r="G4559">
            <v>400108</v>
          </cell>
        </row>
        <row r="4560">
          <cell r="A4560">
            <v>400109</v>
          </cell>
          <cell r="B4560" t="str">
            <v>ALUM,1/8"X48"X96" 1.73 LB/SQ.FT H14</v>
          </cell>
          <cell r="C4560" t="str">
            <v>SH</v>
          </cell>
          <cell r="D4560" t="str">
            <v>RM100</v>
          </cell>
          <cell r="E4560">
            <v>132.70750000000001</v>
          </cell>
          <cell r="G4560">
            <v>400109</v>
          </cell>
        </row>
        <row r="4561">
          <cell r="A4561">
            <v>400130</v>
          </cell>
          <cell r="B4561" t="str">
            <v>ALUM,1/4"X48"X120",3003-H14</v>
          </cell>
          <cell r="C4561" t="str">
            <v>EA</v>
          </cell>
          <cell r="D4561" t="str">
            <v>MA100</v>
          </cell>
          <cell r="E4561">
            <v>480</v>
          </cell>
          <cell r="G4561">
            <v>400130</v>
          </cell>
        </row>
        <row r="4562">
          <cell r="A4562">
            <v>400150</v>
          </cell>
          <cell r="B4562" t="str">
            <v>Suite Sentry Entryway</v>
          </cell>
          <cell r="C4562" t="str">
            <v>EA</v>
          </cell>
          <cell r="D4562" t="str">
            <v>MA100</v>
          </cell>
          <cell r="E4562">
            <v>14900</v>
          </cell>
          <cell r="G4562">
            <v>400150</v>
          </cell>
        </row>
        <row r="4563">
          <cell r="A4563">
            <v>400151</v>
          </cell>
          <cell r="B4563" t="str">
            <v>Suite Sentry  Single/Screener</v>
          </cell>
          <cell r="C4563" t="str">
            <v>EA</v>
          </cell>
          <cell r="D4563" t="str">
            <v>MA100</v>
          </cell>
          <cell r="E4563">
            <v>8300</v>
          </cell>
          <cell r="G4563">
            <v>400151</v>
          </cell>
        </row>
        <row r="4564">
          <cell r="A4564">
            <v>400152</v>
          </cell>
          <cell r="B4564" t="str">
            <v>Suite Sentry F.I.L.M.</v>
          </cell>
          <cell r="C4564" t="str">
            <v>EA</v>
          </cell>
          <cell r="D4564" t="str">
            <v>MA100</v>
          </cell>
          <cell r="E4564">
            <v>3575</v>
          </cell>
          <cell r="G4564">
            <v>400152</v>
          </cell>
        </row>
        <row r="4565">
          <cell r="A4565">
            <v>400153</v>
          </cell>
          <cell r="B4565" t="str">
            <v>Power Supply - Digital w/ 12’ output cab</v>
          </cell>
          <cell r="C4565" t="str">
            <v>EA</v>
          </cell>
          <cell r="D4565" t="str">
            <v>MA100</v>
          </cell>
          <cell r="E4565">
            <v>164.61</v>
          </cell>
          <cell r="G4565">
            <v>400153</v>
          </cell>
        </row>
        <row r="4566">
          <cell r="A4566">
            <v>400154</v>
          </cell>
          <cell r="B4566" t="str">
            <v>AC mains power cord – w/ 90° Plug - 3 ft</v>
          </cell>
          <cell r="C4566" t="str">
            <v>EA</v>
          </cell>
          <cell r="D4566" t="str">
            <v>MA100</v>
          </cell>
          <cell r="E4566">
            <v>34.86</v>
          </cell>
          <cell r="G4566">
            <v>400154</v>
          </cell>
        </row>
        <row r="4567">
          <cell r="A4567">
            <v>400155</v>
          </cell>
          <cell r="B4567" t="str">
            <v>Installation Hardware Kit - Suite Sentry</v>
          </cell>
          <cell r="C4567" t="str">
            <v>EA</v>
          </cell>
          <cell r="D4567" t="str">
            <v>MA100</v>
          </cell>
          <cell r="E4567">
            <v>166.47</v>
          </cell>
          <cell r="G4567">
            <v>400155</v>
          </cell>
        </row>
        <row r="4568">
          <cell r="A4568">
            <v>400156</v>
          </cell>
          <cell r="B4568" t="str">
            <v>Surface Conduit Accs Kit, Ivory Sute Sen</v>
          </cell>
          <cell r="C4568" t="str">
            <v>EA</v>
          </cell>
          <cell r="D4568" t="str">
            <v>MA100</v>
          </cell>
          <cell r="E4568">
            <v>124.11</v>
          </cell>
          <cell r="G4568">
            <v>400156</v>
          </cell>
        </row>
        <row r="4569">
          <cell r="A4569">
            <v>400157</v>
          </cell>
          <cell r="B4569" t="str">
            <v>Document Package – Suite Sentry, Sgl Scr</v>
          </cell>
          <cell r="C4569" t="str">
            <v>EA</v>
          </cell>
          <cell r="D4569" t="str">
            <v>MA100</v>
          </cell>
          <cell r="E4569">
            <v>122.76</v>
          </cell>
          <cell r="G4569">
            <v>400157</v>
          </cell>
        </row>
        <row r="4570">
          <cell r="A4570">
            <v>400158</v>
          </cell>
          <cell r="B4570" t="str">
            <v>Spacer, Mounting Block Extension</v>
          </cell>
          <cell r="C4570" t="str">
            <v>EA</v>
          </cell>
          <cell r="D4570" t="str">
            <v>MA100</v>
          </cell>
          <cell r="E4570">
            <v>60</v>
          </cell>
          <cell r="G4570">
            <v>400158</v>
          </cell>
        </row>
        <row r="4571">
          <cell r="A4571">
            <v>400159</v>
          </cell>
          <cell r="B4571" t="str">
            <v>Mat, Floor, Single Instructive</v>
          </cell>
          <cell r="C4571" t="str">
            <v>EA</v>
          </cell>
          <cell r="D4571" t="str">
            <v>MA100</v>
          </cell>
          <cell r="E4571">
            <v>249.39</v>
          </cell>
          <cell r="G4571">
            <v>400159</v>
          </cell>
        </row>
        <row r="4572">
          <cell r="A4572">
            <v>400160</v>
          </cell>
          <cell r="B4572" t="str">
            <v>Box, Return Materials, 14” x 8” x 5"</v>
          </cell>
          <cell r="C4572" t="str">
            <v>EA</v>
          </cell>
          <cell r="D4572" t="str">
            <v>MA100</v>
          </cell>
          <cell r="E4572">
            <v>2.4300000000000002</v>
          </cell>
          <cell r="G4572">
            <v>400160</v>
          </cell>
        </row>
        <row r="4573">
          <cell r="A4573">
            <v>400161</v>
          </cell>
          <cell r="B4573" t="str">
            <v>Sensor Array Column Assembly - LEFT</v>
          </cell>
          <cell r="C4573" t="str">
            <v>EA</v>
          </cell>
          <cell r="D4573" t="str">
            <v>MA100</v>
          </cell>
          <cell r="E4573">
            <v>2192.79</v>
          </cell>
          <cell r="G4573">
            <v>400161</v>
          </cell>
        </row>
        <row r="4574">
          <cell r="A4574">
            <v>400162</v>
          </cell>
          <cell r="B4574" t="str">
            <v>Sensor Array Column Assembly - RIGHT</v>
          </cell>
          <cell r="C4574" t="str">
            <v>EA</v>
          </cell>
          <cell r="D4574" t="str">
            <v>MA100</v>
          </cell>
          <cell r="E4574">
            <v>2192.79</v>
          </cell>
          <cell r="G4574">
            <v>400162</v>
          </cell>
        </row>
        <row r="4575">
          <cell r="A4575">
            <v>400163</v>
          </cell>
          <cell r="B4575" t="str">
            <v>Sensor Array Crossbar Assm- Adjustable</v>
          </cell>
          <cell r="C4575" t="str">
            <v>EA</v>
          </cell>
          <cell r="D4575" t="str">
            <v>MA100</v>
          </cell>
          <cell r="E4575">
            <v>1974.21</v>
          </cell>
          <cell r="G4575">
            <v>400163</v>
          </cell>
        </row>
        <row r="4576">
          <cell r="A4576">
            <v>400164</v>
          </cell>
          <cell r="B4576" t="str">
            <v>Power Supply- Digital w/12’ output cable</v>
          </cell>
          <cell r="C4576" t="str">
            <v>EA</v>
          </cell>
          <cell r="D4576" t="str">
            <v>MA100</v>
          </cell>
          <cell r="E4576">
            <v>164.61</v>
          </cell>
          <cell r="G4576">
            <v>400164</v>
          </cell>
        </row>
        <row r="4577">
          <cell r="A4577">
            <v>400165</v>
          </cell>
          <cell r="B4577" t="str">
            <v>Power Supply- Digital w/8’ output cable</v>
          </cell>
          <cell r="C4577" t="str">
            <v>EA</v>
          </cell>
          <cell r="D4577" t="str">
            <v>MA100</v>
          </cell>
          <cell r="E4577">
            <v>378.57</v>
          </cell>
          <cell r="G4577">
            <v>400165</v>
          </cell>
        </row>
        <row r="4578">
          <cell r="A4578">
            <v>400166</v>
          </cell>
          <cell r="B4578" t="str">
            <v>Output Cable- 8’L – 5pin Conns</v>
          </cell>
          <cell r="C4578" t="str">
            <v>EA</v>
          </cell>
          <cell r="D4578" t="str">
            <v>MA100</v>
          </cell>
          <cell r="E4578">
            <v>149.37</v>
          </cell>
          <cell r="G4578">
            <v>400166</v>
          </cell>
        </row>
        <row r="4579">
          <cell r="A4579">
            <v>400167</v>
          </cell>
          <cell r="B4579" t="str">
            <v>Output Cable- 8’L – 3pin+4pin Conns</v>
          </cell>
          <cell r="C4579" t="str">
            <v>EA</v>
          </cell>
          <cell r="D4579" t="str">
            <v>MA100</v>
          </cell>
          <cell r="E4579">
            <v>135.66</v>
          </cell>
          <cell r="G4579">
            <v>400167</v>
          </cell>
        </row>
        <row r="4580">
          <cell r="A4580">
            <v>400168</v>
          </cell>
          <cell r="B4580" t="str">
            <v>Output Cable- 14’L – 5pin Conns</v>
          </cell>
          <cell r="C4580" t="str">
            <v>EA</v>
          </cell>
          <cell r="D4580" t="str">
            <v>MA100</v>
          </cell>
          <cell r="E4580">
            <v>0</v>
          </cell>
          <cell r="G4580">
            <v>400168</v>
          </cell>
        </row>
        <row r="4581">
          <cell r="A4581">
            <v>400169</v>
          </cell>
          <cell r="B4581" t="str">
            <v>Output Cable- 14’L – 3pin+4pin Conns</v>
          </cell>
          <cell r="C4581" t="str">
            <v>EA</v>
          </cell>
          <cell r="D4581" t="str">
            <v>MA100</v>
          </cell>
          <cell r="E4581">
            <v>175.47</v>
          </cell>
          <cell r="G4581">
            <v>400169</v>
          </cell>
        </row>
        <row r="4582">
          <cell r="A4582">
            <v>400170</v>
          </cell>
          <cell r="B4582" t="str">
            <v>AC mains power cord – w/ 90° Plug – 6 ft</v>
          </cell>
          <cell r="C4582" t="str">
            <v>EA</v>
          </cell>
          <cell r="D4582" t="str">
            <v>MA100</v>
          </cell>
          <cell r="E4582">
            <v>38.07</v>
          </cell>
          <cell r="G4582">
            <v>400170</v>
          </cell>
        </row>
        <row r="4583">
          <cell r="A4583">
            <v>400171</v>
          </cell>
          <cell r="B4583" t="str">
            <v>AC mains power cord – w/ 90° Plug – 3 ft</v>
          </cell>
          <cell r="C4583" t="str">
            <v>EA</v>
          </cell>
          <cell r="D4583" t="str">
            <v>MA100</v>
          </cell>
          <cell r="E4583">
            <v>34.86</v>
          </cell>
          <cell r="G4583">
            <v>400171</v>
          </cell>
        </row>
        <row r="4584">
          <cell r="A4584">
            <v>400172</v>
          </cell>
          <cell r="B4584" t="str">
            <v>AC mains power cord– w/Straight Plug–6'</v>
          </cell>
          <cell r="C4584" t="str">
            <v>EA</v>
          </cell>
          <cell r="D4584" t="str">
            <v>MA100</v>
          </cell>
          <cell r="E4584">
            <v>31.86</v>
          </cell>
          <cell r="G4584">
            <v>400172</v>
          </cell>
        </row>
        <row r="4585">
          <cell r="A4585">
            <v>400173</v>
          </cell>
          <cell r="B4585" t="str">
            <v>AC mains power cord– w/ 90° Plug–15'</v>
          </cell>
          <cell r="C4585" t="str">
            <v>EA</v>
          </cell>
          <cell r="D4585" t="str">
            <v>MA100</v>
          </cell>
          <cell r="E4585">
            <v>59.67</v>
          </cell>
          <cell r="G4585">
            <v>400173</v>
          </cell>
        </row>
        <row r="4586">
          <cell r="A4586">
            <v>400174</v>
          </cell>
          <cell r="B4586" t="str">
            <v>AC mains power cord– w/90° Plug– 1.5'</v>
          </cell>
          <cell r="C4586" t="str">
            <v>EA</v>
          </cell>
          <cell r="D4586" t="str">
            <v>MA100</v>
          </cell>
          <cell r="E4586">
            <v>28.8</v>
          </cell>
          <cell r="G4586">
            <v>400174</v>
          </cell>
        </row>
        <row r="4587">
          <cell r="A4587">
            <v>400175</v>
          </cell>
          <cell r="B4587" t="str">
            <v>Installation Hardware Kit -  SuiteSentry</v>
          </cell>
          <cell r="C4587" t="str">
            <v>EA</v>
          </cell>
          <cell r="D4587" t="str">
            <v>MA100</v>
          </cell>
          <cell r="E4587">
            <v>562.74</v>
          </cell>
          <cell r="G4587">
            <v>400175</v>
          </cell>
        </row>
        <row r="4588">
          <cell r="A4588">
            <v>400176</v>
          </cell>
          <cell r="B4588" t="str">
            <v>Surface Conduit Accessory Kit - Ivory</v>
          </cell>
          <cell r="C4588" t="str">
            <v>EA</v>
          </cell>
          <cell r="D4588" t="str">
            <v>MA100</v>
          </cell>
          <cell r="E4588">
            <v>231.81</v>
          </cell>
          <cell r="G4588">
            <v>400176</v>
          </cell>
        </row>
        <row r="4589">
          <cell r="A4589">
            <v>400177</v>
          </cell>
          <cell r="B4589" t="str">
            <v>Installation Kit - Door Roller Switch</v>
          </cell>
          <cell r="C4589" t="str">
            <v>EA</v>
          </cell>
          <cell r="D4589" t="str">
            <v>MA100</v>
          </cell>
          <cell r="E4589">
            <v>226.29</v>
          </cell>
          <cell r="G4589">
            <v>400177</v>
          </cell>
        </row>
        <row r="4590">
          <cell r="A4590">
            <v>400178</v>
          </cell>
          <cell r="B4590" t="str">
            <v>Adjustable Leveling Foot Kit (Pair)</v>
          </cell>
          <cell r="C4590" t="str">
            <v>EA</v>
          </cell>
          <cell r="D4590" t="str">
            <v>MA100</v>
          </cell>
          <cell r="E4590">
            <v>37.08</v>
          </cell>
          <cell r="G4590">
            <v>400178</v>
          </cell>
        </row>
        <row r="4591">
          <cell r="A4591">
            <v>400179</v>
          </cell>
          <cell r="B4591" t="str">
            <v>Operation &amp; Installation Manual–SuiteSen</v>
          </cell>
          <cell r="C4591" t="str">
            <v>EA</v>
          </cell>
          <cell r="D4591" t="str">
            <v>MA100</v>
          </cell>
          <cell r="E4591">
            <v>97.74</v>
          </cell>
          <cell r="G4591">
            <v>400179</v>
          </cell>
        </row>
        <row r="4592">
          <cell r="A4592">
            <v>400180</v>
          </cell>
          <cell r="B4592" t="str">
            <v>Operation and Training CD - SutieSentry</v>
          </cell>
          <cell r="C4592" t="str">
            <v>EA</v>
          </cell>
          <cell r="D4592" t="str">
            <v>MA100</v>
          </cell>
          <cell r="E4592">
            <v>6</v>
          </cell>
          <cell r="G4592">
            <v>400180</v>
          </cell>
        </row>
        <row r="4593">
          <cell r="A4593">
            <v>400181</v>
          </cell>
          <cell r="B4593" t="str">
            <v>Short Form Instruction Card- SuiteSentry</v>
          </cell>
          <cell r="C4593" t="str">
            <v>EA</v>
          </cell>
          <cell r="D4593" t="str">
            <v>MA100</v>
          </cell>
          <cell r="E4593">
            <v>10.8</v>
          </cell>
          <cell r="G4593">
            <v>400181</v>
          </cell>
        </row>
        <row r="4594">
          <cell r="A4594">
            <v>400182</v>
          </cell>
          <cell r="B4594" t="str">
            <v>USB flash drive </v>
          </cell>
          <cell r="C4594" t="str">
            <v>EA</v>
          </cell>
          <cell r="D4594" t="str">
            <v>MA100</v>
          </cell>
          <cell r="E4594">
            <v>22.77</v>
          </cell>
          <cell r="G4594">
            <v>400182</v>
          </cell>
        </row>
        <row r="4595">
          <cell r="A4595">
            <v>400183</v>
          </cell>
          <cell r="B4595" t="str">
            <v>SuiteSentry™F.I.L.M.  Mounting Kit</v>
          </cell>
          <cell r="C4595" t="str">
            <v>EA</v>
          </cell>
          <cell r="D4595" t="str">
            <v>MA100</v>
          </cell>
          <cell r="E4595">
            <v>101.4</v>
          </cell>
          <cell r="G4595">
            <v>400183</v>
          </cell>
        </row>
        <row r="4596">
          <cell r="A4596">
            <v>400184</v>
          </cell>
          <cell r="B4596" t="str">
            <v>Extended Power Cable - 12ft</v>
          </cell>
          <cell r="C4596" t="str">
            <v>EA</v>
          </cell>
          <cell r="D4596" t="str">
            <v>MA100</v>
          </cell>
          <cell r="E4596">
            <v>55.65</v>
          </cell>
          <cell r="G4596">
            <v>400184</v>
          </cell>
        </row>
        <row r="4597">
          <cell r="A4597">
            <v>400185</v>
          </cell>
          <cell r="B4597" t="str">
            <v>Power Supply – SuiteSentry™F.I.L.M.</v>
          </cell>
          <cell r="C4597" t="str">
            <v>EA</v>
          </cell>
          <cell r="D4597" t="str">
            <v>MA100</v>
          </cell>
          <cell r="E4597">
            <v>103.44</v>
          </cell>
          <cell r="G4597">
            <v>400185</v>
          </cell>
        </row>
        <row r="4598">
          <cell r="A4598">
            <v>400186</v>
          </cell>
          <cell r="B4598" t="str">
            <v>Manual, SuiteSentry F.I.L.M. Oper &amp; Main</v>
          </cell>
          <cell r="C4598" t="str">
            <v>EA</v>
          </cell>
          <cell r="D4598" t="str">
            <v>MA100</v>
          </cell>
          <cell r="E4598">
            <v>50</v>
          </cell>
          <cell r="G4598">
            <v>400186</v>
          </cell>
        </row>
        <row r="4599">
          <cell r="A4599">
            <v>400187</v>
          </cell>
          <cell r="B4599" t="str">
            <v>Manual, SuiteSentry Single Oper &amp; Maint</v>
          </cell>
          <cell r="C4599" t="str">
            <v>EA</v>
          </cell>
          <cell r="D4599" t="str">
            <v>MA100</v>
          </cell>
          <cell r="E4599">
            <v>50</v>
          </cell>
          <cell r="G4599">
            <v>400187</v>
          </cell>
        </row>
        <row r="4600">
          <cell r="A4600">
            <v>400204</v>
          </cell>
          <cell r="B4600" t="str">
            <v>BR,1/8X1-1/4X144 6.92L/PC 360 ALLOY1/2HD</v>
          </cell>
          <cell r="C4600" t="str">
            <v>FT</v>
          </cell>
          <cell r="D4600" t="str">
            <v>RM100</v>
          </cell>
          <cell r="E4600">
            <v>2.5064600000000001</v>
          </cell>
          <cell r="G4600">
            <v>400204</v>
          </cell>
        </row>
        <row r="4601">
          <cell r="A4601">
            <v>400209</v>
          </cell>
          <cell r="B4601" t="str">
            <v>BAR,RECT,3/16X1X144,360 ALLOY,1/2 HRD</v>
          </cell>
          <cell r="C4601" t="str">
            <v>FT</v>
          </cell>
          <cell r="D4601" t="str">
            <v>RM100</v>
          </cell>
          <cell r="E4601">
            <v>3.8464100000000001</v>
          </cell>
          <cell r="G4601">
            <v>400209</v>
          </cell>
        </row>
        <row r="4602">
          <cell r="A4602">
            <v>400217</v>
          </cell>
          <cell r="B4602" t="str">
            <v>BR,3/16"X36"X96" 198.288#/SH 260 A,1/2H</v>
          </cell>
          <cell r="C4602" t="str">
            <v>SH</v>
          </cell>
          <cell r="D4602" t="str">
            <v>RM100</v>
          </cell>
          <cell r="E4602">
            <v>889.30399999999997</v>
          </cell>
          <cell r="G4602">
            <v>400217</v>
          </cell>
        </row>
        <row r="4603">
          <cell r="A4603">
            <v>400218</v>
          </cell>
          <cell r="B4603" t="str">
            <v>BR,1/8x36x96 132.192#/SH 260 A,1/2HD</v>
          </cell>
          <cell r="C4603" t="str">
            <v>SH</v>
          </cell>
          <cell r="D4603" t="str">
            <v>RM100</v>
          </cell>
          <cell r="E4603">
            <v>445.11500000000001</v>
          </cell>
          <cell r="G4603">
            <v>400218</v>
          </cell>
        </row>
        <row r="4604">
          <cell r="A4604">
            <v>400250</v>
          </cell>
          <cell r="B4604" t="str">
            <v>BRZ,PHOS.013 NOM.X1.5"X12" 510 AL SPR*</v>
          </cell>
          <cell r="C4604" t="str">
            <v>FT</v>
          </cell>
          <cell r="D4604" t="str">
            <v>RM100</v>
          </cell>
          <cell r="E4604">
            <v>1.1499999999999999</v>
          </cell>
          <cell r="G4604">
            <v>400250</v>
          </cell>
        </row>
        <row r="4605">
          <cell r="A4605">
            <v>400251</v>
          </cell>
          <cell r="B4605" t="str">
            <v>BRZ.PHOS .010 X12"X1-3/8",510 ALLOY SPRG</v>
          </cell>
          <cell r="C4605" t="str">
            <v>EA</v>
          </cell>
          <cell r="D4605" t="str">
            <v>RM100</v>
          </cell>
          <cell r="E4605">
            <v>5.25</v>
          </cell>
          <cell r="G4605">
            <v>400251</v>
          </cell>
        </row>
        <row r="4606">
          <cell r="A4606">
            <v>400252</v>
          </cell>
          <cell r="B4606" t="str">
            <v>BRZ,PHOS .010 X12"X1-1/4",510 ALLOY SPRG</v>
          </cell>
          <cell r="C4606" t="str">
            <v>FT</v>
          </cell>
          <cell r="D4606" t="str">
            <v>RM100</v>
          </cell>
          <cell r="E4606">
            <v>1.1299999999999999</v>
          </cell>
          <cell r="G4606">
            <v>400252</v>
          </cell>
        </row>
        <row r="4607">
          <cell r="A4607">
            <v>400408</v>
          </cell>
          <cell r="B4607" t="str">
            <v>STL,HR 3/8x4xLF,5.10 LB</v>
          </cell>
          <cell r="C4607" t="str">
            <v>FT</v>
          </cell>
          <cell r="D4607" t="str">
            <v>RM100</v>
          </cell>
          <cell r="E4607">
            <v>3.6145</v>
          </cell>
          <cell r="G4607">
            <v>400408</v>
          </cell>
        </row>
        <row r="4608">
          <cell r="A4608">
            <v>400650</v>
          </cell>
          <cell r="B4608" t="str">
            <v>ANG,STL HR 1/8X1.5X1.5"XLF</v>
          </cell>
          <cell r="C4608" t="str">
            <v>FT</v>
          </cell>
          <cell r="D4608" t="str">
            <v>RM100</v>
          </cell>
          <cell r="E4608">
            <v>1.02817</v>
          </cell>
          <cell r="G4608">
            <v>400650</v>
          </cell>
        </row>
        <row r="4609">
          <cell r="A4609">
            <v>400659</v>
          </cell>
          <cell r="B4609" t="str">
            <v>ANG,STL HR 3/16X2X2 10'</v>
          </cell>
          <cell r="C4609" t="str">
            <v>FT</v>
          </cell>
          <cell r="D4609" t="str">
            <v>RM100</v>
          </cell>
          <cell r="E4609">
            <v>3.0945</v>
          </cell>
          <cell r="G4609">
            <v>400659</v>
          </cell>
        </row>
        <row r="4610">
          <cell r="A4610">
            <v>400663</v>
          </cell>
          <cell r="B4610" t="str">
            <v>ANG,STL 1/8X1.5X1.5X6 CUT FROM 504607</v>
          </cell>
          <cell r="C4610" t="str">
            <v>EA</v>
          </cell>
          <cell r="D4610" t="str">
            <v>MA100</v>
          </cell>
          <cell r="E4610">
            <v>1.18662</v>
          </cell>
          <cell r="G4610">
            <v>400663</v>
          </cell>
        </row>
        <row r="4611">
          <cell r="A4611">
            <v>402001</v>
          </cell>
          <cell r="B4611" t="str">
            <v>CONT,DR FNG(I).013x12" PHOS BRZ</v>
          </cell>
          <cell r="C4611" t="str">
            <v>EA</v>
          </cell>
          <cell r="D4611" t="str">
            <v>MA100</v>
          </cell>
          <cell r="E4611">
            <v>2.9206400000000001</v>
          </cell>
          <cell r="G4611">
            <v>402001</v>
          </cell>
        </row>
        <row r="4612">
          <cell r="A4612" t="str">
            <v>402001-OP</v>
          </cell>
          <cell r="B4612" t="str">
            <v>FAB,CONT,DR FNG(I).013x12" PHOS BRZ</v>
          </cell>
          <cell r="C4612" t="str">
            <v>EA</v>
          </cell>
          <cell r="D4612" t="str">
            <v>RM100</v>
          </cell>
          <cell r="E4612">
            <v>1.05</v>
          </cell>
          <cell r="G4612" t="str">
            <v>402001-OP</v>
          </cell>
        </row>
        <row r="4613">
          <cell r="A4613">
            <v>402002</v>
          </cell>
          <cell r="B4613" t="str">
            <v>CONT,DR FNG(OUTSIDE).010X12" PHOS BRZ</v>
          </cell>
          <cell r="C4613" t="str">
            <v>EA</v>
          </cell>
          <cell r="D4613" t="str">
            <v>MA100</v>
          </cell>
          <cell r="E4613">
            <v>2.9006400000000001</v>
          </cell>
          <cell r="G4613">
            <v>402002</v>
          </cell>
        </row>
        <row r="4614">
          <cell r="A4614" t="str">
            <v>402002-OP</v>
          </cell>
          <cell r="B4614" t="str">
            <v>CONT,DR FNG(0).010X12" PHOS BRZ</v>
          </cell>
          <cell r="C4614" t="str">
            <v>EA</v>
          </cell>
          <cell r="D4614" t="str">
            <v>RM100</v>
          </cell>
          <cell r="E4614">
            <v>1.05</v>
          </cell>
          <cell r="G4614" t="str">
            <v>402002-OP</v>
          </cell>
        </row>
        <row r="4615">
          <cell r="A4615">
            <v>402003</v>
          </cell>
          <cell r="B4615" t="str">
            <v>CU,.005"X5.5" TIN DIPPED, ALLOY 110</v>
          </cell>
          <cell r="C4615" t="str">
            <v>FT</v>
          </cell>
          <cell r="D4615" t="str">
            <v>RM100</v>
          </cell>
          <cell r="E4615">
            <v>1.4681299999999999</v>
          </cell>
          <cell r="G4615">
            <v>402003</v>
          </cell>
        </row>
        <row r="4616">
          <cell r="A4616">
            <v>402007</v>
          </cell>
          <cell r="B4616" t="str">
            <v>CONT,FNG .010 x 12" FORMED PHOS BRZ</v>
          </cell>
          <cell r="C4616" t="str">
            <v>EA</v>
          </cell>
          <cell r="D4616" t="str">
            <v>MA100</v>
          </cell>
          <cell r="E4616">
            <v>2.1800000000000002</v>
          </cell>
          <cell r="G4616">
            <v>402007</v>
          </cell>
        </row>
        <row r="4617">
          <cell r="A4617" t="str">
            <v>402007-OP</v>
          </cell>
          <cell r="B4617" t="str">
            <v>FAB,CONT,DR,FNG .010X12 PHOS BRZ</v>
          </cell>
          <cell r="C4617" t="str">
            <v>EA</v>
          </cell>
          <cell r="D4617" t="str">
            <v>MA100</v>
          </cell>
          <cell r="E4617">
            <v>1.05</v>
          </cell>
          <cell r="G4617" t="str">
            <v>402007-OP</v>
          </cell>
        </row>
        <row r="4618">
          <cell r="A4618">
            <v>402008</v>
          </cell>
          <cell r="B4618" t="str">
            <v>CONT,DR FNG 10GHZ.010x1-3/8Wx12L PHOS</v>
          </cell>
          <cell r="C4618" t="str">
            <v>EA</v>
          </cell>
          <cell r="D4618" t="str">
            <v>MA100</v>
          </cell>
          <cell r="E4618">
            <v>7.0206400000000002</v>
          </cell>
          <cell r="G4618">
            <v>402008</v>
          </cell>
        </row>
        <row r="4619">
          <cell r="A4619" t="str">
            <v>402008-OP</v>
          </cell>
          <cell r="B4619" t="str">
            <v>FAB,CONT,DR,FNG .010X12 PHOS BRZ</v>
          </cell>
          <cell r="C4619" t="str">
            <v>EA</v>
          </cell>
          <cell r="D4619" t="str">
            <v>RM100</v>
          </cell>
          <cell r="E4619">
            <v>1.05</v>
          </cell>
          <cell r="G4619" t="str">
            <v>402008-OP</v>
          </cell>
        </row>
        <row r="4620">
          <cell r="A4620">
            <v>402009</v>
          </cell>
          <cell r="B4620" t="str">
            <v>CONT,FNG .010 x 12" FORMED PHOS BRZ</v>
          </cell>
          <cell r="C4620" t="str">
            <v>EA</v>
          </cell>
          <cell r="D4620" t="str">
            <v>MA100</v>
          </cell>
          <cell r="E4620">
            <v>8.0500000000000007</v>
          </cell>
          <cell r="G4620">
            <v>402009</v>
          </cell>
        </row>
        <row r="4621">
          <cell r="A4621" t="str">
            <v>402009-OP</v>
          </cell>
          <cell r="B4621" t="str">
            <v>FAB,CONT,DR,FNG .010X12 PHOS BRZ</v>
          </cell>
          <cell r="C4621" t="str">
            <v>EA</v>
          </cell>
          <cell r="D4621" t="str">
            <v>MA100</v>
          </cell>
          <cell r="E4621">
            <v>2.8</v>
          </cell>
          <cell r="G4621" t="str">
            <v>402009-OP</v>
          </cell>
        </row>
        <row r="4622">
          <cell r="A4622">
            <v>404001</v>
          </cell>
          <cell r="B4622" t="str">
            <v>ANG,STL,ZN,1X1X1/2 MMC1556A61</v>
          </cell>
          <cell r="C4622" t="str">
            <v>EA</v>
          </cell>
          <cell r="D4622" t="str">
            <v>RM100</v>
          </cell>
          <cell r="E4622">
            <v>0.47</v>
          </cell>
          <cell r="G4622">
            <v>404001</v>
          </cell>
        </row>
        <row r="4623">
          <cell r="A4623">
            <v>404126</v>
          </cell>
          <cell r="B4623" t="str">
            <v>ALUM,1/8"X48"X144" 6061-T6 87 LBS/EA</v>
          </cell>
          <cell r="C4623" t="str">
            <v>SH</v>
          </cell>
          <cell r="D4623" t="str">
            <v>RM100</v>
          </cell>
          <cell r="E4623">
            <v>118.895</v>
          </cell>
          <cell r="G4623">
            <v>404126</v>
          </cell>
        </row>
        <row r="4624">
          <cell r="A4624">
            <v>404130</v>
          </cell>
          <cell r="B4624" t="str">
            <v>ALUM,1/8"X48"X120" 3003-H14</v>
          </cell>
          <cell r="C4624" t="str">
            <v>SH</v>
          </cell>
          <cell r="D4624" t="str">
            <v>RM100</v>
          </cell>
          <cell r="E4624">
            <v>99.078999999999994</v>
          </cell>
          <cell r="G4624">
            <v>404130</v>
          </cell>
        </row>
        <row r="4625">
          <cell r="A4625">
            <v>404132</v>
          </cell>
          <cell r="B4625" t="str">
            <v>ALUM,1/4"X48"X144" 6061-T6</v>
          </cell>
          <cell r="C4625" t="str">
            <v>SH</v>
          </cell>
          <cell r="D4625" t="str">
            <v>RM100</v>
          </cell>
          <cell r="E4625">
            <v>369.16</v>
          </cell>
          <cell r="G4625">
            <v>404132</v>
          </cell>
        </row>
        <row r="4626">
          <cell r="A4626">
            <v>404141</v>
          </cell>
          <cell r="B4626" t="str">
            <v>EXTRU,ALUM WDW II,6063-T6,ARC SPRAYED</v>
          </cell>
          <cell r="C4626" t="str">
            <v>FT</v>
          </cell>
          <cell r="D4626" t="str">
            <v>RM100</v>
          </cell>
          <cell r="E4626">
            <v>4.1500000000000004</v>
          </cell>
          <cell r="G4626">
            <v>404141</v>
          </cell>
        </row>
        <row r="4627">
          <cell r="A4627">
            <v>404152</v>
          </cell>
          <cell r="B4627" t="str">
            <v>ALUM,.063X48"X144" 5052-H34 44 LBS/SHEET</v>
          </cell>
          <cell r="C4627" t="str">
            <v>SH</v>
          </cell>
          <cell r="D4627" t="str">
            <v>RM100</v>
          </cell>
          <cell r="E4627">
            <v>101.124</v>
          </cell>
          <cell r="G4627">
            <v>404152</v>
          </cell>
        </row>
        <row r="4628">
          <cell r="A4628">
            <v>404154</v>
          </cell>
          <cell r="B4628" t="str">
            <v>ALUM, .190X48X96, 3003 H14</v>
          </cell>
          <cell r="C4628" t="str">
            <v>SH</v>
          </cell>
          <cell r="D4628" t="str">
            <v>RM100</v>
          </cell>
          <cell r="E4628">
            <v>128.80799999999999</v>
          </cell>
          <cell r="G4628">
            <v>404154</v>
          </cell>
        </row>
        <row r="4629">
          <cell r="A4629">
            <v>404155</v>
          </cell>
          <cell r="B4629" t="str">
            <v>ALUM, .190X48X120, 3003 H14</v>
          </cell>
          <cell r="C4629" t="str">
            <v>EA</v>
          </cell>
          <cell r="D4629" t="str">
            <v>RM100</v>
          </cell>
          <cell r="E4629">
            <v>172.547</v>
          </cell>
          <cell r="G4629">
            <v>404155</v>
          </cell>
        </row>
        <row r="4630">
          <cell r="A4630">
            <v>404181</v>
          </cell>
          <cell r="B4630" t="str">
            <v>ALUM,.090X48X120 3003-H14</v>
          </cell>
          <cell r="C4630" t="str">
            <v>SH</v>
          </cell>
          <cell r="D4630" t="str">
            <v>RM100</v>
          </cell>
          <cell r="E4630">
            <v>172.97</v>
          </cell>
          <cell r="G4630">
            <v>404181</v>
          </cell>
        </row>
        <row r="4631">
          <cell r="A4631">
            <v>404233</v>
          </cell>
          <cell r="B4631" t="str">
            <v>FLNG,W/G AIR VENT 22 GA. GALV 1"X1"X LF</v>
          </cell>
          <cell r="C4631" t="str">
            <v>FT</v>
          </cell>
          <cell r="D4631" t="str">
            <v>MA100</v>
          </cell>
          <cell r="E4631">
            <v>2.8824999999999998</v>
          </cell>
          <cell r="G4631">
            <v>404233</v>
          </cell>
        </row>
        <row r="4632">
          <cell r="A4632">
            <v>404246</v>
          </cell>
          <cell r="B4632" t="str">
            <v>STRAP, CU. GND 24oz. 46" LONGx9" WIDE*</v>
          </cell>
          <cell r="C4632" t="str">
            <v>EA</v>
          </cell>
          <cell r="D4632" t="str">
            <v>MA100</v>
          </cell>
          <cell r="E4632">
            <v>58.335250000000002</v>
          </cell>
          <cell r="G4632">
            <v>404246</v>
          </cell>
        </row>
        <row r="4633">
          <cell r="A4633">
            <v>404512</v>
          </cell>
          <cell r="B4633" t="str">
            <v>EXTRU,ALUM CW GLZ TRM 6063-T5 126" MILL</v>
          </cell>
          <cell r="C4633" t="str">
            <v>FT</v>
          </cell>
          <cell r="D4633" t="str">
            <v>RM100</v>
          </cell>
          <cell r="E4633">
            <v>0.18190000000000001</v>
          </cell>
          <cell r="G4633">
            <v>404512</v>
          </cell>
        </row>
        <row r="4634">
          <cell r="A4634">
            <v>404515</v>
          </cell>
          <cell r="B4634" t="str">
            <v>EXTRU,ALUM CW CTRSNAP 6063-T5 12.5' MIL</v>
          </cell>
          <cell r="C4634" t="str">
            <v>FT</v>
          </cell>
          <cell r="D4634" t="str">
            <v>RM100</v>
          </cell>
          <cell r="E4634">
            <v>0.88912000000000002</v>
          </cell>
          <cell r="G4634">
            <v>404515</v>
          </cell>
        </row>
        <row r="4635">
          <cell r="A4635">
            <v>404519</v>
          </cell>
          <cell r="B4635" t="str">
            <v>EXTRU,ALUM CW WDW FRM 10-1/2 FT LG W/ARC</v>
          </cell>
          <cell r="C4635" t="str">
            <v>FT</v>
          </cell>
          <cell r="D4635" t="str">
            <v>MA100</v>
          </cell>
          <cell r="E4635">
            <v>4.68</v>
          </cell>
          <cell r="G4635">
            <v>404519</v>
          </cell>
        </row>
        <row r="4636">
          <cell r="A4636">
            <v>404521</v>
          </cell>
          <cell r="B4636" t="str">
            <v>EXTRU,ALUM CW CTR SUP PWDC &amp; ARCS*</v>
          </cell>
          <cell r="C4636" t="str">
            <v>FT</v>
          </cell>
          <cell r="D4636" t="str">
            <v>MA100</v>
          </cell>
          <cell r="E4636">
            <v>4.9302400000000004</v>
          </cell>
          <cell r="G4636">
            <v>404521</v>
          </cell>
        </row>
        <row r="4637">
          <cell r="A4637">
            <v>404523</v>
          </cell>
          <cell r="B4637" t="str">
            <v>TUBE,ALUM 8"ODX1/8"WALLXFT</v>
          </cell>
          <cell r="C4637" t="str">
            <v>FT</v>
          </cell>
          <cell r="D4637" t="str">
            <v>RM100</v>
          </cell>
          <cell r="E4637">
            <v>29.15</v>
          </cell>
          <cell r="G4637">
            <v>404523</v>
          </cell>
        </row>
        <row r="4638">
          <cell r="A4638">
            <v>404524</v>
          </cell>
          <cell r="B4638" t="str">
            <v>ALUM,RECT 1/4"X 1"XFT  6061-T6*</v>
          </cell>
          <cell r="C4638" t="str">
            <v>FT</v>
          </cell>
          <cell r="D4638" t="str">
            <v>RM100</v>
          </cell>
          <cell r="E4638">
            <v>2.2516600000000002</v>
          </cell>
          <cell r="G4638">
            <v>404524</v>
          </cell>
        </row>
        <row r="4639">
          <cell r="A4639">
            <v>404527</v>
          </cell>
          <cell r="B4639" t="str">
            <v>STL,HR 3/8x2xLF,20' LG PCS</v>
          </cell>
          <cell r="C4639" t="str">
            <v>FT</v>
          </cell>
          <cell r="D4639" t="str">
            <v>RM100</v>
          </cell>
          <cell r="E4639">
            <v>1.8194999999999999</v>
          </cell>
          <cell r="G4639">
            <v>404527</v>
          </cell>
        </row>
        <row r="4640">
          <cell r="A4640">
            <v>404564</v>
          </cell>
          <cell r="B4640" t="str">
            <v>EXTRU,BR(J-FRM) LINDGREN DIE #3360*</v>
          </cell>
          <cell r="C4640" t="str">
            <v>EA</v>
          </cell>
          <cell r="D4640" t="str">
            <v>RM100</v>
          </cell>
          <cell r="E4640">
            <v>148.99199999999999</v>
          </cell>
          <cell r="G4640">
            <v>404564</v>
          </cell>
        </row>
        <row r="4641">
          <cell r="A4641">
            <v>404964</v>
          </cell>
          <cell r="B4641" t="str">
            <v>ALUM,EXTRU,ANG,1/8X1.5"X1.5"X8'</v>
          </cell>
          <cell r="C4641" t="str">
            <v>FT</v>
          </cell>
          <cell r="D4641" t="str">
            <v>MA100</v>
          </cell>
          <cell r="E4641">
            <v>4.1462500000000002</v>
          </cell>
          <cell r="G4641">
            <v>404964</v>
          </cell>
        </row>
        <row r="4642">
          <cell r="A4642">
            <v>404965</v>
          </cell>
          <cell r="B4642" t="str">
            <v>ALU,ANG,1/8"X2"X2"X8',W/90 DEG INSIDE CR</v>
          </cell>
          <cell r="C4642" t="str">
            <v>EA</v>
          </cell>
          <cell r="D4642" t="str">
            <v>RM100</v>
          </cell>
          <cell r="E4642">
            <v>31.23</v>
          </cell>
          <cell r="G4642">
            <v>404965</v>
          </cell>
        </row>
        <row r="4643">
          <cell r="A4643">
            <v>405076</v>
          </cell>
          <cell r="B4643" t="str">
            <v>EXTRU,ALUM SUP BLK PWDC &amp; ARC/SO</v>
          </cell>
          <cell r="C4643" t="str">
            <v>FT</v>
          </cell>
          <cell r="D4643" t="str">
            <v>MA100</v>
          </cell>
          <cell r="E4643">
            <v>6.0731400000000004</v>
          </cell>
          <cell r="G4643">
            <v>405076</v>
          </cell>
        </row>
        <row r="4644">
          <cell r="A4644" t="str">
            <v>405076-OP1</v>
          </cell>
          <cell r="B4644" t="str">
            <v>PROCESS,PWDR COAT,BLK</v>
          </cell>
          <cell r="C4644" t="str">
            <v>EA</v>
          </cell>
          <cell r="D4644" t="str">
            <v>MA100</v>
          </cell>
          <cell r="E4644">
            <v>7.02189</v>
          </cell>
          <cell r="G4644" t="str">
            <v>405076-OP1</v>
          </cell>
        </row>
        <row r="4645">
          <cell r="A4645">
            <v>405077</v>
          </cell>
          <cell r="B4645" t="str">
            <v>EXTRU,ALUM CW CLAMP 6063-T5 12.5' MILL*</v>
          </cell>
          <cell r="C4645" t="str">
            <v>FT</v>
          </cell>
          <cell r="D4645" t="str">
            <v>RM100</v>
          </cell>
          <cell r="E4645">
            <v>0.77344000000000002</v>
          </cell>
          <cell r="G4645">
            <v>405077</v>
          </cell>
        </row>
        <row r="4646">
          <cell r="A4646">
            <v>405078</v>
          </cell>
          <cell r="B4646" t="str">
            <v>EXTRU,ALUM CW CTR TRM 6063-T5 12.5'*</v>
          </cell>
          <cell r="C4646" t="str">
            <v>FT</v>
          </cell>
          <cell r="D4646" t="str">
            <v>MA100</v>
          </cell>
          <cell r="E4646">
            <v>1.5574399999999999</v>
          </cell>
          <cell r="G4646">
            <v>405078</v>
          </cell>
        </row>
        <row r="4647">
          <cell r="A4647">
            <v>405079</v>
          </cell>
          <cell r="B4647" t="str">
            <v>EXTRU,ALUM CW PER TRM 6063-T5 12.5'*</v>
          </cell>
          <cell r="C4647" t="str">
            <v>FT</v>
          </cell>
          <cell r="D4647" t="str">
            <v>RM100</v>
          </cell>
          <cell r="E4647">
            <v>1.4549000000000001</v>
          </cell>
          <cell r="G4647">
            <v>405079</v>
          </cell>
        </row>
        <row r="4648">
          <cell r="A4648">
            <v>405098</v>
          </cell>
          <cell r="B4648" t="str">
            <v>CHNL,STL C6X8.2 ASTM A-36 BY FT</v>
          </cell>
          <cell r="C4648" t="str">
            <v>FT</v>
          </cell>
          <cell r="D4648" t="str">
            <v>RM100</v>
          </cell>
          <cell r="E4648">
            <v>5.7955500000000004</v>
          </cell>
          <cell r="G4648">
            <v>405098</v>
          </cell>
        </row>
        <row r="4649">
          <cell r="A4649">
            <v>405118</v>
          </cell>
          <cell r="B4649" t="str">
            <v>ALUM,ANG 5"X5"X3/8"X120"ALLOY6061*</v>
          </cell>
          <cell r="C4649" t="str">
            <v>FT</v>
          </cell>
          <cell r="D4649" t="str">
            <v>RM100</v>
          </cell>
          <cell r="E4649">
            <v>12.830399999999999</v>
          </cell>
          <cell r="G4649">
            <v>405118</v>
          </cell>
        </row>
        <row r="4650">
          <cell r="A4650">
            <v>405198</v>
          </cell>
          <cell r="B4650" t="str">
            <v>EXTRU,ALUM CW CTR TRIM BLK PWDC*</v>
          </cell>
          <cell r="C4650" t="str">
            <v>FT</v>
          </cell>
          <cell r="D4650" t="str">
            <v>MA100</v>
          </cell>
          <cell r="E4650">
            <v>2.3832100000000001</v>
          </cell>
          <cell r="G4650">
            <v>405198</v>
          </cell>
        </row>
        <row r="4651">
          <cell r="A4651" t="str">
            <v>405198-OP</v>
          </cell>
          <cell r="B4651" t="str">
            <v>PROCESS,PWDR COAT, BLK OF 405078*</v>
          </cell>
          <cell r="C4651" t="str">
            <v>EA</v>
          </cell>
          <cell r="D4651" t="str">
            <v>MA100</v>
          </cell>
          <cell r="E4651">
            <v>10.322150000000001</v>
          </cell>
          <cell r="G4651" t="str">
            <v>405198-OP</v>
          </cell>
        </row>
        <row r="4652">
          <cell r="A4652">
            <v>405200</v>
          </cell>
          <cell r="B4652" t="str">
            <v>EXTRU,ALUM CW PER TRIM BLK PWDC 12'-6"lg</v>
          </cell>
          <cell r="C4652" t="str">
            <v>FT</v>
          </cell>
          <cell r="D4652" t="str">
            <v>MA100</v>
          </cell>
          <cell r="E4652">
            <v>2.1751999999999998</v>
          </cell>
          <cell r="G4652">
            <v>405200</v>
          </cell>
        </row>
        <row r="4653">
          <cell r="A4653" t="str">
            <v>405200-OP</v>
          </cell>
          <cell r="B4653" t="str">
            <v>PROCESS,PWDR COAT,DUPONT EFB-504-SO*</v>
          </cell>
          <cell r="C4653" t="str">
            <v>EA</v>
          </cell>
          <cell r="D4653" t="str">
            <v>MA100</v>
          </cell>
          <cell r="E4653">
            <v>7.27</v>
          </cell>
          <cell r="G4653" t="str">
            <v>405200-OP</v>
          </cell>
        </row>
        <row r="4654">
          <cell r="A4654">
            <v>405203</v>
          </cell>
          <cell r="B4654" t="str">
            <v>EXTRU,ALUM CW CTR SUP 12.5' ARCS*</v>
          </cell>
          <cell r="C4654" t="str">
            <v>EA</v>
          </cell>
          <cell r="D4654" t="str">
            <v>MA100</v>
          </cell>
          <cell r="E4654">
            <v>53.267000000000003</v>
          </cell>
          <cell r="G4654">
            <v>405203</v>
          </cell>
        </row>
        <row r="4655">
          <cell r="A4655">
            <v>405205</v>
          </cell>
          <cell r="B4655" t="str">
            <v>EXTRU,ALUM CW PER SUP 12.5' ARCS/SO</v>
          </cell>
          <cell r="C4655" t="str">
            <v>EA</v>
          </cell>
          <cell r="D4655" t="str">
            <v>MA100</v>
          </cell>
          <cell r="E4655">
            <v>68.892380000000003</v>
          </cell>
          <cell r="G4655">
            <v>405205</v>
          </cell>
        </row>
        <row r="4656">
          <cell r="A4656">
            <v>405216</v>
          </cell>
          <cell r="B4656" t="str">
            <v>EXTRU,ALUM WDW,MRI2 TRIM 10.5FT W/#*</v>
          </cell>
          <cell r="C4656" t="str">
            <v>FT</v>
          </cell>
          <cell r="D4656" t="str">
            <v>RM100</v>
          </cell>
          <cell r="E4656">
            <v>0.83299999999999996</v>
          </cell>
          <cell r="G4656">
            <v>405216</v>
          </cell>
        </row>
        <row r="4657">
          <cell r="A4657">
            <v>405238</v>
          </cell>
          <cell r="B4657" t="str">
            <v>EXTRU,ALUM HAT CLMP 6063-T6,DIE #LN-22</v>
          </cell>
          <cell r="C4657" t="str">
            <v>FT</v>
          </cell>
          <cell r="D4657" t="str">
            <v>RM100</v>
          </cell>
          <cell r="E4657">
            <v>1.0371999999999999</v>
          </cell>
          <cell r="G4657">
            <v>405238</v>
          </cell>
        </row>
        <row r="4658">
          <cell r="A4658">
            <v>405290</v>
          </cell>
          <cell r="B4658" t="str">
            <v>ALUM,"T",1.5"X1.5"X.188X96"</v>
          </cell>
          <cell r="C4658" t="str">
            <v>EA</v>
          </cell>
          <cell r="D4658" t="str">
            <v>RM100</v>
          </cell>
          <cell r="E4658">
            <v>37.229999999999997</v>
          </cell>
          <cell r="G4658">
            <v>405290</v>
          </cell>
        </row>
        <row r="4659">
          <cell r="A4659">
            <v>405295</v>
          </cell>
          <cell r="B4659" t="str">
            <v>EPOXY ADH,TUBE,8.5 OZ.</v>
          </cell>
          <cell r="C4659" t="str">
            <v>EA</v>
          </cell>
          <cell r="D4659" t="str">
            <v>RM100</v>
          </cell>
          <cell r="E4659">
            <v>48.89</v>
          </cell>
          <cell r="G4659">
            <v>405295</v>
          </cell>
        </row>
        <row r="4660">
          <cell r="A4660">
            <v>410568</v>
          </cell>
          <cell r="B4660" t="str">
            <v>PWR SUPPLY 24V 30W WALL MOUNT</v>
          </cell>
          <cell r="C4660" t="str">
            <v>EA</v>
          </cell>
          <cell r="D4660" t="str">
            <v>MA100</v>
          </cell>
          <cell r="E4660">
            <v>18.75</v>
          </cell>
          <cell r="G4660">
            <v>410568</v>
          </cell>
        </row>
        <row r="4661">
          <cell r="A4661">
            <v>450096</v>
          </cell>
          <cell r="B4661" t="str">
            <v>CORUGAT,48"X96"  TRIM SHEET NT***</v>
          </cell>
          <cell r="C4661" t="str">
            <v>EA</v>
          </cell>
          <cell r="D4661" t="str">
            <v>RM100</v>
          </cell>
          <cell r="E4661">
            <v>2.10765</v>
          </cell>
          <cell r="G4661">
            <v>450096</v>
          </cell>
        </row>
        <row r="4662">
          <cell r="A4662" t="str">
            <v>450100E</v>
          </cell>
          <cell r="B4662" t="str">
            <v>CTN,16"X10"X10"SGL WALL200#C-FLUTE KRAFT</v>
          </cell>
          <cell r="C4662" t="str">
            <v>EA</v>
          </cell>
          <cell r="D4662" t="str">
            <v>RM100</v>
          </cell>
          <cell r="E4662">
            <v>0.53549999999999998</v>
          </cell>
          <cell r="G4662" t="str">
            <v>450100E</v>
          </cell>
        </row>
        <row r="4663">
          <cell r="A4663">
            <v>450117</v>
          </cell>
          <cell r="B4663" t="str">
            <v>CTN,24X6X6 48ECT SGL/W RSC</v>
          </cell>
          <cell r="C4663" t="str">
            <v>EA</v>
          </cell>
          <cell r="D4663" t="str">
            <v>RM100</v>
          </cell>
          <cell r="E4663">
            <v>0.54</v>
          </cell>
          <cell r="G4663">
            <v>450117</v>
          </cell>
        </row>
        <row r="4664">
          <cell r="A4664">
            <v>450118</v>
          </cell>
          <cell r="B4664" t="str">
            <v>CTN,GAYLORD,48X40X36"D (T&amp;M-MRI-DEI-CEL*</v>
          </cell>
          <cell r="C4664" t="str">
            <v>EA</v>
          </cell>
          <cell r="D4664" t="str">
            <v>RM100</v>
          </cell>
          <cell r="E4664">
            <v>18</v>
          </cell>
          <cell r="G4664">
            <v>450118</v>
          </cell>
        </row>
        <row r="4665">
          <cell r="A4665">
            <v>450120</v>
          </cell>
          <cell r="B4665" t="str">
            <v>BOX,24x24x12 CDBD,DBL WALL MATRL RETURN</v>
          </cell>
          <cell r="C4665" t="str">
            <v>EA</v>
          </cell>
          <cell r="D4665" t="str">
            <v>RM100</v>
          </cell>
          <cell r="E4665">
            <v>4.55</v>
          </cell>
          <cell r="G4665">
            <v>450120</v>
          </cell>
        </row>
        <row r="4666">
          <cell r="A4666">
            <v>450126</v>
          </cell>
          <cell r="B4666" t="str">
            <v>WRAP,PLASTIC BUBBLE 3/16"T</v>
          </cell>
          <cell r="C4666" t="str">
            <v>EA</v>
          </cell>
          <cell r="D4666" t="str">
            <v>RM100</v>
          </cell>
          <cell r="E4666">
            <v>137.12</v>
          </cell>
          <cell r="G4666">
            <v>450126</v>
          </cell>
        </row>
        <row r="4667">
          <cell r="A4667">
            <v>450127</v>
          </cell>
          <cell r="B4667" t="str">
            <v>TAPE,W/DISPENSER,2"X22YD 3M#142</v>
          </cell>
          <cell r="C4667" t="str">
            <v>EA</v>
          </cell>
          <cell r="D4667" t="str">
            <v>RM100</v>
          </cell>
          <cell r="E4667">
            <v>3.1</v>
          </cell>
          <cell r="G4667">
            <v>450127</v>
          </cell>
        </row>
        <row r="4668">
          <cell r="A4668">
            <v>450175</v>
          </cell>
          <cell r="B4668" t="str">
            <v>NAIL,CRATING 3-1/4 x .131 ROUNDRIVE</v>
          </cell>
          <cell r="C4668" t="str">
            <v>EA</v>
          </cell>
          <cell r="D4668" t="str">
            <v>RM100</v>
          </cell>
          <cell r="E4668">
            <v>32.08</v>
          </cell>
          <cell r="G4668">
            <v>450175</v>
          </cell>
        </row>
        <row r="4669">
          <cell r="A4669">
            <v>450176</v>
          </cell>
          <cell r="B4669" t="str">
            <v>STAPLE,CRATING GS-16 (1-1/4) STRIP</v>
          </cell>
          <cell r="C4669" t="str">
            <v>EA</v>
          </cell>
          <cell r="D4669" t="str">
            <v>RM100</v>
          </cell>
          <cell r="E4669">
            <v>53.594999999999999</v>
          </cell>
          <cell r="G4669">
            <v>450176</v>
          </cell>
        </row>
        <row r="4670">
          <cell r="A4670">
            <v>450202</v>
          </cell>
          <cell r="B4670" t="str">
            <v>POLYBAG,4MILX3X4" ZIPLOC 1000/BX</v>
          </cell>
          <cell r="C4670" t="str">
            <v>EA</v>
          </cell>
          <cell r="D4670" t="str">
            <v>RM100</v>
          </cell>
          <cell r="E4670">
            <v>3.4000000000000002E-2</v>
          </cell>
          <cell r="G4670">
            <v>450202</v>
          </cell>
        </row>
        <row r="4671">
          <cell r="A4671">
            <v>450203</v>
          </cell>
          <cell r="B4671" t="str">
            <v>POLYBAG,4MILX5X8" ZIPLOC 1000/BX</v>
          </cell>
          <cell r="C4671" t="str">
            <v>EA</v>
          </cell>
          <cell r="D4671" t="str">
            <v>RM100</v>
          </cell>
          <cell r="E4671">
            <v>5.1999999999999998E-2</v>
          </cell>
          <cell r="G4671">
            <v>450203</v>
          </cell>
        </row>
        <row r="4672">
          <cell r="A4672">
            <v>450204</v>
          </cell>
          <cell r="B4672" t="str">
            <v>POLYBAG,4MILX8X10" ZIPLOC 1000/BX</v>
          </cell>
          <cell r="C4672" t="str">
            <v>EA</v>
          </cell>
          <cell r="D4672" t="str">
            <v>RM100</v>
          </cell>
          <cell r="E4672">
            <v>6.0999999999999999E-2</v>
          </cell>
          <cell r="G4672">
            <v>450204</v>
          </cell>
        </row>
        <row r="4673">
          <cell r="A4673">
            <v>450308</v>
          </cell>
          <cell r="B4673" t="str">
            <v>TUBE,CARDBOARD,3"X60"X.1875*</v>
          </cell>
          <cell r="C4673" t="str">
            <v>EA</v>
          </cell>
          <cell r="D4673" t="str">
            <v>RM100</v>
          </cell>
          <cell r="E4673">
            <v>3.25</v>
          </cell>
          <cell r="G4673">
            <v>450308</v>
          </cell>
        </row>
        <row r="4674">
          <cell r="A4674">
            <v>454021</v>
          </cell>
          <cell r="B4674" t="str">
            <v>FILM,POLYETHLN 20'x100'x4MIL</v>
          </cell>
          <cell r="C4674" t="str">
            <v>RL</v>
          </cell>
          <cell r="D4674" t="str">
            <v>RM100</v>
          </cell>
          <cell r="E4674">
            <v>44.58</v>
          </cell>
          <cell r="G4674">
            <v>454021</v>
          </cell>
        </row>
        <row r="4675">
          <cell r="A4675">
            <v>454030</v>
          </cell>
          <cell r="B4675" t="str">
            <v>CTN,8" X 8" X 8" 200LB PSI SGL WALL</v>
          </cell>
          <cell r="C4675" t="str">
            <v>EA</v>
          </cell>
          <cell r="D4675" t="str">
            <v>RM100</v>
          </cell>
          <cell r="E4675">
            <v>0.3105</v>
          </cell>
          <cell r="G4675">
            <v>454030</v>
          </cell>
        </row>
        <row r="4676">
          <cell r="A4676">
            <v>454040</v>
          </cell>
          <cell r="B4676" t="str">
            <v>CNTR,THERMAL SAFE 1 GAL. W/3 FREEZ*</v>
          </cell>
          <cell r="C4676" t="str">
            <v>EA</v>
          </cell>
          <cell r="D4676" t="str">
            <v>RM100</v>
          </cell>
          <cell r="E4676">
            <v>6.83</v>
          </cell>
          <cell r="G4676">
            <v>454040</v>
          </cell>
        </row>
        <row r="4677">
          <cell r="A4677">
            <v>454050</v>
          </cell>
          <cell r="B4677" t="str">
            <v>FILM,PEEL-OFF PROTECTIVE,48"W,4MIL TH*</v>
          </cell>
          <cell r="C4677" t="str">
            <v>FT</v>
          </cell>
          <cell r="D4677" t="str">
            <v>RM100</v>
          </cell>
          <cell r="E4677">
            <v>0.28754000000000002</v>
          </cell>
          <cell r="G4677">
            <v>454050</v>
          </cell>
        </row>
        <row r="4678">
          <cell r="A4678">
            <v>454051</v>
          </cell>
          <cell r="B4678" t="str">
            <v>FILM,PEEL-OFF PROTECTIVE,48"X200' BLUE</v>
          </cell>
          <cell r="C4678" t="str">
            <v>EA</v>
          </cell>
          <cell r="D4678" t="str">
            <v>RM100</v>
          </cell>
          <cell r="E4678">
            <v>66</v>
          </cell>
          <cell r="G4678">
            <v>454051</v>
          </cell>
        </row>
        <row r="4679">
          <cell r="A4679">
            <v>460338</v>
          </cell>
          <cell r="B4679" t="str">
            <v>PCB, BREAKOUT BRD, RJ45 8P8C,SPRING TERM</v>
          </cell>
          <cell r="C4679" t="str">
            <v>EA</v>
          </cell>
          <cell r="D4679" t="str">
            <v>RM100</v>
          </cell>
          <cell r="E4679">
            <v>0</v>
          </cell>
          <cell r="G4679">
            <v>460338</v>
          </cell>
        </row>
        <row r="4680">
          <cell r="A4680">
            <v>500101</v>
          </cell>
          <cell r="B4680" t="str">
            <v>BR,(.0253)22GAX24"X100" 1/2H 260 ALLOY*</v>
          </cell>
          <cell r="C4680" t="str">
            <v>SH</v>
          </cell>
          <cell r="D4680" t="str">
            <v>RM100</v>
          </cell>
          <cell r="E4680">
            <v>83.06</v>
          </cell>
          <cell r="G4680">
            <v>500101</v>
          </cell>
        </row>
        <row r="4681">
          <cell r="A4681">
            <v>500205</v>
          </cell>
          <cell r="B4681" t="str">
            <v>CU,3.5OZ,43.25",W/PAPER,3MIL ADH</v>
          </cell>
          <cell r="C4681" t="str">
            <v>FT</v>
          </cell>
          <cell r="D4681" t="str">
            <v>MA100</v>
          </cell>
          <cell r="E4681">
            <v>3.9130500000000001</v>
          </cell>
          <cell r="G4681">
            <v>500205</v>
          </cell>
        </row>
        <row r="4682">
          <cell r="A4682">
            <v>500209</v>
          </cell>
          <cell r="B4682" t="str">
            <v>CU,3OZ,54"W,W/PAPER,3MIL ADH,110 ALLOY*</v>
          </cell>
          <cell r="C4682" t="str">
            <v>FT</v>
          </cell>
          <cell r="D4682" t="str">
            <v>MA100</v>
          </cell>
          <cell r="E4682">
            <v>5.2927799999999996</v>
          </cell>
          <cell r="G4682">
            <v>500209</v>
          </cell>
        </row>
        <row r="4683">
          <cell r="A4683" t="str">
            <v>500209-OP</v>
          </cell>
          <cell r="B4683" t="str">
            <v>Laminate Paper to 3 oz. Copper</v>
          </cell>
          <cell r="C4683" t="str">
            <v>FT</v>
          </cell>
          <cell r="D4683" t="str">
            <v>MA100</v>
          </cell>
          <cell r="E4683">
            <v>0.54210999999999998</v>
          </cell>
          <cell r="G4683" t="str">
            <v>500209-OP</v>
          </cell>
        </row>
        <row r="4684">
          <cell r="A4684">
            <v>500210</v>
          </cell>
          <cell r="B4684" t="str">
            <v>CU,12OZ,.0162x36x120,1/2 HD,110ALLOY*</v>
          </cell>
          <cell r="C4684" t="str">
            <v>SH</v>
          </cell>
          <cell r="D4684" t="str">
            <v>RM100</v>
          </cell>
          <cell r="E4684">
            <v>105.06364000000001</v>
          </cell>
          <cell r="G4684">
            <v>500210</v>
          </cell>
        </row>
        <row r="4685">
          <cell r="A4685">
            <v>500215</v>
          </cell>
          <cell r="B4685" t="str">
            <v>COPPER,24OZ,.032X36X96,1/2HD,110 ALLOY</v>
          </cell>
          <cell r="C4685" t="str">
            <v>SH</v>
          </cell>
          <cell r="D4685" t="str">
            <v>RM100</v>
          </cell>
          <cell r="E4685">
            <v>189.923</v>
          </cell>
          <cell r="G4685">
            <v>500215</v>
          </cell>
        </row>
        <row r="4686">
          <cell r="A4686">
            <v>500216</v>
          </cell>
          <cell r="B4686" t="str">
            <v>CU,24OZ,.0323X48X96,1/2HD,110 ALLOY*</v>
          </cell>
          <cell r="C4686" t="str">
            <v>SH</v>
          </cell>
          <cell r="D4686" t="str">
            <v>RM100</v>
          </cell>
          <cell r="E4686">
            <v>521.63</v>
          </cell>
          <cell r="G4686">
            <v>500216</v>
          </cell>
        </row>
        <row r="4687">
          <cell r="A4687">
            <v>500217</v>
          </cell>
          <cell r="B4687" t="str">
            <v>CU,24OZ,.0323X48X120,1/2HD,110 ALLOY*</v>
          </cell>
          <cell r="C4687" t="str">
            <v>SH</v>
          </cell>
          <cell r="D4687" t="str">
            <v>RM100</v>
          </cell>
          <cell r="E4687">
            <v>295.10250000000002</v>
          </cell>
          <cell r="G4687">
            <v>500217</v>
          </cell>
        </row>
        <row r="4688">
          <cell r="A4688">
            <v>500224</v>
          </cell>
          <cell r="B4688" t="str">
            <v>CU,3OZ,50.4"W,ELEC-D</v>
          </cell>
          <cell r="C4688" t="str">
            <v>FT</v>
          </cell>
          <cell r="D4688" t="str">
            <v>RM100</v>
          </cell>
          <cell r="E4688">
            <v>3.7942619999999998</v>
          </cell>
          <cell r="G4688">
            <v>500224</v>
          </cell>
        </row>
        <row r="4689">
          <cell r="A4689">
            <v>500226</v>
          </cell>
          <cell r="B4689" t="str">
            <v>CU,12OZ 3/4 x 3 x 120 INPLACE</v>
          </cell>
          <cell r="C4689" t="str">
            <v>EA</v>
          </cell>
          <cell r="D4689" t="str">
            <v>MA100</v>
          </cell>
          <cell r="E4689">
            <v>26.074560000000002</v>
          </cell>
          <cell r="G4689">
            <v>500226</v>
          </cell>
        </row>
        <row r="4690">
          <cell r="A4690">
            <v>500227</v>
          </cell>
          <cell r="B4690" t="str">
            <v>CU,12OZ 3-1/2 x 120</v>
          </cell>
          <cell r="C4690" t="str">
            <v>EA</v>
          </cell>
          <cell r="D4690" t="str">
            <v>MA100</v>
          </cell>
          <cell r="E4690">
            <v>10.62166</v>
          </cell>
          <cell r="G4690">
            <v>500227</v>
          </cell>
        </row>
        <row r="4691">
          <cell r="A4691">
            <v>500302</v>
          </cell>
          <cell r="B4691" t="str">
            <v>MESH,CU SCR 44.75"X100'-150' 22X22X.015</v>
          </cell>
          <cell r="C4691" t="str">
            <v>FT</v>
          </cell>
          <cell r="D4691" t="str">
            <v>RM100</v>
          </cell>
          <cell r="E4691">
            <v>11.56</v>
          </cell>
          <cell r="G4691">
            <v>500302</v>
          </cell>
        </row>
        <row r="4692">
          <cell r="A4692">
            <v>500307</v>
          </cell>
          <cell r="B4692" t="str">
            <v>MESH,CU SCR 52.75"X100'-150' 22X22X.015</v>
          </cell>
          <cell r="C4692" t="str">
            <v>FT</v>
          </cell>
          <cell r="D4692" t="str">
            <v>RM100</v>
          </cell>
          <cell r="E4692">
            <v>13.2</v>
          </cell>
          <cell r="G4692">
            <v>500307</v>
          </cell>
        </row>
        <row r="4693">
          <cell r="A4693">
            <v>500404</v>
          </cell>
          <cell r="B4693" t="str">
            <v>STL,SIL 24GA .025X36"X96" M19DRY UNCOAT*</v>
          </cell>
          <cell r="C4693" t="str">
            <v>SH</v>
          </cell>
          <cell r="D4693" t="str">
            <v>RM100</v>
          </cell>
          <cell r="E4693">
            <v>47.169199999999996</v>
          </cell>
          <cell r="G4693">
            <v>500404</v>
          </cell>
        </row>
        <row r="4694">
          <cell r="A4694">
            <v>500406</v>
          </cell>
          <cell r="B4694" t="str">
            <v>STL,SIL 24G.025X48X96  M19   DRY UNCTD</v>
          </cell>
          <cell r="C4694" t="str">
            <v>SH</v>
          </cell>
          <cell r="D4694" t="str">
            <v>RM100</v>
          </cell>
          <cell r="E4694">
            <v>107.6</v>
          </cell>
          <cell r="G4694">
            <v>500406</v>
          </cell>
        </row>
        <row r="4695">
          <cell r="A4695">
            <v>500413</v>
          </cell>
          <cell r="B4695" t="str">
            <v>STL,SIL .014X39.375X78.75"M6,C5 COATING*</v>
          </cell>
          <cell r="C4695" t="str">
            <v>SH</v>
          </cell>
          <cell r="D4695" t="str">
            <v>RM100</v>
          </cell>
          <cell r="E4695">
            <v>16.758900000000001</v>
          </cell>
          <cell r="G4695">
            <v>500413</v>
          </cell>
        </row>
        <row r="4696">
          <cell r="A4696">
            <v>500601</v>
          </cell>
          <cell r="B4696" t="str">
            <v>TAPE,CU 1"X18 YDS</v>
          </cell>
          <cell r="C4696" t="str">
            <v>EA</v>
          </cell>
          <cell r="D4696" t="str">
            <v>MA100</v>
          </cell>
          <cell r="E4696">
            <v>24.05</v>
          </cell>
          <cell r="G4696">
            <v>500601</v>
          </cell>
        </row>
        <row r="4697">
          <cell r="A4697">
            <v>500602</v>
          </cell>
          <cell r="B4697" t="str">
            <v>TAPE,CU COND 1-1/2x18YDS (3M 3313 OR EQ)</v>
          </cell>
          <cell r="C4697" t="str">
            <v>RL</v>
          </cell>
          <cell r="D4697" t="str">
            <v>RM100</v>
          </cell>
          <cell r="E4697">
            <v>30.75</v>
          </cell>
          <cell r="G4697">
            <v>500602</v>
          </cell>
        </row>
        <row r="4698">
          <cell r="A4698">
            <v>500610</v>
          </cell>
          <cell r="B4698" t="str">
            <v>TAPE,CU TIN 2X18 YDS (3M 1183 OR EQ)</v>
          </cell>
          <cell r="C4698" t="str">
            <v>RL</v>
          </cell>
          <cell r="D4698" t="str">
            <v>RM100</v>
          </cell>
          <cell r="E4698">
            <v>89.28</v>
          </cell>
          <cell r="G4698">
            <v>500610</v>
          </cell>
        </row>
        <row r="4699">
          <cell r="A4699">
            <v>500664</v>
          </cell>
          <cell r="B4699" t="str">
            <v>PVC,1/16x5/8x53 DR THRESHOLD PROTECTOR</v>
          </cell>
          <cell r="C4699" t="str">
            <v>EA</v>
          </cell>
          <cell r="D4699" t="str">
            <v>MA100</v>
          </cell>
          <cell r="E4699">
            <v>1.89</v>
          </cell>
          <cell r="G4699">
            <v>500664</v>
          </cell>
        </row>
        <row r="4700">
          <cell r="A4700">
            <v>500674</v>
          </cell>
          <cell r="B4700" t="str">
            <v>PAPER,45 GRAM  54"WD X LF W/AACCO*</v>
          </cell>
          <cell r="C4700" t="str">
            <v>FT</v>
          </cell>
          <cell r="D4700" t="str">
            <v>RM100</v>
          </cell>
          <cell r="E4700">
            <v>0.33596999999999999</v>
          </cell>
          <cell r="G4700">
            <v>500674</v>
          </cell>
        </row>
        <row r="4701">
          <cell r="A4701">
            <v>500713</v>
          </cell>
          <cell r="B4701" t="str">
            <v>GSKT,C-FOLD SCHLEGEL #E98-18-T08400</v>
          </cell>
          <cell r="C4701" t="str">
            <v>FT</v>
          </cell>
          <cell r="D4701" t="str">
            <v>RM100</v>
          </cell>
          <cell r="E4701">
            <v>2.6685699999999999</v>
          </cell>
          <cell r="G4701">
            <v>500713</v>
          </cell>
        </row>
        <row r="4702">
          <cell r="A4702">
            <v>504003</v>
          </cell>
          <cell r="B4702" t="str">
            <v>STL,SIL M36 24GA.025x48x96 DRY-UNCOATED*</v>
          </cell>
          <cell r="C4702" t="str">
            <v>SH</v>
          </cell>
          <cell r="D4702" t="str">
            <v>RM100</v>
          </cell>
          <cell r="E4702">
            <v>26.975999999999999</v>
          </cell>
          <cell r="G4702">
            <v>504003</v>
          </cell>
        </row>
        <row r="4703">
          <cell r="A4703">
            <v>504004</v>
          </cell>
          <cell r="B4703" t="str">
            <v>STL,SIL M36 24GA.025x48x120 DRY-UNCOAT*</v>
          </cell>
          <cell r="C4703" t="str">
            <v>SH</v>
          </cell>
          <cell r="D4703" t="str">
            <v>RM100</v>
          </cell>
          <cell r="E4703">
            <v>33.72</v>
          </cell>
          <cell r="G4703">
            <v>504004</v>
          </cell>
        </row>
        <row r="4704">
          <cell r="A4704">
            <v>504005</v>
          </cell>
          <cell r="B4704" t="str">
            <v>STL,SIL M36 24GA.025x48x60 DRY-UNCOAT*</v>
          </cell>
          <cell r="C4704" t="str">
            <v>SH</v>
          </cell>
          <cell r="D4704" t="str">
            <v>RM100</v>
          </cell>
          <cell r="E4704">
            <v>16.86</v>
          </cell>
          <cell r="G4704">
            <v>504005</v>
          </cell>
        </row>
        <row r="4705">
          <cell r="A4705">
            <v>504011</v>
          </cell>
          <cell r="B4705" t="str">
            <v>GSKT,#2040-2000-0067 DBL BRAID 1/4" OD*</v>
          </cell>
          <cell r="C4705" t="str">
            <v>FT</v>
          </cell>
          <cell r="D4705" t="str">
            <v>RM100</v>
          </cell>
          <cell r="E4705">
            <v>3.03</v>
          </cell>
          <cell r="G4705">
            <v>504011</v>
          </cell>
        </row>
        <row r="4706">
          <cell r="A4706">
            <v>504012</v>
          </cell>
          <cell r="B4706" t="str">
            <v>STL,SIL M36 24GA.025x48x48 PUNCHED*</v>
          </cell>
          <cell r="C4706" t="str">
            <v>SH</v>
          </cell>
          <cell r="D4706" t="str">
            <v>MA100</v>
          </cell>
          <cell r="E4706">
            <v>16.946999999999999</v>
          </cell>
          <cell r="G4706">
            <v>504012</v>
          </cell>
        </row>
        <row r="4707">
          <cell r="A4707">
            <v>504013</v>
          </cell>
          <cell r="B4707" t="str">
            <v>STL,SIL M36 24GA.025x48x96 PUNCHED*</v>
          </cell>
          <cell r="C4707" t="str">
            <v>SH</v>
          </cell>
          <cell r="D4707" t="str">
            <v>MA100</v>
          </cell>
          <cell r="E4707">
            <v>30.434999999999999</v>
          </cell>
          <cell r="G4707">
            <v>504013</v>
          </cell>
        </row>
        <row r="4708">
          <cell r="A4708" t="str">
            <v>504013-OP</v>
          </cell>
          <cell r="B4708" t="str">
            <v>STL,SIL M36 24GA.025x48x96 PUNCHED*</v>
          </cell>
          <cell r="C4708" t="str">
            <v>EA</v>
          </cell>
          <cell r="D4708" t="str">
            <v>RM100</v>
          </cell>
          <cell r="E4708">
            <v>0</v>
          </cell>
          <cell r="G4708" t="str">
            <v>504013-OP</v>
          </cell>
        </row>
        <row r="4709">
          <cell r="A4709">
            <v>504014</v>
          </cell>
          <cell r="B4709" t="str">
            <v>STL,SIL M36 24GA.025x48x120 PUNCHED*</v>
          </cell>
          <cell r="C4709" t="str">
            <v>SH</v>
          </cell>
          <cell r="D4709" t="str">
            <v>MA100</v>
          </cell>
          <cell r="E4709">
            <v>37.179000000000002</v>
          </cell>
          <cell r="G4709">
            <v>504014</v>
          </cell>
        </row>
        <row r="4710">
          <cell r="A4710" t="str">
            <v>504016-A</v>
          </cell>
          <cell r="B4710" t="str">
            <v>STL,SIL M36 24GA,.025X24X24 PUNCHED</v>
          </cell>
          <cell r="C4710" t="str">
            <v>SH</v>
          </cell>
          <cell r="D4710" t="str">
            <v>MA100</v>
          </cell>
          <cell r="E4710">
            <v>6.2545000000000002</v>
          </cell>
          <cell r="G4710" t="str">
            <v>504016-A</v>
          </cell>
        </row>
        <row r="4711">
          <cell r="A4711" t="str">
            <v>504016-B</v>
          </cell>
          <cell r="B4711" t="str">
            <v>STL,SIL M36 24GA,.025X24X24 OFFSET PUNCH</v>
          </cell>
          <cell r="C4711" t="str">
            <v>SH</v>
          </cell>
          <cell r="D4711" t="str">
            <v>MA100</v>
          </cell>
          <cell r="E4711">
            <v>6.2545000000000002</v>
          </cell>
          <cell r="G4711" t="str">
            <v>504016-B</v>
          </cell>
        </row>
        <row r="4712">
          <cell r="A4712">
            <v>504026</v>
          </cell>
          <cell r="B4712" t="str">
            <v>STL,SIL M36 24GA.025x48x48 DRY-UNCOATED*</v>
          </cell>
          <cell r="C4712" t="str">
            <v>SH</v>
          </cell>
          <cell r="D4712" t="str">
            <v>RM100</v>
          </cell>
          <cell r="E4712">
            <v>13.488</v>
          </cell>
          <cell r="G4712">
            <v>504026</v>
          </cell>
        </row>
        <row r="4713">
          <cell r="A4713">
            <v>504030</v>
          </cell>
          <cell r="B4713" t="str">
            <v>STL,SIL M36 24GA.025 L X W DRY-UNCOAT*</v>
          </cell>
          <cell r="C4713" t="str">
            <v>LB</v>
          </cell>
          <cell r="D4713" t="str">
            <v>RM100</v>
          </cell>
          <cell r="E4713">
            <v>0.63449999999999995</v>
          </cell>
          <cell r="G4713">
            <v>504030</v>
          </cell>
        </row>
        <row r="4714">
          <cell r="A4714">
            <v>504031</v>
          </cell>
          <cell r="B4714" t="str">
            <v>STL,SIL M36 24GA.025 126 X 48 DRY-UNCOAT</v>
          </cell>
          <cell r="C4714" t="str">
            <v>SH</v>
          </cell>
          <cell r="D4714" t="str">
            <v>RM100</v>
          </cell>
          <cell r="E4714">
            <v>26.506499999999999</v>
          </cell>
          <cell r="G4714">
            <v>504031</v>
          </cell>
        </row>
        <row r="4715">
          <cell r="A4715">
            <v>504032</v>
          </cell>
          <cell r="B4715" t="str">
            <v>STL,SIL M36 24GA.025 132 X 48 DRY-UNCOAT</v>
          </cell>
          <cell r="C4715" t="str">
            <v>SH</v>
          </cell>
          <cell r="D4715" t="str">
            <v>RM100</v>
          </cell>
          <cell r="E4715">
            <v>27.768799999999999</v>
          </cell>
          <cell r="G4715">
            <v>504032</v>
          </cell>
        </row>
        <row r="4716">
          <cell r="A4716">
            <v>504060</v>
          </cell>
          <cell r="B4716" t="str">
            <v>STL,SIL M36 24GA.025x48x144 DRY-UNCOATED</v>
          </cell>
          <cell r="C4716" t="str">
            <v>SH</v>
          </cell>
          <cell r="D4716" t="str">
            <v>RM100</v>
          </cell>
          <cell r="E4716">
            <v>30.456</v>
          </cell>
          <cell r="G4716">
            <v>504060</v>
          </cell>
        </row>
        <row r="4717">
          <cell r="A4717">
            <v>504066</v>
          </cell>
          <cell r="B4717" t="str">
            <v>SPLINE,BLK SCR #SSBL220-B .220" DIA</v>
          </cell>
          <cell r="C4717" t="str">
            <v>FT</v>
          </cell>
          <cell r="D4717" t="str">
            <v>RM100</v>
          </cell>
          <cell r="E4717">
            <v>8.5260000000000002E-2</v>
          </cell>
          <cell r="G4717">
            <v>504066</v>
          </cell>
        </row>
        <row r="4718">
          <cell r="A4718">
            <v>504078</v>
          </cell>
          <cell r="B4718" t="str">
            <v>SPLINE,UNIV GLAZING BLK C.R.L. GS301BLM*</v>
          </cell>
          <cell r="C4718" t="str">
            <v>FT</v>
          </cell>
          <cell r="D4718" t="str">
            <v>RM100</v>
          </cell>
          <cell r="E4718">
            <v>0.11933000000000001</v>
          </cell>
          <cell r="G4718">
            <v>504078</v>
          </cell>
        </row>
        <row r="4719">
          <cell r="A4719">
            <v>504102</v>
          </cell>
          <cell r="B4719" t="str">
            <v>GSKT,.125SQ TCS MESH+.125x.375 SIL-*</v>
          </cell>
          <cell r="C4719" t="str">
            <v>EA</v>
          </cell>
          <cell r="D4719" t="str">
            <v>RM100</v>
          </cell>
          <cell r="E4719">
            <v>2.0699999999999998</v>
          </cell>
          <cell r="G4719">
            <v>504102</v>
          </cell>
        </row>
        <row r="4720">
          <cell r="A4720">
            <v>504110</v>
          </cell>
          <cell r="B4720" t="str">
            <v>RECEPTACLE DIN VERT PCBMT 5P AT 180</v>
          </cell>
          <cell r="C4720" t="str">
            <v>EA</v>
          </cell>
          <cell r="D4720" t="str">
            <v>MA100</v>
          </cell>
          <cell r="E4720">
            <v>3.32</v>
          </cell>
          <cell r="G4720">
            <v>504110</v>
          </cell>
        </row>
        <row r="4721">
          <cell r="A4721">
            <v>504131</v>
          </cell>
          <cell r="B4721" t="str">
            <v>MESH,S/S SCR 60x100'-150' 30 MESH .0065</v>
          </cell>
          <cell r="C4721" t="str">
            <v>FT</v>
          </cell>
          <cell r="D4721" t="str">
            <v>RM100</v>
          </cell>
          <cell r="E4721">
            <v>8.3000000000000007</v>
          </cell>
          <cell r="G4721">
            <v>504131</v>
          </cell>
        </row>
        <row r="4722">
          <cell r="A4722" t="str">
            <v>504131-OP</v>
          </cell>
          <cell r="B4722" t="str">
            <v>COATING, DYKEM APPLICATION 504131</v>
          </cell>
          <cell r="C4722" t="str">
            <v>FT</v>
          </cell>
          <cell r="D4722" t="str">
            <v>MA100</v>
          </cell>
          <cell r="E4722">
            <v>2.9</v>
          </cell>
          <cell r="G4722" t="str">
            <v>504131-OP</v>
          </cell>
        </row>
        <row r="4723">
          <cell r="A4723">
            <v>504134</v>
          </cell>
          <cell r="B4723" t="str">
            <v>MESH,S/S SCR 60x100'-150' 20 MESH .009</v>
          </cell>
          <cell r="C4723" t="str">
            <v>FT</v>
          </cell>
          <cell r="D4723" t="str">
            <v>RM100</v>
          </cell>
          <cell r="E4723">
            <v>7.82</v>
          </cell>
          <cell r="G4723">
            <v>504134</v>
          </cell>
        </row>
        <row r="4724">
          <cell r="A4724" t="str">
            <v>504134-OP</v>
          </cell>
          <cell r="B4724" t="str">
            <v>COATING,DYKEM APPLICATION 504134</v>
          </cell>
          <cell r="C4724" t="str">
            <v>FT</v>
          </cell>
          <cell r="D4724" t="str">
            <v>MA100</v>
          </cell>
          <cell r="E4724">
            <v>2.9</v>
          </cell>
          <cell r="G4724" t="str">
            <v>504134-OP</v>
          </cell>
        </row>
        <row r="4725">
          <cell r="A4725">
            <v>504135</v>
          </cell>
          <cell r="B4725" t="str">
            <v>MESH,S/S SCR 60X100' 30 MESH DYKEMED</v>
          </cell>
          <cell r="C4725" t="str">
            <v>FT</v>
          </cell>
          <cell r="D4725" t="str">
            <v>MA100</v>
          </cell>
          <cell r="E4725">
            <v>11.2</v>
          </cell>
          <cell r="G4725">
            <v>504135</v>
          </cell>
        </row>
        <row r="4726">
          <cell r="A4726">
            <v>504136</v>
          </cell>
          <cell r="B4726" t="str">
            <v>MESH,S/S SCR 60X100' 20 MESH DYKEMED</v>
          </cell>
          <cell r="C4726" t="str">
            <v>FT</v>
          </cell>
          <cell r="D4726" t="str">
            <v>MA100</v>
          </cell>
          <cell r="E4726">
            <v>10.72</v>
          </cell>
          <cell r="G4726">
            <v>504136</v>
          </cell>
        </row>
        <row r="4727">
          <cell r="A4727">
            <v>504145</v>
          </cell>
          <cell r="B4727" t="str">
            <v>STL,GALV 22GA.031x48x96 DRY,G90, W/PVC</v>
          </cell>
          <cell r="C4727" t="str">
            <v>SH</v>
          </cell>
          <cell r="D4727" t="str">
            <v>RM100</v>
          </cell>
          <cell r="E4727">
            <v>45.45</v>
          </cell>
          <cell r="G4727">
            <v>504145</v>
          </cell>
        </row>
        <row r="4728">
          <cell r="A4728">
            <v>504147</v>
          </cell>
          <cell r="B4728" t="str">
            <v>STL,GALV 22GA.031x48x144 DRY B/SPG G90*</v>
          </cell>
          <cell r="C4728" t="str">
            <v>SH</v>
          </cell>
          <cell r="D4728" t="str">
            <v>MA100</v>
          </cell>
          <cell r="E4728">
            <v>47.24</v>
          </cell>
          <cell r="G4728">
            <v>504147</v>
          </cell>
        </row>
        <row r="4729">
          <cell r="A4729">
            <v>504150</v>
          </cell>
          <cell r="B4729" t="str">
            <v>STL,GALV 22GA .031x48x125 DRY B/SPG G90*</v>
          </cell>
          <cell r="C4729" t="str">
            <v>SH</v>
          </cell>
          <cell r="D4729" t="str">
            <v>RM100</v>
          </cell>
          <cell r="E4729">
            <v>41.008000000000003</v>
          </cell>
          <cell r="G4729">
            <v>504150</v>
          </cell>
        </row>
        <row r="4730">
          <cell r="A4730">
            <v>504154</v>
          </cell>
          <cell r="C4730" t="str">
            <v>EA</v>
          </cell>
          <cell r="D4730" t="str">
            <v>MA100</v>
          </cell>
          <cell r="E4730">
            <v>0</v>
          </cell>
          <cell r="G4730">
            <v>504154</v>
          </cell>
        </row>
        <row r="4731">
          <cell r="A4731">
            <v>504155</v>
          </cell>
          <cell r="B4731" t="str">
            <v>STL,GALV 22GA .031x48x100 DRY MIN SPGL *</v>
          </cell>
          <cell r="C4731" t="str">
            <v>SH</v>
          </cell>
          <cell r="D4731" t="str">
            <v>RM100</v>
          </cell>
          <cell r="E4731">
            <v>32.806699999999999</v>
          </cell>
          <cell r="G4731">
            <v>504155</v>
          </cell>
        </row>
        <row r="4732">
          <cell r="A4732">
            <v>504163</v>
          </cell>
          <cell r="B4732" t="str">
            <v>LEAD,48x96 3.75-4.0/SF (1/16" THK)</v>
          </cell>
          <cell r="C4732" t="str">
            <v>SH</v>
          </cell>
          <cell r="D4732" t="str">
            <v>RM100</v>
          </cell>
          <cell r="E4732">
            <v>409.6</v>
          </cell>
          <cell r="G4732">
            <v>504163</v>
          </cell>
        </row>
        <row r="4733">
          <cell r="A4733">
            <v>504164</v>
          </cell>
          <cell r="B4733" t="str">
            <v>LEAD,48x96 8#/SF (1/8" THK)</v>
          </cell>
          <cell r="C4733" t="str">
            <v>SH</v>
          </cell>
          <cell r="D4733" t="str">
            <v>RM100</v>
          </cell>
          <cell r="E4733">
            <v>844.8</v>
          </cell>
          <cell r="G4733">
            <v>504164</v>
          </cell>
        </row>
        <row r="4734">
          <cell r="A4734">
            <v>504165</v>
          </cell>
          <cell r="B4734" t="str">
            <v>LEAD,29x120 4#/SF (1/16" THK)</v>
          </cell>
          <cell r="C4734" t="str">
            <v>SH</v>
          </cell>
          <cell r="D4734" t="str">
            <v>RM100</v>
          </cell>
          <cell r="E4734">
            <v>330</v>
          </cell>
          <cell r="G4734">
            <v>504165</v>
          </cell>
        </row>
        <row r="4735">
          <cell r="A4735">
            <v>504167</v>
          </cell>
          <cell r="B4735" t="str">
            <v>LEAD,29x96 8#/SF (1/8" THK)</v>
          </cell>
          <cell r="C4735" t="str">
            <v>SH</v>
          </cell>
          <cell r="D4735" t="str">
            <v>RM100</v>
          </cell>
          <cell r="E4735">
            <v>447.3</v>
          </cell>
          <cell r="G4735">
            <v>504167</v>
          </cell>
        </row>
        <row r="4736">
          <cell r="A4736">
            <v>504181</v>
          </cell>
          <cell r="B4736" t="str">
            <v>GSKT,DBL BRAID, 5/8"X1/16" RND TCS</v>
          </cell>
          <cell r="C4736" t="str">
            <v>FT</v>
          </cell>
          <cell r="D4736" t="str">
            <v>RM100</v>
          </cell>
          <cell r="E4736">
            <v>3.2309999999999999</v>
          </cell>
          <cell r="G4736">
            <v>504181</v>
          </cell>
        </row>
        <row r="4737">
          <cell r="A4737">
            <v>504182</v>
          </cell>
          <cell r="B4737" t="str">
            <v>GSKT,RF FABRIC OVER FOAM, .42X84" C-FOLD</v>
          </cell>
          <cell r="C4737" t="str">
            <v>EA</v>
          </cell>
          <cell r="D4737" t="str">
            <v>RM100</v>
          </cell>
          <cell r="E4737">
            <v>9.08</v>
          </cell>
          <cell r="G4737">
            <v>504182</v>
          </cell>
        </row>
        <row r="4738">
          <cell r="A4738">
            <v>504184</v>
          </cell>
          <cell r="B4738" t="str">
            <v>GSKT,RF FABRIC OVER FOAM,.40X.08X84"RECT</v>
          </cell>
          <cell r="C4738" t="str">
            <v>EA</v>
          </cell>
          <cell r="D4738" t="str">
            <v>RM100</v>
          </cell>
          <cell r="E4738">
            <v>4.5</v>
          </cell>
          <cell r="G4738">
            <v>504184</v>
          </cell>
        </row>
        <row r="4739">
          <cell r="A4739">
            <v>504200</v>
          </cell>
          <cell r="B4739" t="str">
            <v>STL,GALV 2" X 2" X 96"</v>
          </cell>
          <cell r="C4739" t="str">
            <v>EA</v>
          </cell>
          <cell r="D4739" t="str">
            <v>MA100</v>
          </cell>
          <cell r="E4739">
            <v>3.4489899999999998</v>
          </cell>
          <cell r="G4739">
            <v>504200</v>
          </cell>
        </row>
        <row r="4740">
          <cell r="A4740">
            <v>504287</v>
          </cell>
          <cell r="B4740" t="str">
            <v>WOOL,BRZ GRADE FINE 5#/RL 6RLS/BX</v>
          </cell>
          <cell r="C4740" t="str">
            <v>LB</v>
          </cell>
          <cell r="D4740" t="str">
            <v>RM100</v>
          </cell>
          <cell r="E4740">
            <v>16.55</v>
          </cell>
          <cell r="G4740">
            <v>504287</v>
          </cell>
        </row>
        <row r="4741">
          <cell r="A4741">
            <v>504311</v>
          </cell>
          <cell r="B4741" t="str">
            <v>STL,HR 12GA.1046x48x120 C1008</v>
          </cell>
          <cell r="C4741" t="str">
            <v>SH</v>
          </cell>
          <cell r="D4741" t="str">
            <v>RM100</v>
          </cell>
          <cell r="E4741">
            <v>71.260000000000005</v>
          </cell>
          <cell r="G4741">
            <v>504311</v>
          </cell>
        </row>
        <row r="4742">
          <cell r="A4742">
            <v>504317</v>
          </cell>
          <cell r="B4742" t="str">
            <v>STL,HR 12GA.1046x48x96 C1010 DRY ASTMA*</v>
          </cell>
          <cell r="C4742" t="str">
            <v>SH</v>
          </cell>
          <cell r="D4742" t="str">
            <v>RM100</v>
          </cell>
          <cell r="E4742">
            <v>86.8</v>
          </cell>
          <cell r="G4742">
            <v>504317</v>
          </cell>
        </row>
        <row r="4743">
          <cell r="A4743">
            <v>504332</v>
          </cell>
          <cell r="B4743" t="str">
            <v>STL,HRS 11GA 48x96 C1008</v>
          </cell>
          <cell r="C4743" t="str">
            <v>SH</v>
          </cell>
          <cell r="D4743" t="str">
            <v>RM100</v>
          </cell>
          <cell r="E4743">
            <v>65.52</v>
          </cell>
          <cell r="G4743">
            <v>504332</v>
          </cell>
        </row>
        <row r="4744">
          <cell r="A4744">
            <v>504333</v>
          </cell>
          <cell r="B4744" t="str">
            <v>STL,CRS 13 GA 48x120 C1008</v>
          </cell>
          <cell r="C4744" t="str">
            <v>SH</v>
          </cell>
          <cell r="D4744" t="str">
            <v>RM100</v>
          </cell>
          <cell r="E4744">
            <v>85.5</v>
          </cell>
          <cell r="G4744">
            <v>504333</v>
          </cell>
        </row>
        <row r="4745">
          <cell r="A4745">
            <v>504334</v>
          </cell>
          <cell r="B4745" t="str">
            <v>STL,HRS 16GA 48x96 C1008</v>
          </cell>
          <cell r="C4745" t="str">
            <v>SH</v>
          </cell>
          <cell r="D4745" t="str">
            <v>RM100</v>
          </cell>
          <cell r="E4745">
            <v>35.328000000000003</v>
          </cell>
          <cell r="G4745">
            <v>504334</v>
          </cell>
        </row>
        <row r="4746">
          <cell r="A4746">
            <v>504336</v>
          </cell>
          <cell r="B4746" t="str">
            <v>STL, HRS 21GA 48x96 C1008</v>
          </cell>
          <cell r="C4746" t="str">
            <v>SH</v>
          </cell>
          <cell r="D4746" t="str">
            <v>RM100</v>
          </cell>
          <cell r="E4746">
            <v>22.8</v>
          </cell>
          <cell r="G4746">
            <v>504336</v>
          </cell>
        </row>
        <row r="4747">
          <cell r="A4747">
            <v>504426</v>
          </cell>
          <cell r="B4747" t="str">
            <v>GSKT,3/8" DIA MESH-JCKT-SPNG SF553*</v>
          </cell>
          <cell r="C4747" t="str">
            <v>FT</v>
          </cell>
          <cell r="D4747" t="str">
            <v>RM100</v>
          </cell>
          <cell r="E4747">
            <v>2.13</v>
          </cell>
          <cell r="G4747">
            <v>504426</v>
          </cell>
        </row>
        <row r="4748">
          <cell r="A4748">
            <v>504445</v>
          </cell>
          <cell r="B4748" t="str">
            <v>TUBE,.640IDX5',NA,NA,FGLS,NA, MCM7408K54</v>
          </cell>
          <cell r="C4748" t="str">
            <v>EA</v>
          </cell>
          <cell r="D4748" t="str">
            <v>RM100</v>
          </cell>
          <cell r="E4748">
            <v>7.91</v>
          </cell>
          <cell r="G4748">
            <v>504445</v>
          </cell>
        </row>
        <row r="4749">
          <cell r="A4749">
            <v>504450</v>
          </cell>
          <cell r="B4749" t="str">
            <v>CU,6 OZ,51"W,ELECT-D</v>
          </cell>
          <cell r="C4749" t="str">
            <v>FT</v>
          </cell>
          <cell r="D4749" t="str">
            <v>RM100</v>
          </cell>
          <cell r="E4749">
            <v>11.16263</v>
          </cell>
          <cell r="G4749">
            <v>504450</v>
          </cell>
        </row>
        <row r="4750">
          <cell r="A4750">
            <v>504453</v>
          </cell>
          <cell r="B4750" t="str">
            <v>CU,3OZ,54"W,ELECT-D BACKED</v>
          </cell>
          <cell r="C4750" t="str">
            <v>FT</v>
          </cell>
          <cell r="D4750" t="str">
            <v>RM100</v>
          </cell>
          <cell r="E4750">
            <v>4.63673</v>
          </cell>
          <cell r="G4750">
            <v>504453</v>
          </cell>
        </row>
        <row r="4751">
          <cell r="A4751">
            <v>504454</v>
          </cell>
          <cell r="B4751" t="str">
            <v>CU,3.5OZ,43.25,NO COATING</v>
          </cell>
          <cell r="C4751" t="str">
            <v>FT</v>
          </cell>
          <cell r="D4751" t="str">
            <v>RM100</v>
          </cell>
          <cell r="E4751">
            <v>3.4631400000000001</v>
          </cell>
          <cell r="G4751">
            <v>504454</v>
          </cell>
        </row>
        <row r="4752">
          <cell r="A4752">
            <v>504607</v>
          </cell>
          <cell r="B4752" t="str">
            <v>STL,GALV 12GA.1084X48X120DRY B/SPG LFQ*</v>
          </cell>
          <cell r="C4752" t="str">
            <v>SH</v>
          </cell>
          <cell r="D4752" t="str">
            <v>RM100</v>
          </cell>
          <cell r="E4752">
            <v>132.06</v>
          </cell>
          <cell r="G4752">
            <v>504607</v>
          </cell>
        </row>
        <row r="4753">
          <cell r="A4753">
            <v>504608</v>
          </cell>
          <cell r="B4753" t="str">
            <v>STL,GALV 12GA. 1084X48X96 DRY/SPG LFQ*</v>
          </cell>
          <cell r="C4753" t="str">
            <v>SH</v>
          </cell>
          <cell r="D4753" t="str">
            <v>RM100</v>
          </cell>
          <cell r="E4753">
            <v>61.62</v>
          </cell>
          <cell r="G4753">
            <v>504608</v>
          </cell>
        </row>
        <row r="4754">
          <cell r="A4754">
            <v>504679</v>
          </cell>
          <cell r="B4754" t="str">
            <v>STL,GALV 18GA.48X96 G90*</v>
          </cell>
          <cell r="C4754" t="str">
            <v>SH</v>
          </cell>
          <cell r="D4754" t="str">
            <v>RM100</v>
          </cell>
          <cell r="E4754">
            <v>51.74</v>
          </cell>
          <cell r="G4754">
            <v>504679</v>
          </cell>
        </row>
        <row r="4755">
          <cell r="A4755">
            <v>504697</v>
          </cell>
          <cell r="B4755" t="str">
            <v>STL,S/S 304 26GA 48X120 #2B FINISH v bn*</v>
          </cell>
          <cell r="C4755" t="str">
            <v>SH</v>
          </cell>
          <cell r="D4755" t="str">
            <v>RM100</v>
          </cell>
          <cell r="E4755">
            <v>49.341500000000003</v>
          </cell>
          <cell r="G4755">
            <v>504697</v>
          </cell>
        </row>
        <row r="4756">
          <cell r="A4756">
            <v>504713</v>
          </cell>
          <cell r="B4756" t="str">
            <v>STL,GALV 28GA.X48X120 LFQ G60*</v>
          </cell>
          <cell r="C4756" t="str">
            <v>SH</v>
          </cell>
          <cell r="D4756" t="str">
            <v>RM100</v>
          </cell>
          <cell r="E4756">
            <v>24.1</v>
          </cell>
          <cell r="G4756">
            <v>504713</v>
          </cell>
        </row>
        <row r="4757">
          <cell r="A4757">
            <v>504738</v>
          </cell>
          <cell r="B4757" t="str">
            <v>INSUL,ROXUL 1.5X24X44.75 8#DENSITY SL960</v>
          </cell>
          <cell r="C4757" t="str">
            <v>EA</v>
          </cell>
          <cell r="D4757" t="str">
            <v>RM100</v>
          </cell>
          <cell r="E4757">
            <v>4.1772499999999999</v>
          </cell>
          <cell r="G4757">
            <v>504738</v>
          </cell>
        </row>
        <row r="4758">
          <cell r="A4758">
            <v>504741</v>
          </cell>
          <cell r="B4758" t="str">
            <v>STL,S/S 304 14GA 48X96 4B FINISH</v>
          </cell>
          <cell r="C4758" t="str">
            <v>EA</v>
          </cell>
          <cell r="D4758" t="str">
            <v>RM100</v>
          </cell>
          <cell r="E4758">
            <v>162.494</v>
          </cell>
          <cell r="G4758">
            <v>504741</v>
          </cell>
        </row>
        <row r="4759">
          <cell r="A4759">
            <v>504742</v>
          </cell>
          <cell r="B4759" t="str">
            <v>STL,S/S 304 18GA 60x96 (#4 FIN)</v>
          </cell>
          <cell r="C4759" t="str">
            <v>SH</v>
          </cell>
          <cell r="D4759" t="str">
            <v>RM100</v>
          </cell>
          <cell r="E4759">
            <v>155.16</v>
          </cell>
          <cell r="G4759">
            <v>504742</v>
          </cell>
        </row>
        <row r="4760">
          <cell r="A4760">
            <v>504743</v>
          </cell>
          <cell r="B4760" t="str">
            <v>STL,S/S 304 18GA 60x120 P4 FIN</v>
          </cell>
          <cell r="C4760" t="str">
            <v>SH</v>
          </cell>
          <cell r="D4760" t="str">
            <v>RM100</v>
          </cell>
          <cell r="E4760">
            <v>194.05</v>
          </cell>
          <cell r="G4760">
            <v>504743</v>
          </cell>
        </row>
        <row r="4761">
          <cell r="A4761">
            <v>504750</v>
          </cell>
          <cell r="B4761" t="str">
            <v>STL,S/S 304 16GA 48X96, 2B FINISH*</v>
          </cell>
          <cell r="C4761" t="str">
            <v>SH</v>
          </cell>
          <cell r="D4761" t="str">
            <v>RM100</v>
          </cell>
          <cell r="E4761">
            <v>135.94999999999999</v>
          </cell>
          <cell r="G4761">
            <v>504750</v>
          </cell>
        </row>
        <row r="4762">
          <cell r="A4762">
            <v>504757</v>
          </cell>
          <cell r="B4762" t="str">
            <v>STL,S/S 304 18GA 60 X 96 2B</v>
          </cell>
          <cell r="C4762" t="str">
            <v>EA</v>
          </cell>
          <cell r="D4762" t="str">
            <v>RM100</v>
          </cell>
          <cell r="E4762">
            <v>95.961659999999995</v>
          </cell>
          <cell r="G4762">
            <v>504757</v>
          </cell>
        </row>
        <row r="4763">
          <cell r="A4763">
            <v>504758</v>
          </cell>
          <cell r="B4763" t="str">
            <v>STL,S/S 304 18GA 48 X 56 2B</v>
          </cell>
          <cell r="C4763" t="str">
            <v>EA</v>
          </cell>
          <cell r="D4763" t="str">
            <v>RM100</v>
          </cell>
          <cell r="E4763">
            <v>54.942799999999998</v>
          </cell>
          <cell r="G4763">
            <v>504758</v>
          </cell>
        </row>
        <row r="4764">
          <cell r="A4764">
            <v>504759</v>
          </cell>
          <cell r="B4764" t="str">
            <v>STL,S/S 304 13GA 48X120, 2B FINISH*</v>
          </cell>
          <cell r="C4764" t="str">
            <v>SH</v>
          </cell>
          <cell r="D4764" t="str">
            <v>RM100</v>
          </cell>
          <cell r="E4764">
            <v>334.75</v>
          </cell>
          <cell r="G4764">
            <v>504759</v>
          </cell>
        </row>
        <row r="4765">
          <cell r="A4765">
            <v>504760</v>
          </cell>
          <cell r="B4765" t="str">
            <v>STL,S/S 304 18GA 52.406x84.093  2B FIN*</v>
          </cell>
          <cell r="C4765" t="str">
            <v>EA</v>
          </cell>
          <cell r="D4765" t="str">
            <v>RM100</v>
          </cell>
          <cell r="E4765">
            <v>157</v>
          </cell>
          <cell r="G4765">
            <v>504760</v>
          </cell>
        </row>
        <row r="4766">
          <cell r="A4766">
            <v>504761</v>
          </cell>
          <cell r="B4766" t="str">
            <v>STL,S/S 304 18GA 53.062x86.281 2B*</v>
          </cell>
          <cell r="C4766" t="str">
            <v>EA</v>
          </cell>
          <cell r="D4766" t="str">
            <v>RM100</v>
          </cell>
          <cell r="E4766">
            <v>228</v>
          </cell>
          <cell r="G4766">
            <v>504761</v>
          </cell>
        </row>
        <row r="4767">
          <cell r="A4767">
            <v>504762</v>
          </cell>
          <cell r="B4767" t="str">
            <v>STL,S/S 304 18GA 53.062x96  2B*</v>
          </cell>
          <cell r="C4767" t="str">
            <v>EA</v>
          </cell>
          <cell r="D4767" t="str">
            <v>RM100</v>
          </cell>
          <cell r="E4767">
            <v>139.25</v>
          </cell>
          <cell r="G4767">
            <v>504762</v>
          </cell>
        </row>
        <row r="4768">
          <cell r="A4768">
            <v>504763</v>
          </cell>
          <cell r="B4768" t="str">
            <v>STL,S/S 304 14GA 48"x54"  2B*</v>
          </cell>
          <cell r="C4768" t="str">
            <v>EA</v>
          </cell>
          <cell r="D4768" t="str">
            <v>RM100</v>
          </cell>
          <cell r="E4768">
            <v>65.204999999999998</v>
          </cell>
          <cell r="G4768">
            <v>504763</v>
          </cell>
        </row>
        <row r="4769">
          <cell r="A4769">
            <v>504764</v>
          </cell>
          <cell r="B4769" t="str">
            <v>STL,S/S 304 14GA 48"x83"  2B*</v>
          </cell>
          <cell r="C4769" t="str">
            <v>EA</v>
          </cell>
          <cell r="D4769" t="str">
            <v>RM100</v>
          </cell>
          <cell r="E4769">
            <v>182.55</v>
          </cell>
          <cell r="G4769">
            <v>504764</v>
          </cell>
        </row>
        <row r="4770">
          <cell r="A4770">
            <v>504770</v>
          </cell>
          <cell r="B4770" t="str">
            <v>STL,S/S 304 18GA 48x84 P4 FIN</v>
          </cell>
          <cell r="C4770" t="str">
            <v>SH</v>
          </cell>
          <cell r="D4770" t="str">
            <v>RM100</v>
          </cell>
          <cell r="E4770">
            <v>100.28375</v>
          </cell>
          <cell r="G4770">
            <v>504770</v>
          </cell>
        </row>
        <row r="4771">
          <cell r="A4771">
            <v>504772</v>
          </cell>
          <cell r="B4771" t="str">
            <v>STL,S/S 304 18GA 36x96 P4 FIN</v>
          </cell>
          <cell r="C4771" t="str">
            <v>SH</v>
          </cell>
          <cell r="D4771" t="str">
            <v>RM100</v>
          </cell>
          <cell r="E4771">
            <v>114.61</v>
          </cell>
          <cell r="G4771">
            <v>504772</v>
          </cell>
        </row>
        <row r="4772">
          <cell r="A4772">
            <v>504773</v>
          </cell>
          <cell r="B4772" t="str">
            <v>STL,S/S 304 18GA 48x96 P4 FIN</v>
          </cell>
          <cell r="C4772" t="str">
            <v>SH</v>
          </cell>
          <cell r="D4772" t="str">
            <v>RM100</v>
          </cell>
          <cell r="E4772">
            <v>109.02549999999999</v>
          </cell>
          <cell r="G4772">
            <v>504773</v>
          </cell>
        </row>
        <row r="4773">
          <cell r="A4773">
            <v>504782</v>
          </cell>
          <cell r="B4773" t="str">
            <v>ABSBR,EHP-LFBCL 2.25"X30"SQ.</v>
          </cell>
          <cell r="C4773" t="str">
            <v>EA</v>
          </cell>
          <cell r="D4773" t="str">
            <v>FG203</v>
          </cell>
          <cell r="E4773">
            <v>15.4</v>
          </cell>
          <cell r="G4773">
            <v>504782</v>
          </cell>
        </row>
        <row r="4774">
          <cell r="A4774">
            <v>512117</v>
          </cell>
          <cell r="B4774" t="str">
            <v>JACK,DC POWER,INLINE MALE,2.1mm,CABLE MT</v>
          </cell>
          <cell r="C4774" t="str">
            <v>EA</v>
          </cell>
          <cell r="D4774" t="str">
            <v>MA100</v>
          </cell>
          <cell r="E4774">
            <v>1.75</v>
          </cell>
          <cell r="G4774">
            <v>512117</v>
          </cell>
        </row>
        <row r="4775">
          <cell r="A4775">
            <v>512157</v>
          </cell>
          <cell r="B4775" t="str">
            <v>CONN,BULKHEAD,N-TYPE(F) TO MCX,36"CABLE</v>
          </cell>
          <cell r="C4775" t="str">
            <v>EA</v>
          </cell>
          <cell r="D4775" t="str">
            <v>RM100</v>
          </cell>
          <cell r="E4775">
            <v>73.569999999999993</v>
          </cell>
          <cell r="G4775">
            <v>512157</v>
          </cell>
        </row>
        <row r="4776">
          <cell r="A4776">
            <v>512158</v>
          </cell>
          <cell r="B4776" t="str">
            <v>CONN,BULKHEAD,HN(M) TO SHV PLUG,36"CABLE</v>
          </cell>
          <cell r="C4776" t="str">
            <v>EA</v>
          </cell>
          <cell r="D4776" t="str">
            <v>RM100</v>
          </cell>
          <cell r="E4776">
            <v>76.83</v>
          </cell>
          <cell r="G4776">
            <v>512158</v>
          </cell>
        </row>
        <row r="4777">
          <cell r="A4777">
            <v>514016</v>
          </cell>
          <cell r="B4777" t="str">
            <v>ADAPTER,BULKHEAD,STRAIGHT,TYPE N</v>
          </cell>
          <cell r="C4777" t="str">
            <v>EA</v>
          </cell>
          <cell r="D4777" t="str">
            <v>MA420</v>
          </cell>
          <cell r="E4777">
            <v>12.68</v>
          </cell>
          <cell r="G4777">
            <v>514016</v>
          </cell>
        </row>
        <row r="4778">
          <cell r="A4778">
            <v>550000</v>
          </cell>
          <cell r="B4778" t="str">
            <v>USB 2.0 Passive Interface Feedthru</v>
          </cell>
          <cell r="C4778" t="str">
            <v>EA</v>
          </cell>
          <cell r="D4778" t="str">
            <v>MA100</v>
          </cell>
          <cell r="E4778">
            <v>98</v>
          </cell>
          <cell r="G4778">
            <v>550000</v>
          </cell>
        </row>
        <row r="4779">
          <cell r="A4779">
            <v>550101</v>
          </cell>
          <cell r="B4779" t="str">
            <v>CAP,BR 1/2" DIA</v>
          </cell>
          <cell r="C4779" t="str">
            <v>EA</v>
          </cell>
          <cell r="D4779" t="str">
            <v>RM100</v>
          </cell>
          <cell r="E4779">
            <v>1.498</v>
          </cell>
          <cell r="G4779">
            <v>550101</v>
          </cell>
        </row>
        <row r="4780">
          <cell r="A4780">
            <v>550102</v>
          </cell>
          <cell r="B4780" t="str">
            <v>CAP,BR 3/4" DIA</v>
          </cell>
          <cell r="C4780" t="str">
            <v>EA</v>
          </cell>
          <cell r="D4780" t="str">
            <v>RM100</v>
          </cell>
          <cell r="E4780">
            <v>2.16</v>
          </cell>
          <cell r="G4780">
            <v>550102</v>
          </cell>
        </row>
        <row r="4781">
          <cell r="A4781">
            <v>550103</v>
          </cell>
          <cell r="B4781" t="str">
            <v>*CAP,PIPE*</v>
          </cell>
          <cell r="C4781" t="str">
            <v>EA</v>
          </cell>
          <cell r="D4781" t="str">
            <v>MA470</v>
          </cell>
          <cell r="E4781">
            <v>3.0990000000000002</v>
          </cell>
          <cell r="G4781">
            <v>550103</v>
          </cell>
        </row>
        <row r="4782">
          <cell r="A4782">
            <v>550106</v>
          </cell>
          <cell r="B4782" t="str">
            <v>CAP,BR 2" DIA</v>
          </cell>
          <cell r="C4782" t="str">
            <v>EA</v>
          </cell>
          <cell r="D4782" t="str">
            <v>RM100</v>
          </cell>
          <cell r="E4782">
            <v>11.65</v>
          </cell>
          <cell r="G4782">
            <v>550106</v>
          </cell>
        </row>
        <row r="4783">
          <cell r="A4783">
            <v>550108</v>
          </cell>
          <cell r="B4783" t="str">
            <v>CAP,BR 4" DIA</v>
          </cell>
          <cell r="C4783" t="str">
            <v>EA</v>
          </cell>
          <cell r="D4783" t="str">
            <v>RM100</v>
          </cell>
          <cell r="E4783">
            <v>63</v>
          </cell>
          <cell r="G4783">
            <v>550108</v>
          </cell>
        </row>
        <row r="4784">
          <cell r="A4784">
            <v>550300</v>
          </cell>
          <cell r="B4784" t="str">
            <v>CPLG,BR 2-1/2" DIA</v>
          </cell>
          <cell r="C4784" t="str">
            <v>EA</v>
          </cell>
          <cell r="D4784" t="str">
            <v>RM100</v>
          </cell>
          <cell r="E4784">
            <v>21.806999999999999</v>
          </cell>
          <cell r="G4784">
            <v>550300</v>
          </cell>
        </row>
        <row r="4785">
          <cell r="A4785">
            <v>550301</v>
          </cell>
          <cell r="B4785" t="str">
            <v>CPLG,BR 1/2" DIA</v>
          </cell>
          <cell r="C4785" t="str">
            <v>EA</v>
          </cell>
          <cell r="D4785" t="str">
            <v>RM100</v>
          </cell>
          <cell r="E4785">
            <v>1.7118</v>
          </cell>
          <cell r="G4785">
            <v>550301</v>
          </cell>
        </row>
        <row r="4786">
          <cell r="A4786">
            <v>550302</v>
          </cell>
          <cell r="B4786" t="str">
            <v>CPLG,BR 3/4" DIA</v>
          </cell>
          <cell r="C4786" t="str">
            <v>EA</v>
          </cell>
          <cell r="D4786" t="str">
            <v>RM100</v>
          </cell>
          <cell r="E4786">
            <v>2.4809999999999999</v>
          </cell>
          <cell r="G4786">
            <v>550302</v>
          </cell>
        </row>
        <row r="4787">
          <cell r="A4787">
            <v>550303</v>
          </cell>
          <cell r="B4787" t="str">
            <v>CPLG,BR 1" DIA</v>
          </cell>
          <cell r="C4787" t="str">
            <v>EA</v>
          </cell>
          <cell r="D4787" t="str">
            <v>RM100</v>
          </cell>
          <cell r="E4787">
            <v>4.07</v>
          </cell>
          <cell r="G4787">
            <v>550303</v>
          </cell>
        </row>
        <row r="4788">
          <cell r="A4788">
            <v>550304</v>
          </cell>
          <cell r="B4788" t="str">
            <v>CPLG,BR 1-1/4" DIA</v>
          </cell>
          <cell r="C4788" t="str">
            <v>EA</v>
          </cell>
          <cell r="D4788" t="str">
            <v>RM100</v>
          </cell>
          <cell r="E4788">
            <v>5.9013900000000001</v>
          </cell>
          <cell r="G4788">
            <v>550304</v>
          </cell>
        </row>
        <row r="4789">
          <cell r="A4789">
            <v>550305</v>
          </cell>
          <cell r="B4789" t="str">
            <v>CPLG,BR 1-1/2" DIA</v>
          </cell>
          <cell r="C4789" t="str">
            <v>EA</v>
          </cell>
          <cell r="D4789" t="str">
            <v>RM100</v>
          </cell>
          <cell r="E4789">
            <v>8.0190000000000001</v>
          </cell>
          <cell r="G4789">
            <v>550305</v>
          </cell>
        </row>
        <row r="4790">
          <cell r="A4790">
            <v>550306</v>
          </cell>
          <cell r="B4790" t="str">
            <v>CPLG,BR 2" DIA</v>
          </cell>
          <cell r="C4790" t="str">
            <v>EA</v>
          </cell>
          <cell r="D4790" t="str">
            <v>RM100</v>
          </cell>
          <cell r="E4790">
            <v>13.201650000000001</v>
          </cell>
          <cell r="G4790">
            <v>550306</v>
          </cell>
        </row>
        <row r="4791">
          <cell r="A4791">
            <v>550307</v>
          </cell>
          <cell r="B4791" t="str">
            <v>CPLG,BR 3" DIA</v>
          </cell>
          <cell r="C4791" t="str">
            <v>EA</v>
          </cell>
          <cell r="D4791" t="str">
            <v>RM100</v>
          </cell>
          <cell r="E4791">
            <v>27.011600000000001</v>
          </cell>
          <cell r="G4791">
            <v>550307</v>
          </cell>
        </row>
        <row r="4792">
          <cell r="A4792">
            <v>550308</v>
          </cell>
          <cell r="B4792" t="str">
            <v>CPLG,BR 4" DIA</v>
          </cell>
          <cell r="C4792" t="str">
            <v>EA</v>
          </cell>
          <cell r="D4792" t="str">
            <v>RM100</v>
          </cell>
          <cell r="E4792">
            <v>51.795999999999999</v>
          </cell>
          <cell r="G4792">
            <v>550308</v>
          </cell>
        </row>
        <row r="4793">
          <cell r="A4793">
            <v>550450</v>
          </cell>
          <cell r="B4793" t="str">
            <v>NPL,BR/304SS,1-1/2 ID X 6 FULL NPSM WNPT</v>
          </cell>
          <cell r="C4793" t="str">
            <v>EA</v>
          </cell>
          <cell r="D4793" t="str">
            <v>RM100</v>
          </cell>
          <cell r="E4793">
            <v>15.098000000000001</v>
          </cell>
          <cell r="G4793">
            <v>550450</v>
          </cell>
        </row>
        <row r="4794">
          <cell r="A4794">
            <v>550452</v>
          </cell>
          <cell r="B4794" t="str">
            <v>NPL,BR,1/2 DIA X 6 FULL NPSM NPT</v>
          </cell>
          <cell r="C4794" t="str">
            <v>EA</v>
          </cell>
          <cell r="D4794" t="str">
            <v>RM100</v>
          </cell>
          <cell r="E4794">
            <v>8.2140000000000004</v>
          </cell>
          <cell r="G4794">
            <v>550452</v>
          </cell>
        </row>
        <row r="4795">
          <cell r="A4795">
            <v>550453</v>
          </cell>
          <cell r="B4795" t="str">
            <v>NPL,BR/304SS,3/4 DIA X 6 FULL NPSM NP</v>
          </cell>
          <cell r="C4795" t="str">
            <v>EA</v>
          </cell>
          <cell r="D4795" t="str">
            <v>RM100</v>
          </cell>
          <cell r="E4795">
            <v>7.81</v>
          </cell>
          <cell r="G4795">
            <v>550453</v>
          </cell>
        </row>
        <row r="4796">
          <cell r="A4796">
            <v>550454</v>
          </cell>
          <cell r="B4796" t="str">
            <v>NPL,BR/304SS,1 DIA X 6 FULL NPSM NPT END</v>
          </cell>
          <cell r="C4796" t="str">
            <v>EA</v>
          </cell>
          <cell r="D4796" t="str">
            <v>RM100</v>
          </cell>
          <cell r="E4796">
            <v>11.602</v>
          </cell>
          <cell r="G4796">
            <v>550454</v>
          </cell>
        </row>
        <row r="4797">
          <cell r="A4797">
            <v>550455</v>
          </cell>
          <cell r="B4797" t="str">
            <v>NPL,BR/304SS,1-1/4 DIAX6 FULL NPSM NPT A</v>
          </cell>
          <cell r="C4797" t="str">
            <v>EA</v>
          </cell>
          <cell r="D4797" t="str">
            <v>RM100</v>
          </cell>
          <cell r="E4797">
            <v>15.7</v>
          </cell>
          <cell r="G4797">
            <v>550455</v>
          </cell>
        </row>
        <row r="4798">
          <cell r="A4798">
            <v>550456</v>
          </cell>
          <cell r="B4798" t="str">
            <v>NPL,304SS/BR,2-1/2 OD X 10 FULL NPSM NPT</v>
          </cell>
          <cell r="C4798" t="str">
            <v>EA</v>
          </cell>
          <cell r="D4798" t="str">
            <v>RM100</v>
          </cell>
          <cell r="E4798">
            <v>59.91</v>
          </cell>
          <cell r="G4798">
            <v>550456</v>
          </cell>
        </row>
        <row r="4799">
          <cell r="A4799">
            <v>550457</v>
          </cell>
          <cell r="B4799" t="str">
            <v>NPL,BR/304SS,2 DIA X 8 FULL NPSM NPT END</v>
          </cell>
          <cell r="C4799" t="str">
            <v>EA</v>
          </cell>
          <cell r="D4799" t="str">
            <v>RM100</v>
          </cell>
          <cell r="E4799">
            <v>32.728000000000002</v>
          </cell>
          <cell r="G4799">
            <v>550457</v>
          </cell>
        </row>
        <row r="4800">
          <cell r="A4800">
            <v>550458</v>
          </cell>
          <cell r="B4800" t="str">
            <v>NPL,BR/SS,3 DIA X 12 FULL NPSM W/NPT</v>
          </cell>
          <cell r="C4800" t="str">
            <v>EA</v>
          </cell>
          <cell r="D4800" t="str">
            <v>RM100</v>
          </cell>
          <cell r="E4800">
            <v>54.43</v>
          </cell>
          <cell r="G4800">
            <v>550458</v>
          </cell>
        </row>
        <row r="4801">
          <cell r="A4801">
            <v>550459</v>
          </cell>
          <cell r="B4801" t="str">
            <v>NPL,BR/SS,4 DIAx16 FULL NPSM W/NPT</v>
          </cell>
          <cell r="C4801" t="str">
            <v>EA</v>
          </cell>
          <cell r="D4801" t="str">
            <v>RM100</v>
          </cell>
          <cell r="E4801">
            <v>111.96</v>
          </cell>
          <cell r="G4801">
            <v>550459</v>
          </cell>
        </row>
        <row r="4802">
          <cell r="A4802">
            <v>550472</v>
          </cell>
          <cell r="B4802" t="str">
            <v>NPL,BR/SS,1/2 DIA X 15 FULL NPSM W/NPT</v>
          </cell>
          <cell r="C4802" t="str">
            <v>EA</v>
          </cell>
          <cell r="D4802" t="str">
            <v>RM100</v>
          </cell>
          <cell r="E4802">
            <v>29.71</v>
          </cell>
          <cell r="G4802">
            <v>550472</v>
          </cell>
        </row>
        <row r="4803">
          <cell r="A4803">
            <v>550534</v>
          </cell>
          <cell r="B4803" t="str">
            <v>NPL,BR/SS,1 DIAX3"LG,  NPSM W/NPT ENDS</v>
          </cell>
          <cell r="C4803" t="str">
            <v>EA</v>
          </cell>
          <cell r="D4803" t="str">
            <v>RM100</v>
          </cell>
          <cell r="E4803">
            <v>6.165</v>
          </cell>
          <cell r="G4803">
            <v>550534</v>
          </cell>
        </row>
        <row r="4804">
          <cell r="A4804">
            <v>550549</v>
          </cell>
          <cell r="B4804" t="str">
            <v>LNUT,1/2"DIAX1/4"TKX1-1/8" BR RND CRNRS*</v>
          </cell>
          <cell r="C4804" t="str">
            <v>EA</v>
          </cell>
          <cell r="D4804" t="str">
            <v>RM100</v>
          </cell>
          <cell r="E4804">
            <v>1.19</v>
          </cell>
          <cell r="G4804">
            <v>550549</v>
          </cell>
        </row>
        <row r="4805">
          <cell r="A4805">
            <v>550550</v>
          </cell>
          <cell r="B4805" t="str">
            <v>LNUT,3/4" DIA BR NPSL THRD</v>
          </cell>
          <cell r="C4805" t="str">
            <v>EA</v>
          </cell>
          <cell r="D4805" t="str">
            <v>RM100</v>
          </cell>
          <cell r="E4805">
            <v>1.4196599999999999</v>
          </cell>
          <cell r="G4805">
            <v>550550</v>
          </cell>
        </row>
        <row r="4806">
          <cell r="A4806">
            <v>550551</v>
          </cell>
          <cell r="B4806" t="str">
            <v>LNUT,1"DIA BR</v>
          </cell>
          <cell r="C4806" t="str">
            <v>EA</v>
          </cell>
          <cell r="D4806" t="str">
            <v>RM100</v>
          </cell>
          <cell r="E4806">
            <v>2.11761</v>
          </cell>
          <cell r="G4806">
            <v>550551</v>
          </cell>
        </row>
        <row r="4807">
          <cell r="A4807">
            <v>550552</v>
          </cell>
          <cell r="B4807" t="str">
            <v>LNUT,1-1/4"DIAX7/16" BR NPSL THRD A360</v>
          </cell>
          <cell r="C4807" t="str">
            <v>EA</v>
          </cell>
          <cell r="D4807" t="str">
            <v>RM100</v>
          </cell>
          <cell r="E4807">
            <v>3.4481700000000002</v>
          </cell>
          <cell r="G4807">
            <v>550552</v>
          </cell>
        </row>
        <row r="4808">
          <cell r="A4808">
            <v>550553</v>
          </cell>
          <cell r="B4808" t="str">
            <v>LNUT,1-1/2"DIAx5/16" BR NPSL THRD</v>
          </cell>
          <cell r="C4808" t="str">
            <v>EA</v>
          </cell>
          <cell r="D4808" t="str">
            <v>RM100</v>
          </cell>
          <cell r="E4808">
            <v>4.4698500000000001</v>
          </cell>
          <cell r="G4808">
            <v>550553</v>
          </cell>
        </row>
        <row r="4809">
          <cell r="A4809">
            <v>550554</v>
          </cell>
          <cell r="B4809" t="str">
            <v>LNUT,2" DIA BR NPSL THRD A360</v>
          </cell>
          <cell r="C4809" t="str">
            <v>EA</v>
          </cell>
          <cell r="D4809" t="str">
            <v>RM100</v>
          </cell>
          <cell r="E4809">
            <v>9.0613600000000005</v>
          </cell>
          <cell r="G4809">
            <v>550554</v>
          </cell>
        </row>
        <row r="4810">
          <cell r="A4810">
            <v>550555</v>
          </cell>
          <cell r="B4810" t="str">
            <v>LNUT,2-1/2" DIA BR NPSL THRD</v>
          </cell>
          <cell r="C4810" t="str">
            <v>EA</v>
          </cell>
          <cell r="D4810" t="str">
            <v>RM100</v>
          </cell>
          <cell r="E4810">
            <v>16.106999999999999</v>
          </cell>
          <cell r="G4810">
            <v>550555</v>
          </cell>
        </row>
        <row r="4811">
          <cell r="A4811">
            <v>550556</v>
          </cell>
          <cell r="B4811" t="str">
            <v>LNUT,3" DIA BR NPSL THD MIN ID:3.345"</v>
          </cell>
          <cell r="C4811" t="str">
            <v>EA</v>
          </cell>
          <cell r="D4811" t="str">
            <v>RM100</v>
          </cell>
          <cell r="E4811">
            <v>14.7736</v>
          </cell>
          <cell r="G4811">
            <v>550556</v>
          </cell>
        </row>
        <row r="4812">
          <cell r="A4812">
            <v>550557</v>
          </cell>
          <cell r="B4812" t="str">
            <v>LNUT,4" DIA,SS 304,NPSL THRD</v>
          </cell>
          <cell r="C4812" t="str">
            <v>EA</v>
          </cell>
          <cell r="D4812" t="str">
            <v>RM100</v>
          </cell>
          <cell r="E4812">
            <v>16.331</v>
          </cell>
          <cell r="G4812">
            <v>550557</v>
          </cell>
        </row>
        <row r="4813">
          <cell r="A4813">
            <v>550749</v>
          </cell>
          <cell r="B4813" t="str">
            <v>ADPT,CU FEM 1-1/2 THRD &amp; SODR (1.5"ID)</v>
          </cell>
          <cell r="C4813" t="str">
            <v>EA</v>
          </cell>
          <cell r="D4813" t="str">
            <v>RM100</v>
          </cell>
          <cell r="E4813">
            <v>23.635999999999999</v>
          </cell>
          <cell r="G4813">
            <v>550749</v>
          </cell>
        </row>
        <row r="4814">
          <cell r="A4814">
            <v>550754</v>
          </cell>
          <cell r="B4814" t="str">
            <v>ADPT,CU FEM 2" NOM THRD TO SWEAT MCM*</v>
          </cell>
          <cell r="C4814" t="str">
            <v>EA</v>
          </cell>
          <cell r="D4814" t="str">
            <v>RM100</v>
          </cell>
          <cell r="E4814">
            <v>18.16</v>
          </cell>
          <cell r="G4814">
            <v>550754</v>
          </cell>
        </row>
        <row r="4815">
          <cell r="A4815">
            <v>550756</v>
          </cell>
          <cell r="B4815" t="str">
            <v>ADPT,CU FEM 1" THRD &amp; SWEAT (1" NOM ID)*</v>
          </cell>
          <cell r="C4815" t="str">
            <v>EA</v>
          </cell>
          <cell r="D4815" t="str">
            <v>RM100</v>
          </cell>
          <cell r="E4815">
            <v>4.3171499999999998</v>
          </cell>
          <cell r="G4815">
            <v>550756</v>
          </cell>
        </row>
        <row r="4816">
          <cell r="A4816">
            <v>550758</v>
          </cell>
          <cell r="B4816" t="str">
            <v>ADPT,CU FEM 1/2" THRD TO SWEAT*</v>
          </cell>
          <cell r="C4816" t="str">
            <v>EA</v>
          </cell>
          <cell r="D4816" t="str">
            <v>RM100</v>
          </cell>
          <cell r="E4816">
            <v>2.5674999999999999</v>
          </cell>
          <cell r="G4816">
            <v>550758</v>
          </cell>
        </row>
        <row r="4817">
          <cell r="A4817">
            <v>550759</v>
          </cell>
          <cell r="B4817" t="str">
            <v>ADPT,CU FEM 3/4" THRD TO SWEAT*</v>
          </cell>
          <cell r="C4817" t="str">
            <v>EA</v>
          </cell>
          <cell r="D4817" t="str">
            <v>RM100</v>
          </cell>
          <cell r="E4817">
            <v>2.3199999999999998</v>
          </cell>
          <cell r="G4817">
            <v>550759</v>
          </cell>
        </row>
        <row r="4818">
          <cell r="A4818">
            <v>550761</v>
          </cell>
          <cell r="B4818" t="str">
            <v>ADPT,CU FEM 3/4" THRD TO 1/2" SWEAT*</v>
          </cell>
          <cell r="C4818" t="str">
            <v>EA</v>
          </cell>
          <cell r="D4818" t="str">
            <v>RM100</v>
          </cell>
          <cell r="E4818">
            <v>3.7450999999999999</v>
          </cell>
          <cell r="G4818">
            <v>550761</v>
          </cell>
        </row>
        <row r="4819">
          <cell r="A4819">
            <v>550762</v>
          </cell>
          <cell r="B4819" t="str">
            <v>ADPT,CU FEM 1" THRD TO 3/4" SWEAT*</v>
          </cell>
          <cell r="C4819" t="str">
            <v>EA</v>
          </cell>
          <cell r="D4819" t="str">
            <v>RM100</v>
          </cell>
          <cell r="E4819">
            <v>7.62</v>
          </cell>
          <cell r="G4819">
            <v>550762</v>
          </cell>
        </row>
        <row r="4820">
          <cell r="A4820">
            <v>550763</v>
          </cell>
          <cell r="B4820" t="str">
            <v>ADPT,CU FEM 2" THRD TO 1 1/2" SWEAT*</v>
          </cell>
          <cell r="C4820" t="str">
            <v>EA</v>
          </cell>
          <cell r="D4820" t="str">
            <v>RM100</v>
          </cell>
          <cell r="E4820">
            <v>25.15</v>
          </cell>
          <cell r="G4820">
            <v>550763</v>
          </cell>
        </row>
        <row r="4821">
          <cell r="A4821">
            <v>550765</v>
          </cell>
          <cell r="B4821" t="str">
            <v>ADPT,CU FEM 1-1/4" THRD TO 1" SWEAT</v>
          </cell>
          <cell r="C4821" t="str">
            <v>EA</v>
          </cell>
          <cell r="D4821" t="str">
            <v>RM100</v>
          </cell>
          <cell r="E4821">
            <v>15</v>
          </cell>
          <cell r="G4821">
            <v>550765</v>
          </cell>
        </row>
        <row r="4822">
          <cell r="A4822">
            <v>550767</v>
          </cell>
          <cell r="B4822" t="str">
            <v>ADPT,CU FEM 1-1/2" THRD TO 1 1/4" SWEAT</v>
          </cell>
          <cell r="C4822" t="str">
            <v>EA</v>
          </cell>
          <cell r="D4822" t="str">
            <v>RM100</v>
          </cell>
          <cell r="E4822">
            <v>17.29</v>
          </cell>
          <cell r="G4822">
            <v>550767</v>
          </cell>
        </row>
        <row r="4823">
          <cell r="A4823">
            <v>550900</v>
          </cell>
          <cell r="B4823" t="str">
            <v>UNION,DIE 3/4DIA BRF/BRF THD/SDR MDL-FXS</v>
          </cell>
          <cell r="C4823" t="str">
            <v>EA</v>
          </cell>
          <cell r="D4823" t="str">
            <v>RM100</v>
          </cell>
          <cell r="E4823">
            <v>15.03</v>
          </cell>
          <cell r="G4823">
            <v>550900</v>
          </cell>
        </row>
        <row r="4824">
          <cell r="A4824">
            <v>550901</v>
          </cell>
          <cell r="B4824" t="str">
            <v>UNION,DIE 1"DIA BRF/BRF THD/SDR MDL-FXS</v>
          </cell>
          <cell r="C4824" t="str">
            <v>EA</v>
          </cell>
          <cell r="D4824" t="str">
            <v>RM100</v>
          </cell>
          <cell r="E4824">
            <v>13.91</v>
          </cell>
          <cell r="G4824">
            <v>550901</v>
          </cell>
        </row>
        <row r="4825">
          <cell r="A4825">
            <v>550909</v>
          </cell>
          <cell r="B4825" t="str">
            <v>UNION,DIE 1/2DIA STF/BRF THD/SDR MDL-FXS</v>
          </cell>
          <cell r="C4825" t="str">
            <v>EA</v>
          </cell>
          <cell r="D4825" t="str">
            <v>RM100</v>
          </cell>
          <cell r="E4825">
            <v>7.4503000000000004</v>
          </cell>
          <cell r="G4825">
            <v>550909</v>
          </cell>
        </row>
        <row r="4826">
          <cell r="A4826">
            <v>550911</v>
          </cell>
          <cell r="B4826" t="str">
            <v>UNION,DIE 1-1/2"DIA STF/BRF THD/SDR MDL*</v>
          </cell>
          <cell r="C4826" t="str">
            <v>EA</v>
          </cell>
          <cell r="D4826" t="str">
            <v>RM100</v>
          </cell>
          <cell r="E4826">
            <v>34.819000000000003</v>
          </cell>
          <cell r="G4826">
            <v>550911</v>
          </cell>
        </row>
        <row r="4827">
          <cell r="A4827">
            <v>550912</v>
          </cell>
          <cell r="B4827" t="str">
            <v>UNION,DIE 2"DIA STF/BRF THD/SDR MDL-FX*</v>
          </cell>
          <cell r="C4827" t="str">
            <v>EA</v>
          </cell>
          <cell r="D4827" t="str">
            <v>RM100</v>
          </cell>
          <cell r="E4827">
            <v>32.14</v>
          </cell>
          <cell r="G4827">
            <v>550912</v>
          </cell>
        </row>
        <row r="4828">
          <cell r="A4828">
            <v>550930</v>
          </cell>
          <cell r="B4828" t="str">
            <v>UNION,DIE 3/4DIA STF/BRF THD/THD MDL-EA</v>
          </cell>
          <cell r="C4828" t="str">
            <v>EA</v>
          </cell>
          <cell r="D4828" t="str">
            <v>RM100</v>
          </cell>
          <cell r="E4828">
            <v>8.39</v>
          </cell>
          <cell r="G4828">
            <v>550930</v>
          </cell>
        </row>
        <row r="4829">
          <cell r="A4829">
            <v>550931</v>
          </cell>
          <cell r="B4829" t="str">
            <v>UNION,DIE 1"DIA STF/BRF THD/THD MDL-EA*</v>
          </cell>
          <cell r="C4829" t="str">
            <v>EA</v>
          </cell>
          <cell r="D4829" t="str">
            <v>RM100</v>
          </cell>
          <cell r="E4829">
            <v>12.16</v>
          </cell>
          <cell r="G4829">
            <v>550931</v>
          </cell>
        </row>
        <row r="4830">
          <cell r="A4830">
            <v>550932</v>
          </cell>
          <cell r="B4830" t="str">
            <v>UNION,DIE 1-1/4"DIA STF/BRF THD/THD*</v>
          </cell>
          <cell r="C4830" t="str">
            <v>EA</v>
          </cell>
          <cell r="D4830" t="str">
            <v>RM100</v>
          </cell>
          <cell r="E4830">
            <v>38.28</v>
          </cell>
          <cell r="G4830">
            <v>550932</v>
          </cell>
        </row>
        <row r="4831">
          <cell r="A4831">
            <v>550933</v>
          </cell>
          <cell r="B4831" t="str">
            <v>UNION,DIE 1-1/2"DIA STF/BRF THD/THD MDL*</v>
          </cell>
          <cell r="C4831" t="str">
            <v>EA</v>
          </cell>
          <cell r="D4831" t="str">
            <v>RM100</v>
          </cell>
          <cell r="E4831">
            <v>38.28</v>
          </cell>
          <cell r="G4831">
            <v>550933</v>
          </cell>
        </row>
        <row r="4832">
          <cell r="A4832">
            <v>550934</v>
          </cell>
          <cell r="B4832" t="str">
            <v>UNION,DIE 2"DIA STF/BRF THD/THD MDL-EA*</v>
          </cell>
          <cell r="C4832" t="str">
            <v>EA</v>
          </cell>
          <cell r="D4832" t="str">
            <v>RM100</v>
          </cell>
          <cell r="E4832">
            <v>40</v>
          </cell>
          <cell r="G4832">
            <v>550934</v>
          </cell>
        </row>
        <row r="4833">
          <cell r="A4833">
            <v>550935</v>
          </cell>
          <cell r="B4833" t="str">
            <v>UNION,DIE 2-1/2" DIA STF/BRF THD/THD*</v>
          </cell>
          <cell r="C4833" t="str">
            <v>EA</v>
          </cell>
          <cell r="D4833" t="str">
            <v>RM100</v>
          </cell>
          <cell r="E4833">
            <v>213.9933</v>
          </cell>
          <cell r="G4833">
            <v>550935</v>
          </cell>
        </row>
        <row r="4834">
          <cell r="A4834">
            <v>550936</v>
          </cell>
          <cell r="B4834" t="str">
            <v>UNION,DIE 1/2DIA STF/BRF THD/THD MDL-EA*</v>
          </cell>
          <cell r="C4834" t="str">
            <v>EA</v>
          </cell>
          <cell r="D4834" t="str">
            <v>RM100</v>
          </cell>
          <cell r="E4834">
            <v>10.925000000000001</v>
          </cell>
          <cell r="G4834">
            <v>550936</v>
          </cell>
        </row>
        <row r="4835">
          <cell r="A4835">
            <v>550937</v>
          </cell>
          <cell r="B4835" t="str">
            <v>UNION,DIE 3" DIA (SEE DETAILED DESCRP)</v>
          </cell>
          <cell r="C4835" t="str">
            <v>EA</v>
          </cell>
          <cell r="D4835" t="str">
            <v>RM100</v>
          </cell>
          <cell r="E4835">
            <v>225.78</v>
          </cell>
          <cell r="G4835">
            <v>550937</v>
          </cell>
        </row>
        <row r="4836">
          <cell r="A4836">
            <v>550938</v>
          </cell>
          <cell r="B4836" t="str">
            <v>UNION,DIE 4"DIA (SEE DETAILED DESCRP)</v>
          </cell>
          <cell r="C4836" t="str">
            <v>EA</v>
          </cell>
          <cell r="D4836" t="str">
            <v>RM100</v>
          </cell>
          <cell r="E4836">
            <v>281.01</v>
          </cell>
          <cell r="G4836">
            <v>550938</v>
          </cell>
        </row>
        <row r="4837">
          <cell r="A4837">
            <v>551023</v>
          </cell>
          <cell r="B4837" t="str">
            <v>ASSY,DIE UNION MEDGAS 1/2" BR STERILE*</v>
          </cell>
          <cell r="C4837" t="str">
            <v>EA</v>
          </cell>
          <cell r="D4837" t="str">
            <v>MA100</v>
          </cell>
          <cell r="E4837">
            <v>36.450040000000001</v>
          </cell>
          <cell r="G4837">
            <v>551023</v>
          </cell>
        </row>
        <row r="4838">
          <cell r="A4838">
            <v>551024</v>
          </cell>
          <cell r="B4838" t="str">
            <v>ASSY,DIE UNION MEDGAS 3/4" BR STERILE*</v>
          </cell>
          <cell r="C4838" t="str">
            <v>EA</v>
          </cell>
          <cell r="D4838" t="str">
            <v>MA100</v>
          </cell>
          <cell r="E4838">
            <v>43.837560000000003</v>
          </cell>
          <cell r="G4838">
            <v>551024</v>
          </cell>
        </row>
        <row r="4839">
          <cell r="A4839">
            <v>551026</v>
          </cell>
          <cell r="B4839" t="str">
            <v>ASSY,DIE UNION SWEAT 1" BR*</v>
          </cell>
          <cell r="C4839" t="str">
            <v>EA</v>
          </cell>
          <cell r="D4839" t="str">
            <v>MA100</v>
          </cell>
          <cell r="E4839">
            <v>39.333449999999999</v>
          </cell>
          <cell r="G4839">
            <v>551026</v>
          </cell>
        </row>
        <row r="4840">
          <cell r="A4840">
            <v>551028</v>
          </cell>
          <cell r="B4840" t="str">
            <v>ASSY,DIE UNION MEDGAS 1-1/2" BR*</v>
          </cell>
          <cell r="C4840" t="str">
            <v>EA</v>
          </cell>
          <cell r="D4840" t="str">
            <v>MA100</v>
          </cell>
          <cell r="E4840">
            <v>51.981940000000002</v>
          </cell>
          <cell r="G4840">
            <v>551028</v>
          </cell>
        </row>
        <row r="4841">
          <cell r="A4841">
            <v>551060</v>
          </cell>
          <cell r="B4841" t="str">
            <v>ASSY,WGFTR BR 1/2"</v>
          </cell>
          <cell r="C4841" t="str">
            <v>EA</v>
          </cell>
          <cell r="D4841" t="str">
            <v>MA100</v>
          </cell>
          <cell r="E4841">
            <v>13.4765</v>
          </cell>
          <cell r="G4841">
            <v>551060</v>
          </cell>
        </row>
        <row r="4842">
          <cell r="A4842">
            <v>551061</v>
          </cell>
          <cell r="B4842" t="str">
            <v>ASSY,WGFTR BR 3/4" MRI (#550453;2:-550)</v>
          </cell>
          <cell r="C4842" t="str">
            <v>EA</v>
          </cell>
          <cell r="D4842" t="str">
            <v>MA100</v>
          </cell>
          <cell r="E4842">
            <v>13.53182</v>
          </cell>
          <cell r="G4842">
            <v>551061</v>
          </cell>
        </row>
        <row r="4843">
          <cell r="A4843">
            <v>551062</v>
          </cell>
          <cell r="B4843" t="str">
            <v>ASSY,WGFTR BR 1" MRI (1-550454,2-550551)</v>
          </cell>
          <cell r="C4843" t="str">
            <v>EA</v>
          </cell>
          <cell r="D4843" t="str">
            <v>MA100</v>
          </cell>
          <cell r="E4843">
            <v>18.719719999999999</v>
          </cell>
          <cell r="G4843">
            <v>551062</v>
          </cell>
        </row>
        <row r="4844">
          <cell r="A4844">
            <v>551063</v>
          </cell>
          <cell r="B4844" t="str">
            <v>ASSY,WGFTR BR 1-1/4 MRI (1-550455;2-552)</v>
          </cell>
          <cell r="C4844" t="str">
            <v>EA</v>
          </cell>
          <cell r="D4844" t="str">
            <v>MA100</v>
          </cell>
          <cell r="E4844">
            <v>25.478840000000002</v>
          </cell>
          <cell r="G4844">
            <v>551063</v>
          </cell>
        </row>
        <row r="4845">
          <cell r="A4845">
            <v>551064</v>
          </cell>
          <cell r="B4845" t="str">
            <v>ASSY,WGFTR BR 1-1/2 MRI (1-550450,2-553)</v>
          </cell>
          <cell r="C4845" t="str">
            <v>EA</v>
          </cell>
          <cell r="D4845" t="str">
            <v>MA100</v>
          </cell>
          <cell r="E4845">
            <v>26.920200000000001</v>
          </cell>
          <cell r="G4845">
            <v>551064</v>
          </cell>
        </row>
        <row r="4846">
          <cell r="A4846">
            <v>551065</v>
          </cell>
          <cell r="B4846" t="str">
            <v>ASSY,WGFTR BR 2" MRI (1-550457,2-550554)</v>
          </cell>
          <cell r="C4846" t="str">
            <v>EA</v>
          </cell>
          <cell r="D4846" t="str">
            <v>MA100</v>
          </cell>
          <cell r="E4846">
            <v>65.263220000000004</v>
          </cell>
          <cell r="G4846">
            <v>551065</v>
          </cell>
        </row>
        <row r="4847">
          <cell r="A4847">
            <v>551066</v>
          </cell>
          <cell r="B4847" t="str">
            <v>ASSY,WGFTR BR 2-1/2 MRI (1-550456,2-555)</v>
          </cell>
          <cell r="C4847" t="str">
            <v>EA</v>
          </cell>
          <cell r="D4847" t="str">
            <v>MA100</v>
          </cell>
          <cell r="E4847">
            <v>95.006500000000003</v>
          </cell>
          <cell r="G4847">
            <v>551066</v>
          </cell>
        </row>
        <row r="4848">
          <cell r="A4848">
            <v>551067</v>
          </cell>
          <cell r="B4848" t="str">
            <v>ASSY,WGFTR BR 3" MRI (1-550458,2-550556)</v>
          </cell>
          <cell r="C4848" t="str">
            <v>EA</v>
          </cell>
          <cell r="D4848" t="str">
            <v>MA100</v>
          </cell>
          <cell r="E4848">
            <v>87.820539999999994</v>
          </cell>
          <cell r="G4848">
            <v>551067</v>
          </cell>
        </row>
        <row r="4849">
          <cell r="A4849">
            <v>551068</v>
          </cell>
          <cell r="B4849" t="str">
            <v>ASSY,WGFTR BR 4" MRI (1-550459,2-550557)</v>
          </cell>
          <cell r="C4849" t="str">
            <v>EA</v>
          </cell>
          <cell r="D4849" t="str">
            <v>MA100</v>
          </cell>
          <cell r="E4849">
            <v>148.46534</v>
          </cell>
          <cell r="G4849">
            <v>551068</v>
          </cell>
        </row>
        <row r="4850">
          <cell r="A4850">
            <v>551069</v>
          </cell>
          <cell r="B4850" t="str">
            <v>ASSY,WGFTR BR 1" MRI (1-550534,3-550551)</v>
          </cell>
          <cell r="C4850" t="str">
            <v>EA</v>
          </cell>
          <cell r="D4850" t="str">
            <v>MA100</v>
          </cell>
          <cell r="E4850">
            <v>12.51783</v>
          </cell>
          <cell r="G4850">
            <v>551069</v>
          </cell>
        </row>
        <row r="4851">
          <cell r="A4851">
            <v>551083</v>
          </cell>
          <cell r="B4851" t="str">
            <v>ASSY,DIE UNION 3" SF/BF MRI*</v>
          </cell>
          <cell r="C4851" t="str">
            <v>EA</v>
          </cell>
          <cell r="D4851" t="str">
            <v>MA100</v>
          </cell>
          <cell r="E4851">
            <v>342.03787999999997</v>
          </cell>
          <cell r="G4851">
            <v>551083</v>
          </cell>
        </row>
        <row r="4852">
          <cell r="A4852">
            <v>551084</v>
          </cell>
          <cell r="B4852" t="str">
            <v>ASSY,DIE UNION 1/2" SF/BF MRI*</v>
          </cell>
          <cell r="C4852" t="str">
            <v>EA</v>
          </cell>
          <cell r="D4852" t="str">
            <v>MA100</v>
          </cell>
          <cell r="E4852">
            <v>28.499880000000001</v>
          </cell>
          <cell r="G4852">
            <v>551084</v>
          </cell>
        </row>
        <row r="4853">
          <cell r="A4853">
            <v>551085</v>
          </cell>
          <cell r="B4853" t="str">
            <v>ASSY,DIE UNION 3/4" SF/BF MRI*</v>
          </cell>
          <cell r="C4853" t="str">
            <v>EA</v>
          </cell>
          <cell r="D4853" t="str">
            <v>MA100</v>
          </cell>
          <cell r="E4853">
            <v>26.789400000000001</v>
          </cell>
          <cell r="G4853">
            <v>551085</v>
          </cell>
        </row>
        <row r="4854">
          <cell r="A4854">
            <v>551086</v>
          </cell>
          <cell r="B4854" t="str">
            <v>ASSY,DIE UNION 1" SF/BF MRI*</v>
          </cell>
          <cell r="C4854" t="str">
            <v>EA</v>
          </cell>
          <cell r="D4854" t="str">
            <v>MA100</v>
          </cell>
          <cell r="E4854">
            <v>37.336300000000001</v>
          </cell>
          <cell r="G4854">
            <v>551086</v>
          </cell>
        </row>
        <row r="4855">
          <cell r="A4855">
            <v>551087</v>
          </cell>
          <cell r="B4855" t="str">
            <v>ASSY,DIE UNION 1-1/4" SF/BF MRI*</v>
          </cell>
          <cell r="C4855" t="str">
            <v>EA</v>
          </cell>
          <cell r="D4855" t="str">
            <v>MA100</v>
          </cell>
          <cell r="E4855">
            <v>72.046809999999994</v>
          </cell>
          <cell r="G4855">
            <v>551087</v>
          </cell>
        </row>
        <row r="4856">
          <cell r="A4856">
            <v>551088</v>
          </cell>
          <cell r="B4856" t="str">
            <v>ASSY,DIE UNION 1-1/2" SF/BF MRI*</v>
          </cell>
          <cell r="C4856" t="str">
            <v>EA</v>
          </cell>
          <cell r="D4856" t="str">
            <v>MA100</v>
          </cell>
          <cell r="E4856">
            <v>75.605779999999996</v>
          </cell>
          <cell r="G4856">
            <v>551088</v>
          </cell>
        </row>
        <row r="4857">
          <cell r="A4857">
            <v>551089</v>
          </cell>
          <cell r="B4857" t="str">
            <v>ASSY,DIE UNION 2" SF/BF MRI*</v>
          </cell>
          <cell r="C4857" t="str">
            <v>EA</v>
          </cell>
          <cell r="D4857" t="str">
            <v>MA100</v>
          </cell>
          <cell r="E4857">
            <v>109.32145</v>
          </cell>
          <cell r="G4857">
            <v>551089</v>
          </cell>
        </row>
        <row r="4858">
          <cell r="A4858">
            <v>551090</v>
          </cell>
          <cell r="B4858" t="str">
            <v>ASSY,DIE UNION 2-1/2" SF/BF MRI*</v>
          </cell>
          <cell r="C4858" t="str">
            <v>EA</v>
          </cell>
          <cell r="D4858" t="str">
            <v>MA100</v>
          </cell>
          <cell r="E4858">
            <v>333.19337999999999</v>
          </cell>
          <cell r="G4858">
            <v>551090</v>
          </cell>
        </row>
        <row r="4859">
          <cell r="A4859">
            <v>551091</v>
          </cell>
          <cell r="B4859" t="str">
            <v>ASSY,DIE UNION 4" SF/BF MRI*</v>
          </cell>
          <cell r="C4859" t="str">
            <v>EA</v>
          </cell>
          <cell r="D4859" t="str">
            <v>MA100</v>
          </cell>
          <cell r="E4859">
            <v>482.69708000000003</v>
          </cell>
          <cell r="G4859">
            <v>551091</v>
          </cell>
        </row>
        <row r="4860">
          <cell r="A4860">
            <v>551311</v>
          </cell>
          <cell r="B4860" t="str">
            <v>ENCLOSURE, DR AUTO OPEN-CLOSE, RH, 55"L</v>
          </cell>
          <cell r="C4860" t="str">
            <v>EA</v>
          </cell>
          <cell r="D4860" t="str">
            <v>RM100</v>
          </cell>
          <cell r="E4860">
            <v>276.33999999999997</v>
          </cell>
          <cell r="G4860">
            <v>551311</v>
          </cell>
        </row>
        <row r="4861">
          <cell r="A4861">
            <v>551312</v>
          </cell>
          <cell r="B4861" t="str">
            <v>ENCLOSURE, DR AUTO OPEN-CLOSE, LH, 55"L</v>
          </cell>
          <cell r="C4861" t="str">
            <v>EA</v>
          </cell>
          <cell r="D4861" t="str">
            <v>RM100</v>
          </cell>
          <cell r="E4861">
            <v>276.33999999999997</v>
          </cell>
          <cell r="G4861">
            <v>551312</v>
          </cell>
        </row>
        <row r="4862">
          <cell r="A4862">
            <v>551313</v>
          </cell>
          <cell r="B4862" t="str">
            <v>ENCLOSURE, DR AUTO OPEN-CLOSE, RH, 49"L</v>
          </cell>
          <cell r="C4862" t="str">
            <v>EA</v>
          </cell>
          <cell r="D4862" t="str">
            <v>RM100</v>
          </cell>
          <cell r="E4862">
            <v>223.13</v>
          </cell>
          <cell r="G4862">
            <v>551313</v>
          </cell>
        </row>
        <row r="4863">
          <cell r="A4863">
            <v>551314</v>
          </cell>
          <cell r="B4863" t="str">
            <v>ENCLOSURE, DR AUTO OPEN-CLOSE, LH, 49"L</v>
          </cell>
          <cell r="C4863" t="str">
            <v>EA</v>
          </cell>
          <cell r="D4863" t="str">
            <v>RM100</v>
          </cell>
          <cell r="E4863">
            <v>223.13</v>
          </cell>
          <cell r="G4863">
            <v>551314</v>
          </cell>
        </row>
        <row r="4864">
          <cell r="A4864">
            <v>551315</v>
          </cell>
          <cell r="B4864" t="str">
            <v>ENCLOSURE, DR AUTO OPEN-CLOSE, RH, 43"L</v>
          </cell>
          <cell r="C4864" t="str">
            <v>EA</v>
          </cell>
          <cell r="D4864" t="str">
            <v>RM100</v>
          </cell>
          <cell r="E4864">
            <v>223.13</v>
          </cell>
          <cell r="G4864">
            <v>551315</v>
          </cell>
        </row>
        <row r="4865">
          <cell r="A4865">
            <v>551316</v>
          </cell>
          <cell r="B4865" t="str">
            <v>ENCLOSURE, DR AUTO OPEN-CLOSE, LH, 43"L</v>
          </cell>
          <cell r="C4865" t="str">
            <v>EA</v>
          </cell>
          <cell r="D4865" t="str">
            <v>RM100</v>
          </cell>
          <cell r="E4865">
            <v>223.13</v>
          </cell>
          <cell r="G4865">
            <v>551316</v>
          </cell>
        </row>
        <row r="4866">
          <cell r="A4866">
            <v>554056</v>
          </cell>
          <cell r="B4866" t="str">
            <v>SCR,#10-24X1/4,SH,SP,316SS (SET SCREW)</v>
          </cell>
          <cell r="C4866" t="str">
            <v>EA</v>
          </cell>
          <cell r="D4866" t="str">
            <v>RM100</v>
          </cell>
          <cell r="E4866">
            <v>0.12759999999999999</v>
          </cell>
          <cell r="G4866">
            <v>554056</v>
          </cell>
        </row>
        <row r="4867">
          <cell r="A4867">
            <v>554233</v>
          </cell>
          <cell r="B4867" t="str">
            <v>WRAP,GLASS FABRIC 8"X.025"XLF VDR# 8VG</v>
          </cell>
          <cell r="C4867" t="str">
            <v>FT</v>
          </cell>
          <cell r="D4867" t="str">
            <v>RM100</v>
          </cell>
          <cell r="E4867">
            <v>1.45</v>
          </cell>
          <cell r="G4867">
            <v>554233</v>
          </cell>
        </row>
        <row r="4868">
          <cell r="A4868">
            <v>554234</v>
          </cell>
          <cell r="B4868" t="str">
            <v>CLMP,TUBE W/WORM GEAR ACTIONS/S 6" DIA*</v>
          </cell>
          <cell r="C4868" t="str">
            <v>EA</v>
          </cell>
          <cell r="D4868" t="str">
            <v>RM100</v>
          </cell>
          <cell r="E4868">
            <v>1.988</v>
          </cell>
          <cell r="G4868">
            <v>554234</v>
          </cell>
        </row>
        <row r="4869">
          <cell r="A4869">
            <v>554235</v>
          </cell>
          <cell r="B4869" t="str">
            <v>TUBE,CU TYPE L 3/4"NOM DIAX10'</v>
          </cell>
          <cell r="C4869" t="str">
            <v>EA</v>
          </cell>
          <cell r="D4869" t="str">
            <v>RM100</v>
          </cell>
          <cell r="E4869">
            <v>27.38</v>
          </cell>
          <cell r="G4869">
            <v>554235</v>
          </cell>
        </row>
        <row r="4870">
          <cell r="A4870">
            <v>554248</v>
          </cell>
          <cell r="B4870" t="str">
            <v>CLMP,TUBE W/WORM GEAR ACTIONS/S 8" DIA*</v>
          </cell>
          <cell r="C4870" t="str">
            <v>EA</v>
          </cell>
          <cell r="D4870" t="str">
            <v>RM100</v>
          </cell>
          <cell r="E4870">
            <v>1.8813</v>
          </cell>
          <cell r="G4870">
            <v>554248</v>
          </cell>
        </row>
        <row r="4871">
          <cell r="A4871">
            <v>554260</v>
          </cell>
          <cell r="B4871" t="str">
            <v>WVGD,F/0 1-1/8" DIA #WGF-6 FIBERPLEX INC</v>
          </cell>
          <cell r="C4871" t="str">
            <v>EA</v>
          </cell>
          <cell r="D4871" t="str">
            <v>RM100</v>
          </cell>
          <cell r="E4871">
            <v>145.19999999999999</v>
          </cell>
          <cell r="G4871">
            <v>554260</v>
          </cell>
        </row>
        <row r="4872">
          <cell r="A4872">
            <v>554326</v>
          </cell>
          <cell r="B4872" t="str">
            <v>WVGD,FBROPTIC 1-1/8" FIBERPLEX WGF-4*</v>
          </cell>
          <cell r="C4872" t="str">
            <v>EA</v>
          </cell>
          <cell r="D4872" t="str">
            <v>RM100</v>
          </cell>
          <cell r="E4872">
            <v>73</v>
          </cell>
          <cell r="G4872">
            <v>554326</v>
          </cell>
        </row>
        <row r="4873">
          <cell r="A4873">
            <v>554405</v>
          </cell>
          <cell r="B4873" t="str">
            <v>PLUNGER,BALL,10LB,3/8-16,McM#8686A222</v>
          </cell>
          <cell r="C4873" t="str">
            <v>EA</v>
          </cell>
          <cell r="D4873" t="str">
            <v>RM100</v>
          </cell>
          <cell r="E4873">
            <v>15.05</v>
          </cell>
          <cell r="G4873">
            <v>554405</v>
          </cell>
        </row>
        <row r="4874">
          <cell r="A4874">
            <v>554539</v>
          </cell>
          <cell r="B4874" t="str">
            <v>NPL,BR,4 DIA X 10 LG FULL  NPSL/NPT ENDS</v>
          </cell>
          <cell r="C4874" t="str">
            <v>EA</v>
          </cell>
          <cell r="D4874" t="str">
            <v>RM100</v>
          </cell>
          <cell r="E4874">
            <v>162.52000000000001</v>
          </cell>
          <cell r="G4874">
            <v>554539</v>
          </cell>
        </row>
        <row r="4875">
          <cell r="A4875">
            <v>554604</v>
          </cell>
          <cell r="B4875" t="str">
            <v>TUBING,AL 6061 RND .035"X1/4"ODX6FT MCM*</v>
          </cell>
          <cell r="C4875" t="str">
            <v>FT</v>
          </cell>
          <cell r="D4875" t="str">
            <v>RM100</v>
          </cell>
          <cell r="E4875">
            <v>3.28</v>
          </cell>
          <cell r="G4875">
            <v>554604</v>
          </cell>
        </row>
        <row r="4876">
          <cell r="A4876">
            <v>554606</v>
          </cell>
          <cell r="B4876" t="str">
            <v>TUBE,CU TYPE L 1-1/4" NOM DIA X 10'*</v>
          </cell>
          <cell r="C4876" t="str">
            <v>FT</v>
          </cell>
          <cell r="D4876" t="str">
            <v>RM100</v>
          </cell>
          <cell r="E4876">
            <v>5.8049999999999997</v>
          </cell>
          <cell r="G4876">
            <v>554606</v>
          </cell>
        </row>
        <row r="4877">
          <cell r="A4877">
            <v>554666</v>
          </cell>
          <cell r="B4877" t="str">
            <v>NPL,1/4 TO 1/8 HEX NPL FTNG MCM#5485K31</v>
          </cell>
          <cell r="C4877" t="str">
            <v>EA</v>
          </cell>
          <cell r="D4877" t="str">
            <v>RM100</v>
          </cell>
          <cell r="E4877">
            <v>1.98</v>
          </cell>
          <cell r="G4877">
            <v>554666</v>
          </cell>
        </row>
        <row r="4878">
          <cell r="A4878">
            <v>554772</v>
          </cell>
          <cell r="B4878" t="str">
            <v>WVGD,FBROPTIC FIBERPLEX WGF-12 1-5/8 DIA</v>
          </cell>
          <cell r="C4878" t="str">
            <v>EA</v>
          </cell>
          <cell r="D4878" t="str">
            <v>RM100</v>
          </cell>
          <cell r="E4878">
            <v>214</v>
          </cell>
          <cell r="G4878">
            <v>554772</v>
          </cell>
        </row>
        <row r="4879">
          <cell r="A4879">
            <v>554986</v>
          </cell>
          <cell r="B4879" t="str">
            <v>OBSOLETE</v>
          </cell>
          <cell r="C4879" t="str">
            <v>EA</v>
          </cell>
          <cell r="D4879" t="str">
            <v>RM100</v>
          </cell>
          <cell r="E4879">
            <v>0.97</v>
          </cell>
          <cell r="G4879">
            <v>554986</v>
          </cell>
        </row>
        <row r="4880">
          <cell r="A4880">
            <v>600000</v>
          </cell>
          <cell r="B4880" t="str">
            <v>ROLLER,PAINT 9" 3/8 NAP</v>
          </cell>
          <cell r="C4880" t="str">
            <v>EA</v>
          </cell>
          <cell r="D4880" t="str">
            <v>RM100</v>
          </cell>
          <cell r="E4880">
            <v>1.59</v>
          </cell>
          <cell r="G4880">
            <v>600000</v>
          </cell>
        </row>
        <row r="4881">
          <cell r="A4881">
            <v>600001</v>
          </cell>
          <cell r="B4881" t="str">
            <v>HNDL,PAINT ROLLER 9" HVY DUTY#12945</v>
          </cell>
          <cell r="C4881" t="str">
            <v>EA</v>
          </cell>
          <cell r="D4881" t="str">
            <v>RM100</v>
          </cell>
          <cell r="E4881">
            <v>2.08</v>
          </cell>
          <cell r="G4881">
            <v>600001</v>
          </cell>
        </row>
        <row r="4882">
          <cell r="A4882">
            <v>600003</v>
          </cell>
          <cell r="B4882" t="str">
            <v>ROLLER, 9" 3/16" NAP (Ace# 1306604)</v>
          </cell>
          <cell r="C4882" t="str">
            <v>EA</v>
          </cell>
          <cell r="D4882" t="str">
            <v>RM100</v>
          </cell>
          <cell r="E4882">
            <v>2.9</v>
          </cell>
          <cell r="G4882">
            <v>600003</v>
          </cell>
        </row>
        <row r="4883">
          <cell r="A4883">
            <v>600008</v>
          </cell>
          <cell r="B4883" t="str">
            <v>TRAY,PAINT 9" PLASTIC (Ace#1147537)</v>
          </cell>
          <cell r="C4883" t="str">
            <v>EA</v>
          </cell>
          <cell r="D4883" t="str">
            <v>RM100</v>
          </cell>
          <cell r="E4883">
            <v>0.7</v>
          </cell>
          <cell r="G4883">
            <v>600008</v>
          </cell>
        </row>
        <row r="4884">
          <cell r="A4884">
            <v>600009</v>
          </cell>
          <cell r="B4884" t="str">
            <v>ALUM, FRAME W/19 1/2 X 60 OPENING *</v>
          </cell>
          <cell r="C4884" t="str">
            <v>EA</v>
          </cell>
          <cell r="D4884" t="str">
            <v>RM100</v>
          </cell>
          <cell r="E4884">
            <v>227.5</v>
          </cell>
          <cell r="G4884">
            <v>600009</v>
          </cell>
        </row>
        <row r="4885">
          <cell r="A4885">
            <v>600210</v>
          </cell>
          <cell r="B4885" t="str">
            <v>ANG, EXTRUDER 2X2X5/8 OAK</v>
          </cell>
          <cell r="C4885" t="str">
            <v>FT</v>
          </cell>
          <cell r="D4885" t="str">
            <v>MA100</v>
          </cell>
          <cell r="E4885">
            <v>1.6644399999999999</v>
          </cell>
          <cell r="G4885">
            <v>600210</v>
          </cell>
        </row>
        <row r="4886">
          <cell r="A4886">
            <v>600225</v>
          </cell>
          <cell r="B4886" t="str">
            <v>EXTRDR,3PRG 4-3/4X2X2</v>
          </cell>
          <cell r="C4886" t="str">
            <v>EA</v>
          </cell>
          <cell r="D4886" t="str">
            <v>MA100</v>
          </cell>
          <cell r="E4886">
            <v>46.0535</v>
          </cell>
          <cell r="G4886">
            <v>600225</v>
          </cell>
        </row>
        <row r="4887">
          <cell r="A4887">
            <v>600298</v>
          </cell>
          <cell r="B4887" t="str">
            <v>LAM,NEVAMAR,RUSTIC QRT OAK,#WM8164T 3x8</v>
          </cell>
          <cell r="C4887" t="str">
            <v>SH</v>
          </cell>
          <cell r="D4887" t="str">
            <v>RM100</v>
          </cell>
          <cell r="E4887">
            <v>61.2</v>
          </cell>
          <cell r="G4887">
            <v>600298</v>
          </cell>
        </row>
        <row r="4888">
          <cell r="A4888">
            <v>600303</v>
          </cell>
          <cell r="B4888" t="str">
            <v>LAM,NEVAMAR,RUSTIC QRT OAK,#WM8164T 4x8</v>
          </cell>
          <cell r="C4888" t="str">
            <v>SH</v>
          </cell>
          <cell r="D4888" t="str">
            <v>RM100</v>
          </cell>
          <cell r="E4888">
            <v>81.599999999999994</v>
          </cell>
          <cell r="G4888">
            <v>600303</v>
          </cell>
        </row>
        <row r="4889">
          <cell r="A4889">
            <v>600500</v>
          </cell>
          <cell r="B4889" t="str">
            <v>DOWEL,WD 1/4DIAX36"</v>
          </cell>
          <cell r="C4889" t="str">
            <v>EA</v>
          </cell>
          <cell r="D4889" t="str">
            <v>RM100</v>
          </cell>
          <cell r="E4889">
            <v>0.42159999999999997</v>
          </cell>
          <cell r="G4889">
            <v>600500</v>
          </cell>
        </row>
        <row r="4890">
          <cell r="A4890">
            <v>600502</v>
          </cell>
          <cell r="B4890" t="str">
            <v>OBSOLETE</v>
          </cell>
          <cell r="C4890" t="str">
            <v>EA</v>
          </cell>
          <cell r="D4890" t="str">
            <v>RM100</v>
          </cell>
          <cell r="E4890">
            <v>2.08</v>
          </cell>
          <cell r="G4890">
            <v>600502</v>
          </cell>
        </row>
        <row r="4891">
          <cell r="A4891">
            <v>600503</v>
          </cell>
          <cell r="B4891" t="str">
            <v>MDF, 1/2X49X97,PREMIER GRADE</v>
          </cell>
          <cell r="C4891" t="str">
            <v>SH</v>
          </cell>
          <cell r="D4891" t="str">
            <v>RM100</v>
          </cell>
          <cell r="E4891">
            <v>19.2</v>
          </cell>
          <cell r="G4891">
            <v>600503</v>
          </cell>
        </row>
        <row r="4892">
          <cell r="A4892">
            <v>600504</v>
          </cell>
          <cell r="B4892" t="str">
            <v>MDF, 1/2x49x97 45# W/SAW CUT</v>
          </cell>
          <cell r="C4892" t="str">
            <v>SH</v>
          </cell>
          <cell r="D4892" t="str">
            <v>MA100</v>
          </cell>
          <cell r="E4892">
            <v>24.965</v>
          </cell>
          <cell r="G4892">
            <v>600504</v>
          </cell>
        </row>
        <row r="4893">
          <cell r="A4893">
            <v>600507</v>
          </cell>
          <cell r="B4893" t="str">
            <v>OBSOLETE</v>
          </cell>
          <cell r="C4893" t="str">
            <v>EA</v>
          </cell>
          <cell r="D4893" t="str">
            <v>RM100</v>
          </cell>
          <cell r="E4893">
            <v>3.3</v>
          </cell>
          <cell r="G4893">
            <v>600507</v>
          </cell>
        </row>
        <row r="4894">
          <cell r="A4894">
            <v>600534</v>
          </cell>
          <cell r="B4894" t="str">
            <v>P/T  FRAMING 1-3/4"X1-3/4"X44-3/4" MRI</v>
          </cell>
          <cell r="C4894" t="str">
            <v>EA</v>
          </cell>
          <cell r="D4894" t="str">
            <v>MA100</v>
          </cell>
          <cell r="E4894">
            <v>2.81765</v>
          </cell>
          <cell r="G4894">
            <v>600534</v>
          </cell>
        </row>
        <row r="4895">
          <cell r="A4895">
            <v>600545</v>
          </cell>
          <cell r="B4895" t="str">
            <v>WOOD,JOINING PLATE#20,3/16X1X2-3/8"</v>
          </cell>
          <cell r="C4895" t="str">
            <v>EA</v>
          </cell>
          <cell r="D4895" t="str">
            <v>RM100</v>
          </cell>
          <cell r="E4895">
            <v>3.0849999999999999E-2</v>
          </cell>
          <cell r="G4895">
            <v>600545</v>
          </cell>
        </row>
        <row r="4896">
          <cell r="A4896">
            <v>600551</v>
          </cell>
          <cell r="B4896" t="str">
            <v>DRP CLNG,MAIN RUNR 12'ALUM AX26-050 WHT*</v>
          </cell>
          <cell r="C4896" t="str">
            <v>EA</v>
          </cell>
          <cell r="D4896" t="str">
            <v>RM100</v>
          </cell>
          <cell r="E4896">
            <v>13.26</v>
          </cell>
          <cell r="G4896">
            <v>600551</v>
          </cell>
        </row>
        <row r="4897">
          <cell r="A4897">
            <v>600552</v>
          </cell>
          <cell r="B4897" t="str">
            <v>DRP CLNG,CROS-T 4'ALM,WHT AX24-050*</v>
          </cell>
          <cell r="C4897" t="str">
            <v>EA</v>
          </cell>
          <cell r="D4897" t="str">
            <v>RM100</v>
          </cell>
          <cell r="E4897">
            <v>4.8887999999999998</v>
          </cell>
          <cell r="G4897">
            <v>600552</v>
          </cell>
        </row>
        <row r="4898">
          <cell r="A4898">
            <v>600553</v>
          </cell>
          <cell r="B4898" t="str">
            <v>DRP CLNG,WALL ANG 12'ALM WHT 3/4"x7/8"*</v>
          </cell>
          <cell r="C4898" t="str">
            <v>EA</v>
          </cell>
          <cell r="D4898" t="str">
            <v>RM100</v>
          </cell>
          <cell r="E4898">
            <v>12.587999999999999</v>
          </cell>
          <cell r="G4898">
            <v>600553</v>
          </cell>
        </row>
        <row r="4899">
          <cell r="A4899">
            <v>600556</v>
          </cell>
          <cell r="B4899" t="str">
            <v>DURASAN,BD STIPPLE OFF WHITE 1/2X48X120"</v>
          </cell>
          <cell r="C4899" t="str">
            <v>SH</v>
          </cell>
          <cell r="D4899" t="str">
            <v>RM100</v>
          </cell>
          <cell r="E4899">
            <v>46</v>
          </cell>
          <cell r="G4899">
            <v>600556</v>
          </cell>
        </row>
        <row r="4900">
          <cell r="A4900">
            <v>600561</v>
          </cell>
          <cell r="B4900" t="str">
            <v>DURASAN,CRNR OUT STPL OFF WHT 10' *</v>
          </cell>
          <cell r="C4900" t="str">
            <v>FT</v>
          </cell>
          <cell r="D4900" t="str">
            <v>RM100</v>
          </cell>
          <cell r="E4900">
            <v>1.2134</v>
          </cell>
          <cell r="G4900">
            <v>600561</v>
          </cell>
        </row>
        <row r="4901">
          <cell r="A4901">
            <v>600621</v>
          </cell>
          <cell r="B4901" t="str">
            <v>RED OAK,4/4 RANDOM WD, S2S-5/8" (SELECT)</v>
          </cell>
          <cell r="C4901" t="str">
            <v>BF</v>
          </cell>
          <cell r="D4901" t="str">
            <v>RM100</v>
          </cell>
          <cell r="E4901">
            <v>2.2000000000000002</v>
          </cell>
          <cell r="G4901">
            <v>600621</v>
          </cell>
        </row>
        <row r="4902">
          <cell r="A4902">
            <v>600626</v>
          </cell>
          <cell r="B4902" t="str">
            <v>BLOCKBOARD PLYWD,2X48X96 DOOR STK.[MIN]</v>
          </cell>
          <cell r="C4902" t="str">
            <v>EA</v>
          </cell>
          <cell r="D4902" t="str">
            <v>RM100</v>
          </cell>
          <cell r="E4902">
            <v>170.25</v>
          </cell>
          <cell r="G4902">
            <v>600626</v>
          </cell>
        </row>
        <row r="4903">
          <cell r="A4903">
            <v>600627</v>
          </cell>
          <cell r="B4903" t="str">
            <v>BLOCKBOARD PLYWD,2X48X120 DOOR STK.[MIN]</v>
          </cell>
          <cell r="C4903" t="str">
            <v>EA</v>
          </cell>
          <cell r="D4903" t="str">
            <v>MA100</v>
          </cell>
          <cell r="E4903">
            <v>226.11</v>
          </cell>
          <cell r="G4903">
            <v>600627</v>
          </cell>
        </row>
        <row r="4904">
          <cell r="A4904">
            <v>600634</v>
          </cell>
          <cell r="B4904" t="str">
            <v>PLYWD,1/2X48X96" CDX FLAMEPROOF</v>
          </cell>
          <cell r="C4904" t="str">
            <v>SH</v>
          </cell>
          <cell r="D4904" t="str">
            <v>RM100</v>
          </cell>
          <cell r="E4904">
            <v>28.64</v>
          </cell>
          <cell r="G4904">
            <v>600634</v>
          </cell>
        </row>
        <row r="4905">
          <cell r="A4905">
            <v>600636</v>
          </cell>
          <cell r="B4905" t="str">
            <v>OBSOLETE</v>
          </cell>
          <cell r="C4905" t="str">
            <v>SH</v>
          </cell>
          <cell r="D4905" t="str">
            <v>RM100</v>
          </cell>
          <cell r="E4905">
            <v>13.49</v>
          </cell>
          <cell r="G4905">
            <v>600636</v>
          </cell>
        </row>
        <row r="4906">
          <cell r="A4906">
            <v>600639</v>
          </cell>
          <cell r="B4906" t="str">
            <v>PLYWD,3/4x48x96 CDX FLAMEPROOF</v>
          </cell>
          <cell r="C4906" t="str">
            <v>SH</v>
          </cell>
          <cell r="D4906" t="str">
            <v>RM100</v>
          </cell>
          <cell r="E4906">
            <v>43.2</v>
          </cell>
          <cell r="G4906">
            <v>600639</v>
          </cell>
        </row>
        <row r="4907">
          <cell r="A4907">
            <v>600640</v>
          </cell>
          <cell r="B4907" t="str">
            <v>OBSOLETE</v>
          </cell>
          <cell r="C4907" t="str">
            <v>EA</v>
          </cell>
          <cell r="D4907" t="str">
            <v>RM100</v>
          </cell>
          <cell r="E4907">
            <v>2.62</v>
          </cell>
          <cell r="G4907">
            <v>600640</v>
          </cell>
        </row>
        <row r="4908">
          <cell r="A4908">
            <v>600641</v>
          </cell>
          <cell r="B4908" t="str">
            <v>OBSOLETE</v>
          </cell>
          <cell r="C4908" t="str">
            <v>EA</v>
          </cell>
          <cell r="D4908" t="str">
            <v>RM100</v>
          </cell>
          <cell r="E4908">
            <v>1.7</v>
          </cell>
          <cell r="G4908">
            <v>600641</v>
          </cell>
        </row>
        <row r="4909">
          <cell r="A4909">
            <v>600642</v>
          </cell>
          <cell r="B4909" t="str">
            <v>STL,DRYWALL HAT,18GA 1-1/2Dx10'</v>
          </cell>
          <cell r="C4909" t="str">
            <v>EA</v>
          </cell>
          <cell r="D4909" t="str">
            <v>RM100</v>
          </cell>
          <cell r="E4909">
            <v>9.85</v>
          </cell>
          <cell r="G4909">
            <v>600642</v>
          </cell>
        </row>
        <row r="4910">
          <cell r="A4910">
            <v>600648</v>
          </cell>
          <cell r="B4910" t="str">
            <v>D/J LUM,1-3/4"X13"X97"</v>
          </cell>
          <cell r="C4910" t="str">
            <v>EA</v>
          </cell>
          <cell r="D4910" t="str">
            <v>RM100</v>
          </cell>
          <cell r="E4910">
            <v>34.200000000000003</v>
          </cell>
          <cell r="G4910">
            <v>600648</v>
          </cell>
        </row>
        <row r="4911">
          <cell r="A4911">
            <v>600657</v>
          </cell>
          <cell r="B4911" t="str">
            <v>METAL TRK, 1-5/8X1-1/4X10'TRNB-25GA.GAL*</v>
          </cell>
          <cell r="C4911" t="str">
            <v>FT</v>
          </cell>
          <cell r="D4911" t="str">
            <v>RM100</v>
          </cell>
          <cell r="E4911">
            <v>0.37</v>
          </cell>
          <cell r="G4911">
            <v>600657</v>
          </cell>
        </row>
        <row r="4912">
          <cell r="A4912">
            <v>600667</v>
          </cell>
          <cell r="B4912" t="str">
            <v>OBSOLETE</v>
          </cell>
          <cell r="C4912" t="str">
            <v>FT</v>
          </cell>
          <cell r="D4912" t="str">
            <v>RM100</v>
          </cell>
          <cell r="E4912">
            <v>0.74199000000000004</v>
          </cell>
          <cell r="G4912">
            <v>600667</v>
          </cell>
        </row>
        <row r="4913">
          <cell r="A4913">
            <v>600668</v>
          </cell>
          <cell r="B4913" t="str">
            <v>OBSOLETE</v>
          </cell>
          <cell r="C4913" t="str">
            <v>FT</v>
          </cell>
          <cell r="D4913" t="str">
            <v>RM100</v>
          </cell>
          <cell r="E4913">
            <v>0.9214</v>
          </cell>
          <cell r="G4913">
            <v>600668</v>
          </cell>
        </row>
        <row r="4914">
          <cell r="A4914">
            <v>600669</v>
          </cell>
          <cell r="B4914" t="str">
            <v>OBSOLETE</v>
          </cell>
          <cell r="C4914" t="str">
            <v>FT</v>
          </cell>
          <cell r="D4914" t="str">
            <v>RM100</v>
          </cell>
          <cell r="E4914">
            <v>1.34982</v>
          </cell>
          <cell r="G4914">
            <v>600669</v>
          </cell>
        </row>
        <row r="4915">
          <cell r="A4915">
            <v>600680</v>
          </cell>
          <cell r="B4915" t="str">
            <v>LUM, TIMBERSTRAND,1-3/4x1-7/8x145</v>
          </cell>
          <cell r="C4915" t="str">
            <v>EA</v>
          </cell>
          <cell r="D4915" t="str">
            <v>MA100</v>
          </cell>
          <cell r="E4915">
            <v>9.25</v>
          </cell>
          <cell r="G4915">
            <v>600680</v>
          </cell>
        </row>
        <row r="4916">
          <cell r="A4916">
            <v>600681</v>
          </cell>
          <cell r="B4916" t="str">
            <v>LUM, TIMBERSTRAND,1-3/4X2-5/8X145</v>
          </cell>
          <cell r="C4916" t="str">
            <v>EA</v>
          </cell>
          <cell r="D4916" t="str">
            <v>MA100</v>
          </cell>
          <cell r="E4916">
            <v>12.01</v>
          </cell>
          <cell r="G4916">
            <v>600681</v>
          </cell>
        </row>
        <row r="4917">
          <cell r="A4917">
            <v>600682</v>
          </cell>
          <cell r="B4917" t="str">
            <v>LUM, TIMBERSTRAND,1-3/4X3-5/8X145</v>
          </cell>
          <cell r="C4917" t="str">
            <v>EA</v>
          </cell>
          <cell r="D4917" t="str">
            <v>MA100</v>
          </cell>
          <cell r="E4917">
            <v>15</v>
          </cell>
          <cell r="G4917">
            <v>600682</v>
          </cell>
        </row>
        <row r="4918">
          <cell r="A4918">
            <v>600700</v>
          </cell>
          <cell r="B4918" t="str">
            <v>MDF, 1/4X48X96</v>
          </cell>
          <cell r="C4918" t="str">
            <v>SH</v>
          </cell>
          <cell r="D4918" t="str">
            <v>RM100</v>
          </cell>
          <cell r="E4918">
            <v>10.464</v>
          </cell>
          <cell r="G4918">
            <v>600700</v>
          </cell>
        </row>
        <row r="4919">
          <cell r="A4919">
            <v>600701</v>
          </cell>
          <cell r="B4919" t="str">
            <v>MDF, 1/8x48x96</v>
          </cell>
          <cell r="C4919" t="str">
            <v>SH</v>
          </cell>
          <cell r="D4919" t="str">
            <v>RM100</v>
          </cell>
          <cell r="E4919">
            <v>6.1</v>
          </cell>
          <cell r="G4919">
            <v>600701</v>
          </cell>
        </row>
        <row r="4920">
          <cell r="A4920">
            <v>600704</v>
          </cell>
          <cell r="B4920" t="str">
            <v>PNLG,CHESTN 3/16X48X96 CLASS C FLAMESPRD</v>
          </cell>
          <cell r="C4920" t="str">
            <v>SH</v>
          </cell>
          <cell r="D4920" t="str">
            <v>RM100</v>
          </cell>
          <cell r="E4920">
            <v>23.25</v>
          </cell>
          <cell r="G4920">
            <v>600704</v>
          </cell>
        </row>
        <row r="4921">
          <cell r="A4921">
            <v>600706</v>
          </cell>
          <cell r="B4921" t="str">
            <v>BD,HARDIBACKER 1/4"x4  x 8</v>
          </cell>
          <cell r="C4921" t="str">
            <v>SH</v>
          </cell>
          <cell r="D4921" t="str">
            <v>RM100</v>
          </cell>
          <cell r="E4921">
            <v>25.05</v>
          </cell>
          <cell r="G4921">
            <v>600706</v>
          </cell>
        </row>
        <row r="4922">
          <cell r="A4922">
            <v>600711</v>
          </cell>
          <cell r="B4922" t="str">
            <v>BD,HARDIBACKER SIEMENS MONO BLOCKOUT</v>
          </cell>
          <cell r="C4922" t="str">
            <v>EA</v>
          </cell>
          <cell r="D4922" t="str">
            <v>MA100</v>
          </cell>
          <cell r="E4922">
            <v>63.765300000000003</v>
          </cell>
          <cell r="G4922">
            <v>600711</v>
          </cell>
        </row>
        <row r="4923">
          <cell r="A4923">
            <v>600731</v>
          </cell>
          <cell r="B4923" t="str">
            <v>LUM,2X4 NOM FURRING (FIRE TRTD) X FT*</v>
          </cell>
          <cell r="C4923" t="str">
            <v>FT</v>
          </cell>
          <cell r="D4923" t="str">
            <v>RM100</v>
          </cell>
          <cell r="E4923">
            <v>0.63900000000000001</v>
          </cell>
          <cell r="G4923">
            <v>600731</v>
          </cell>
        </row>
        <row r="4924">
          <cell r="A4924">
            <v>600736</v>
          </cell>
          <cell r="B4924" t="str">
            <v>LUM,LVL FRT.1-3/4X1-5/8X16'-20'</v>
          </cell>
          <cell r="C4924" t="str">
            <v>FT</v>
          </cell>
          <cell r="D4924" t="str">
            <v>RM100</v>
          </cell>
          <cell r="E4924">
            <v>0.69</v>
          </cell>
          <cell r="G4924">
            <v>600736</v>
          </cell>
        </row>
        <row r="4925">
          <cell r="A4925">
            <v>600737</v>
          </cell>
          <cell r="B4925" t="str">
            <v>LUM,LVL FRT.1-3/4X3-1/2X16'-20'</v>
          </cell>
          <cell r="C4925" t="str">
            <v>FT</v>
          </cell>
          <cell r="D4925" t="str">
            <v>RM100</v>
          </cell>
          <cell r="E4925">
            <v>1.42</v>
          </cell>
          <cell r="G4925">
            <v>600737</v>
          </cell>
        </row>
        <row r="4926">
          <cell r="A4926">
            <v>600738</v>
          </cell>
          <cell r="B4926" t="str">
            <v>LUM,LVL FRT.1-3/4X5-1/2X16'-20'</v>
          </cell>
          <cell r="C4926" t="str">
            <v>FT</v>
          </cell>
          <cell r="D4926" t="str">
            <v>RM100</v>
          </cell>
          <cell r="E4926">
            <v>2.15</v>
          </cell>
          <cell r="G4926">
            <v>600738</v>
          </cell>
        </row>
        <row r="4927">
          <cell r="A4927">
            <v>600740</v>
          </cell>
          <cell r="B4927" t="str">
            <v>LUM, LVL BEAM 1-3/4 X 14 X 20'-0</v>
          </cell>
          <cell r="C4927" t="str">
            <v>EA</v>
          </cell>
          <cell r="D4927" t="str">
            <v>RM100</v>
          </cell>
          <cell r="E4927">
            <v>110.2</v>
          </cell>
          <cell r="G4927">
            <v>600740</v>
          </cell>
        </row>
        <row r="4928">
          <cell r="A4928">
            <v>600741</v>
          </cell>
          <cell r="B4928" t="str">
            <v>LUM, LVL BEAM 1-1/2 X 5-1/2 X FT UN-TRTD</v>
          </cell>
          <cell r="C4928" t="str">
            <v>FT</v>
          </cell>
          <cell r="D4928" t="str">
            <v>MA100</v>
          </cell>
          <cell r="E4928">
            <v>2.42</v>
          </cell>
          <cell r="G4928">
            <v>600741</v>
          </cell>
        </row>
        <row r="4929">
          <cell r="A4929">
            <v>600890</v>
          </cell>
          <cell r="B4929" t="str">
            <v>PLYWD,1/4X48X96"LUAN</v>
          </cell>
          <cell r="C4929" t="str">
            <v>SH</v>
          </cell>
          <cell r="D4929" t="str">
            <v>RM100</v>
          </cell>
          <cell r="E4929">
            <v>13.25</v>
          </cell>
          <cell r="G4929">
            <v>600890</v>
          </cell>
        </row>
        <row r="4930">
          <cell r="A4930">
            <v>600901</v>
          </cell>
          <cell r="B4930" t="str">
            <v>PLYWD,3/8X48X96 AC</v>
          </cell>
          <cell r="C4930" t="str">
            <v>SH</v>
          </cell>
          <cell r="D4930" t="str">
            <v>RM100</v>
          </cell>
          <cell r="E4930">
            <v>20.13</v>
          </cell>
          <cell r="G4930">
            <v>600901</v>
          </cell>
        </row>
        <row r="4931">
          <cell r="A4931">
            <v>600902</v>
          </cell>
          <cell r="B4931" t="str">
            <v>OBSOLETE</v>
          </cell>
          <cell r="C4931" t="str">
            <v>SH</v>
          </cell>
          <cell r="D4931" t="str">
            <v>RM100</v>
          </cell>
          <cell r="E4931">
            <v>16.927949999999999</v>
          </cell>
          <cell r="G4931">
            <v>600902</v>
          </cell>
        </row>
        <row r="4932">
          <cell r="A4932">
            <v>600906</v>
          </cell>
          <cell r="B4932" t="str">
            <v>PLYWD,3/4X48X96 ACX(44 SH)</v>
          </cell>
          <cell r="C4932" t="str">
            <v>SH</v>
          </cell>
          <cell r="D4932" t="str">
            <v>RM100</v>
          </cell>
          <cell r="E4932">
            <v>35.807949999999998</v>
          </cell>
          <cell r="G4932">
            <v>600906</v>
          </cell>
        </row>
        <row r="4933">
          <cell r="A4933">
            <v>600913</v>
          </cell>
          <cell r="B4933" t="str">
            <v>PLYWD,3/4X48X120 ACX(44/UNIT)</v>
          </cell>
          <cell r="C4933" t="str">
            <v>SH</v>
          </cell>
          <cell r="D4933" t="str">
            <v>RM100</v>
          </cell>
          <cell r="E4933">
            <v>77</v>
          </cell>
          <cell r="G4933">
            <v>600913</v>
          </cell>
        </row>
        <row r="4934">
          <cell r="A4934">
            <v>601060</v>
          </cell>
          <cell r="B4934" t="str">
            <v>COLLAR,CANVAS FOR 12"X12" WGAV</v>
          </cell>
          <cell r="C4934" t="str">
            <v>EA</v>
          </cell>
          <cell r="D4934" t="str">
            <v>MA100</v>
          </cell>
          <cell r="E4934">
            <v>39.034999990000003</v>
          </cell>
          <cell r="G4934">
            <v>601060</v>
          </cell>
        </row>
        <row r="4935">
          <cell r="A4935">
            <v>601064</v>
          </cell>
          <cell r="B4935" t="str">
            <v>COLLAR,CANVAS FOR 18"X18" WGAV</v>
          </cell>
          <cell r="C4935" t="str">
            <v>EA</v>
          </cell>
          <cell r="D4935" t="str">
            <v>MA100</v>
          </cell>
          <cell r="E4935">
            <v>33.314999999999998</v>
          </cell>
          <cell r="G4935">
            <v>601064</v>
          </cell>
        </row>
        <row r="4936">
          <cell r="A4936">
            <v>601066</v>
          </cell>
          <cell r="B4936" t="str">
            <v>COLLAR,CANVAS FOR 24"X24" WGAV</v>
          </cell>
          <cell r="C4936" t="str">
            <v>EA</v>
          </cell>
          <cell r="D4936" t="str">
            <v>MA100</v>
          </cell>
          <cell r="E4936">
            <v>0</v>
          </cell>
          <cell r="G4936">
            <v>601066</v>
          </cell>
        </row>
        <row r="4937">
          <cell r="A4937">
            <v>601636</v>
          </cell>
          <cell r="B4937" t="str">
            <v>OSB,5/8"X48"X96"</v>
          </cell>
          <cell r="C4937" t="str">
            <v>SH</v>
          </cell>
          <cell r="D4937" t="str">
            <v>RM100</v>
          </cell>
          <cell r="E4937">
            <v>13.09</v>
          </cell>
          <cell r="G4937">
            <v>601636</v>
          </cell>
        </row>
        <row r="4938">
          <cell r="A4938">
            <v>601639</v>
          </cell>
          <cell r="B4938" t="str">
            <v>PLYWD,SPACER 3"X3"X3/4" FIRETREATED</v>
          </cell>
          <cell r="C4938" t="str">
            <v>EA</v>
          </cell>
          <cell r="D4938" t="str">
            <v>RM100</v>
          </cell>
          <cell r="E4938">
            <v>0.57650000000000001</v>
          </cell>
          <cell r="G4938">
            <v>601639</v>
          </cell>
        </row>
        <row r="4939">
          <cell r="A4939">
            <v>601640</v>
          </cell>
          <cell r="B4939" t="str">
            <v>OBSOLETE</v>
          </cell>
          <cell r="C4939" t="str">
            <v>EA</v>
          </cell>
          <cell r="D4939" t="str">
            <v>RM100</v>
          </cell>
          <cell r="E4939">
            <v>4.13</v>
          </cell>
          <cell r="G4939">
            <v>601640</v>
          </cell>
        </row>
        <row r="4940">
          <cell r="A4940">
            <v>601641</v>
          </cell>
          <cell r="B4940" t="str">
            <v>OBSOLETE</v>
          </cell>
          <cell r="C4940" t="str">
            <v>EA</v>
          </cell>
          <cell r="D4940" t="str">
            <v>RM100</v>
          </cell>
          <cell r="E4940">
            <v>3.17</v>
          </cell>
          <cell r="G4940">
            <v>601641</v>
          </cell>
        </row>
        <row r="4941">
          <cell r="A4941">
            <v>601642</v>
          </cell>
          <cell r="B4941" t="str">
            <v>LUM,CRATING 2X4X12' (#2&amp;Btr)</v>
          </cell>
          <cell r="C4941" t="str">
            <v>EA</v>
          </cell>
          <cell r="D4941" t="str">
            <v>MA100</v>
          </cell>
          <cell r="E4941">
            <v>4.76</v>
          </cell>
          <cell r="G4941">
            <v>601642</v>
          </cell>
        </row>
        <row r="4942">
          <cell r="A4942">
            <v>602402</v>
          </cell>
          <cell r="B4942" t="str">
            <v>FRM,PLYWD CBL DUCT 10"x45"X.5THK*</v>
          </cell>
          <cell r="C4942" t="str">
            <v>EA</v>
          </cell>
          <cell r="D4942" t="str">
            <v>MA100</v>
          </cell>
          <cell r="E4942">
            <v>42.780999999999999</v>
          </cell>
          <cell r="G4942">
            <v>602402</v>
          </cell>
        </row>
        <row r="4943">
          <cell r="A4943">
            <v>604010</v>
          </cell>
          <cell r="B4943" t="str">
            <v>PANEL,CLG PERF,W/PWD CT,ACCOUSTIC 2X4*</v>
          </cell>
          <cell r="C4943" t="str">
            <v>EA</v>
          </cell>
          <cell r="D4943" t="str">
            <v>RM100</v>
          </cell>
          <cell r="E4943">
            <v>107.20511999999999</v>
          </cell>
          <cell r="G4943">
            <v>604010</v>
          </cell>
        </row>
        <row r="4944">
          <cell r="A4944">
            <v>604070</v>
          </cell>
          <cell r="B4944" t="str">
            <v>VENEER,BIRCH,4'X8' POLY BK ROTARY W/SEAM</v>
          </cell>
          <cell r="C4944" t="str">
            <v>EA</v>
          </cell>
          <cell r="D4944" t="str">
            <v>RM100</v>
          </cell>
          <cell r="E4944">
            <v>86.4</v>
          </cell>
          <cell r="G4944">
            <v>604070</v>
          </cell>
        </row>
        <row r="4945">
          <cell r="A4945">
            <v>604071</v>
          </cell>
          <cell r="B4945" t="str">
            <v>VENEER,REDOAK 4'X8' POLY BK FLAT CUT</v>
          </cell>
          <cell r="C4945" t="str">
            <v>EA</v>
          </cell>
          <cell r="D4945" t="str">
            <v>RM100</v>
          </cell>
          <cell r="E4945">
            <v>56.55</v>
          </cell>
          <cell r="G4945">
            <v>604071</v>
          </cell>
        </row>
        <row r="4946">
          <cell r="A4946">
            <v>604072</v>
          </cell>
          <cell r="B4946" t="str">
            <v>VENEER,CHERRY,4'X8' POLY BK FLAT CUT</v>
          </cell>
          <cell r="C4946" t="str">
            <v>EA</v>
          </cell>
          <cell r="D4946" t="str">
            <v>RM100</v>
          </cell>
          <cell r="E4946">
            <v>91.2</v>
          </cell>
          <cell r="G4946">
            <v>604072</v>
          </cell>
        </row>
        <row r="4947">
          <cell r="A4947">
            <v>604073</v>
          </cell>
          <cell r="B4947" t="str">
            <v>VENEER,MAPLE,4'X8' POLY BK FLAT CUT</v>
          </cell>
          <cell r="C4947" t="str">
            <v>EA</v>
          </cell>
          <cell r="D4947" t="str">
            <v>RM100</v>
          </cell>
          <cell r="E4947">
            <v>86.4</v>
          </cell>
          <cell r="G4947">
            <v>604073</v>
          </cell>
        </row>
        <row r="4948">
          <cell r="A4948">
            <v>604080</v>
          </cell>
          <cell r="B4948" t="str">
            <v>LAM, FORMICA (STANDARD OR POST)</v>
          </cell>
          <cell r="C4948" t="str">
            <v>EA</v>
          </cell>
          <cell r="D4948" t="str">
            <v>RM100</v>
          </cell>
          <cell r="E4948">
            <v>76.48</v>
          </cell>
          <cell r="G4948">
            <v>604080</v>
          </cell>
        </row>
        <row r="4949">
          <cell r="A4949">
            <v>604081</v>
          </cell>
          <cell r="B4949" t="str">
            <v>LAM, PIONITE (STANDARD OR POST)</v>
          </cell>
          <cell r="C4949" t="str">
            <v>EA</v>
          </cell>
          <cell r="D4949" t="str">
            <v>RM100</v>
          </cell>
          <cell r="E4949">
            <v>86.08</v>
          </cell>
          <cell r="G4949">
            <v>604081</v>
          </cell>
        </row>
        <row r="4950">
          <cell r="A4950">
            <v>604082</v>
          </cell>
          <cell r="B4950" t="str">
            <v>LAM, NEVAMAR (STANDARD OR POST)</v>
          </cell>
          <cell r="C4950" t="str">
            <v>EA</v>
          </cell>
          <cell r="D4950" t="str">
            <v>RM100</v>
          </cell>
          <cell r="E4950">
            <v>75.2</v>
          </cell>
          <cell r="G4950">
            <v>604082</v>
          </cell>
        </row>
        <row r="4951">
          <cell r="A4951">
            <v>604083</v>
          </cell>
          <cell r="B4951" t="str">
            <v>LAM, WILSONART (STANDARD OR POST)</v>
          </cell>
          <cell r="C4951" t="str">
            <v>EA</v>
          </cell>
          <cell r="D4951" t="str">
            <v>RM100</v>
          </cell>
          <cell r="E4951">
            <v>72</v>
          </cell>
          <cell r="G4951">
            <v>604083</v>
          </cell>
        </row>
        <row r="4952">
          <cell r="A4952">
            <v>604084</v>
          </cell>
          <cell r="B4952" t="str">
            <v>OBSOLETE</v>
          </cell>
          <cell r="C4952" t="str">
            <v>EA</v>
          </cell>
          <cell r="D4952" t="str">
            <v>RM100</v>
          </cell>
          <cell r="E4952">
            <v>52.8</v>
          </cell>
          <cell r="G4952">
            <v>604084</v>
          </cell>
        </row>
        <row r="4953">
          <cell r="A4953">
            <v>604085</v>
          </cell>
          <cell r="B4953" t="str">
            <v>OBSOLETE</v>
          </cell>
          <cell r="C4953" t="str">
            <v>EA</v>
          </cell>
          <cell r="D4953" t="str">
            <v>RM100</v>
          </cell>
          <cell r="E4953">
            <v>49.39</v>
          </cell>
          <cell r="G4953">
            <v>604085</v>
          </cell>
        </row>
        <row r="4954">
          <cell r="A4954">
            <v>604086</v>
          </cell>
          <cell r="B4954" t="str">
            <v>OBSOLETE</v>
          </cell>
          <cell r="C4954" t="str">
            <v>EA</v>
          </cell>
          <cell r="D4954" t="str">
            <v>RM100</v>
          </cell>
          <cell r="E4954">
            <v>57.6</v>
          </cell>
          <cell r="G4954">
            <v>604086</v>
          </cell>
        </row>
        <row r="4955">
          <cell r="A4955">
            <v>604088</v>
          </cell>
          <cell r="B4955" t="str">
            <v>OBSOLETE</v>
          </cell>
          <cell r="C4955" t="str">
            <v>EA</v>
          </cell>
          <cell r="D4955" t="str">
            <v>RM100</v>
          </cell>
          <cell r="E4955">
            <v>48</v>
          </cell>
          <cell r="G4955">
            <v>604088</v>
          </cell>
        </row>
        <row r="4956">
          <cell r="A4956">
            <v>604153</v>
          </cell>
          <cell r="B4956" t="str">
            <v>LAM,FORM BRUSHED ALUM 1.5X96 DJ TRIM</v>
          </cell>
          <cell r="C4956" t="str">
            <v>EA</v>
          </cell>
          <cell r="D4956" t="str">
            <v>RM100</v>
          </cell>
          <cell r="E4956">
            <v>6.87</v>
          </cell>
          <cell r="G4956">
            <v>604153</v>
          </cell>
        </row>
        <row r="4957">
          <cell r="A4957">
            <v>604290</v>
          </cell>
          <cell r="B4957" t="str">
            <v>COLLAR,MRI P/T 12X12 NOM.*</v>
          </cell>
          <cell r="C4957" t="str">
            <v>EA</v>
          </cell>
          <cell r="D4957" t="str">
            <v>MA100</v>
          </cell>
          <cell r="E4957">
            <v>5.0159599999999998</v>
          </cell>
          <cell r="G4957">
            <v>604290</v>
          </cell>
        </row>
        <row r="4958">
          <cell r="A4958">
            <v>604311</v>
          </cell>
          <cell r="B4958" t="str">
            <v>LAM,FORM, WHITE MATTE 4X8XPOST</v>
          </cell>
          <cell r="C4958" t="str">
            <v>SH</v>
          </cell>
          <cell r="D4958" t="str">
            <v>RM100</v>
          </cell>
          <cell r="E4958">
            <v>27.44</v>
          </cell>
          <cell r="G4958">
            <v>604311</v>
          </cell>
        </row>
        <row r="4959">
          <cell r="A4959">
            <v>604312</v>
          </cell>
          <cell r="B4959" t="str">
            <v>LAM,FORM,WHITE MATTE#949-58 5X10XPOST</v>
          </cell>
          <cell r="C4959" t="str">
            <v>EA</v>
          </cell>
          <cell r="D4959" t="str">
            <v>MA100</v>
          </cell>
          <cell r="E4959">
            <v>101.9</v>
          </cell>
          <cell r="G4959">
            <v>604312</v>
          </cell>
        </row>
        <row r="4960">
          <cell r="A4960">
            <v>604392</v>
          </cell>
          <cell r="B4960" t="str">
            <v>FELT,PAPER,30#, 36" x 66.66' (200SQFT)</v>
          </cell>
          <cell r="C4960" t="str">
            <v>RL</v>
          </cell>
          <cell r="D4960" t="str">
            <v>RM100</v>
          </cell>
          <cell r="E4960">
            <v>22.5</v>
          </cell>
          <cell r="G4960">
            <v>604392</v>
          </cell>
        </row>
        <row r="4961">
          <cell r="A4961">
            <v>604411</v>
          </cell>
          <cell r="B4961" t="str">
            <v>DRP CLNG,CROSS-T 2' ALM,WHT AX224-050*</v>
          </cell>
          <cell r="C4961" t="str">
            <v>EA</v>
          </cell>
          <cell r="D4961" t="str">
            <v>RM100</v>
          </cell>
          <cell r="E4961">
            <v>2.444</v>
          </cell>
          <cell r="G4961">
            <v>604411</v>
          </cell>
        </row>
        <row r="4962">
          <cell r="A4962">
            <v>604563</v>
          </cell>
          <cell r="B4962" t="str">
            <v>MLDG, BASE LIGHT GREY 4"X48" W/ TOE</v>
          </cell>
          <cell r="C4962" t="str">
            <v>FT</v>
          </cell>
          <cell r="D4962" t="str">
            <v>RM100</v>
          </cell>
          <cell r="E4962">
            <v>0.34</v>
          </cell>
          <cell r="G4962">
            <v>604563</v>
          </cell>
        </row>
        <row r="4963">
          <cell r="A4963">
            <v>604573</v>
          </cell>
          <cell r="B4963" t="str">
            <v>GLASS,LAM1/4XSF STRGT.CUTEDGE</v>
          </cell>
          <cell r="C4963" t="str">
            <v>SF</v>
          </cell>
          <cell r="D4963" t="str">
            <v>RM100</v>
          </cell>
          <cell r="E4963">
            <v>5.6</v>
          </cell>
          <cell r="G4963">
            <v>604573</v>
          </cell>
        </row>
        <row r="4964">
          <cell r="A4964">
            <v>604613</v>
          </cell>
          <cell r="B4964" t="str">
            <v>SCR,1/4-20X1-1/2 PN PH STL ZN TYPE A</v>
          </cell>
          <cell r="C4964" t="str">
            <v>EA</v>
          </cell>
          <cell r="D4964" t="str">
            <v>RM100</v>
          </cell>
          <cell r="E4964">
            <v>6.2399999999999997E-2</v>
          </cell>
          <cell r="G4964">
            <v>604613</v>
          </cell>
        </row>
        <row r="4965">
          <cell r="A4965">
            <v>604621</v>
          </cell>
          <cell r="B4965" t="str">
            <v>DURASAN,CAP END J STPL OFF WHT 1/2x10'</v>
          </cell>
          <cell r="C4965" t="str">
            <v>EA</v>
          </cell>
          <cell r="D4965" t="str">
            <v>RM100</v>
          </cell>
          <cell r="E4965">
            <v>12</v>
          </cell>
          <cell r="G4965">
            <v>604621</v>
          </cell>
        </row>
        <row r="4966">
          <cell r="A4966">
            <v>604702</v>
          </cell>
          <cell r="B4966" t="str">
            <v>DURASAN,DVDR STPL OFF WHT 1/2X10'</v>
          </cell>
          <cell r="C4966" t="str">
            <v>EA</v>
          </cell>
          <cell r="D4966" t="str">
            <v>RM100</v>
          </cell>
          <cell r="E4966">
            <v>12</v>
          </cell>
          <cell r="G4966">
            <v>604702</v>
          </cell>
        </row>
        <row r="4967">
          <cell r="A4967">
            <v>604726</v>
          </cell>
          <cell r="B4967" t="str">
            <v>VINYL,BARRIER ACOU 54x60' EAR WB-10 *</v>
          </cell>
          <cell r="C4967" t="str">
            <v>FT</v>
          </cell>
          <cell r="D4967" t="str">
            <v>RM100</v>
          </cell>
          <cell r="E4967">
            <v>3.96</v>
          </cell>
          <cell r="G4967">
            <v>604726</v>
          </cell>
        </row>
        <row r="4968">
          <cell r="A4968">
            <v>604758</v>
          </cell>
          <cell r="B4968" t="str">
            <v>GRILL,24X24-8"RD SUPPLY WHT/ALUM 4-WAY*</v>
          </cell>
          <cell r="C4968" t="str">
            <v>EA</v>
          </cell>
          <cell r="D4968" t="str">
            <v>RM100</v>
          </cell>
          <cell r="E4968">
            <v>66</v>
          </cell>
          <cell r="G4968">
            <v>604758</v>
          </cell>
        </row>
        <row r="4969">
          <cell r="A4969">
            <v>604760</v>
          </cell>
          <cell r="B4969" t="str">
            <v>GRILL,24x24-8"RD RET WHT ALUM 7000R-6</v>
          </cell>
          <cell r="C4969" t="str">
            <v>EA</v>
          </cell>
          <cell r="D4969" t="str">
            <v>RM100</v>
          </cell>
          <cell r="E4969">
            <v>55</v>
          </cell>
          <cell r="G4969">
            <v>604760</v>
          </cell>
        </row>
        <row r="4970">
          <cell r="A4970">
            <v>604792</v>
          </cell>
          <cell r="B4970" t="str">
            <v>GRILL,ALUM 14X14 RTN AIR WHT</v>
          </cell>
          <cell r="C4970" t="str">
            <v>EA</v>
          </cell>
          <cell r="D4970" t="str">
            <v>RM100</v>
          </cell>
          <cell r="E4970">
            <v>52</v>
          </cell>
          <cell r="G4970">
            <v>604792</v>
          </cell>
        </row>
        <row r="4971">
          <cell r="A4971">
            <v>604824</v>
          </cell>
          <cell r="B4971" t="str">
            <v>TILE,CEILING 2'X2'X5/8" WHT NO REVEAL</v>
          </cell>
          <cell r="C4971" t="str">
            <v>EA</v>
          </cell>
          <cell r="D4971" t="str">
            <v>RM100</v>
          </cell>
          <cell r="E4971">
            <v>1.9119999999999999</v>
          </cell>
          <cell r="G4971">
            <v>604824</v>
          </cell>
        </row>
        <row r="4972">
          <cell r="A4972">
            <v>604880</v>
          </cell>
          <cell r="B4972" t="str">
            <v>TIE,NYLON 36" FOR 11"DIA DUCT 50/ Pkg.</v>
          </cell>
          <cell r="C4972" t="str">
            <v>EA</v>
          </cell>
          <cell r="D4972" t="str">
            <v>RM100</v>
          </cell>
          <cell r="E4972">
            <v>0.55979999999999996</v>
          </cell>
          <cell r="G4972">
            <v>604880</v>
          </cell>
        </row>
        <row r="4973">
          <cell r="A4973">
            <v>604887</v>
          </cell>
          <cell r="B4973" t="str">
            <v>BD,PARTICLE 3/4"x48"x96" 45# DENSITY</v>
          </cell>
          <cell r="C4973" t="str">
            <v>SH</v>
          </cell>
          <cell r="D4973" t="str">
            <v>RM100</v>
          </cell>
          <cell r="E4973">
            <v>17.567969999999999</v>
          </cell>
          <cell r="G4973">
            <v>604887</v>
          </cell>
        </row>
        <row r="4974">
          <cell r="A4974">
            <v>604888</v>
          </cell>
          <cell r="B4974" t="str">
            <v>BD,PART 3/4x47-1/4x120 45# DENSITY*</v>
          </cell>
          <cell r="C4974" t="str">
            <v>SH</v>
          </cell>
          <cell r="D4974" t="str">
            <v>RM100</v>
          </cell>
          <cell r="E4974">
            <v>22.68</v>
          </cell>
          <cell r="G4974">
            <v>604888</v>
          </cell>
        </row>
        <row r="4975">
          <cell r="A4975">
            <v>604947</v>
          </cell>
          <cell r="B4975" t="str">
            <v>LAM,FORM NORTHERN OAK #7152-58 4'x8' STD</v>
          </cell>
          <cell r="C4975" t="str">
            <v>SH</v>
          </cell>
          <cell r="D4975" t="str">
            <v>RM100</v>
          </cell>
          <cell r="E4975">
            <v>75.84</v>
          </cell>
          <cell r="G4975">
            <v>604947</v>
          </cell>
        </row>
        <row r="4976">
          <cell r="A4976">
            <v>604967</v>
          </cell>
          <cell r="B4976" t="str">
            <v>CHNL,HAT FURRING STL 22GAx7/8x2-1/2xFT *</v>
          </cell>
          <cell r="C4976" t="str">
            <v>FT</v>
          </cell>
          <cell r="D4976" t="str">
            <v>RM100</v>
          </cell>
          <cell r="E4976">
            <v>0.35</v>
          </cell>
          <cell r="G4976">
            <v>604967</v>
          </cell>
        </row>
        <row r="4977">
          <cell r="A4977">
            <v>605056</v>
          </cell>
          <cell r="B4977" t="str">
            <v>DURASAN,CRNR IN VNYL STPL OFFWHT 1/2x10'</v>
          </cell>
          <cell r="C4977" t="str">
            <v>EA</v>
          </cell>
          <cell r="D4977" t="str">
            <v>RM100</v>
          </cell>
          <cell r="E4977">
            <v>19</v>
          </cell>
          <cell r="G4977">
            <v>605056</v>
          </cell>
        </row>
        <row r="4978">
          <cell r="A4978">
            <v>605139</v>
          </cell>
          <cell r="B4978" t="str">
            <v>STUD,STL,25GA 1-5/8x1-1/4x12'</v>
          </cell>
          <cell r="C4978" t="str">
            <v>EA</v>
          </cell>
          <cell r="D4978" t="str">
            <v>RM100</v>
          </cell>
          <cell r="E4978">
            <v>4.62</v>
          </cell>
          <cell r="G4978">
            <v>605139</v>
          </cell>
        </row>
        <row r="4979">
          <cell r="A4979">
            <v>605150</v>
          </cell>
          <cell r="B4979" t="str">
            <v>KINGSTUD, 18ga - 3.5X3.5X144</v>
          </cell>
          <cell r="C4979" t="str">
            <v>EA</v>
          </cell>
          <cell r="D4979" t="str">
            <v>RM100</v>
          </cell>
          <cell r="E4979">
            <v>50.17</v>
          </cell>
          <cell r="G4979">
            <v>605150</v>
          </cell>
        </row>
        <row r="4980">
          <cell r="A4980">
            <v>605160</v>
          </cell>
          <cell r="B4980" t="str">
            <v>STUD,STL,25GA 1-5/8X1.25X 10'</v>
          </cell>
          <cell r="C4980" t="str">
            <v>FT</v>
          </cell>
          <cell r="D4980" t="str">
            <v>MA100</v>
          </cell>
          <cell r="E4980">
            <v>0.23400000000000001</v>
          </cell>
          <cell r="G4980">
            <v>605160</v>
          </cell>
        </row>
        <row r="4981">
          <cell r="A4981">
            <v>605183</v>
          </cell>
          <cell r="B4981" t="str">
            <v>OBSOLETE</v>
          </cell>
          <cell r="C4981" t="str">
            <v>EA</v>
          </cell>
          <cell r="D4981" t="str">
            <v>MA100</v>
          </cell>
          <cell r="E4981">
            <v>18.22</v>
          </cell>
          <cell r="G4981">
            <v>605183</v>
          </cell>
        </row>
        <row r="4982">
          <cell r="A4982">
            <v>605184</v>
          </cell>
          <cell r="B4982" t="str">
            <v>OBSOLETE</v>
          </cell>
          <cell r="C4982" t="str">
            <v>EA</v>
          </cell>
          <cell r="D4982" t="str">
            <v>MA100</v>
          </cell>
          <cell r="E4982">
            <v>0</v>
          </cell>
          <cell r="G4982">
            <v>605184</v>
          </cell>
        </row>
        <row r="4983">
          <cell r="A4983">
            <v>605207</v>
          </cell>
          <cell r="B4983" t="str">
            <v>PAD,DAMP,1/4" SHOCK MOUNT 54" x 48" *</v>
          </cell>
          <cell r="C4983" t="str">
            <v>SH</v>
          </cell>
          <cell r="D4983" t="str">
            <v>RM100</v>
          </cell>
          <cell r="E4983">
            <v>1100</v>
          </cell>
          <cell r="G4983">
            <v>605207</v>
          </cell>
        </row>
        <row r="4984">
          <cell r="A4984">
            <v>605270</v>
          </cell>
          <cell r="B4984" t="str">
            <v>BD,PART 3/4x48x120 45# DENSITY*</v>
          </cell>
          <cell r="C4984" t="str">
            <v>SH</v>
          </cell>
          <cell r="D4984" t="str">
            <v>RM100</v>
          </cell>
          <cell r="E4984">
            <v>24.38</v>
          </cell>
          <cell r="G4984">
            <v>605270</v>
          </cell>
        </row>
        <row r="4985">
          <cell r="A4985">
            <v>605301</v>
          </cell>
          <cell r="B4985" t="str">
            <v>POLYBAK PB42 47-7/8X95-7/8X.011</v>
          </cell>
          <cell r="C4985" t="str">
            <v>EA</v>
          </cell>
          <cell r="D4985" t="str">
            <v>RM100</v>
          </cell>
          <cell r="E4985">
            <v>5.25</v>
          </cell>
          <cell r="G4985">
            <v>605301</v>
          </cell>
        </row>
        <row r="4986">
          <cell r="A4986">
            <v>605302</v>
          </cell>
          <cell r="B4986" t="str">
            <v>POLYBAK PB42 47-7/8X119-7/8X.011</v>
          </cell>
          <cell r="C4986" t="str">
            <v>EA</v>
          </cell>
          <cell r="D4986" t="str">
            <v>RM100</v>
          </cell>
          <cell r="E4986">
            <v>6.5</v>
          </cell>
          <cell r="G4986">
            <v>605302</v>
          </cell>
        </row>
        <row r="4987">
          <cell r="A4987">
            <v>605341</v>
          </cell>
          <cell r="B4987" t="str">
            <v>DUCT,8" FLEX 25' W/ 1"THK FGLS INSUL</v>
          </cell>
          <cell r="C4987" t="str">
            <v>FT</v>
          </cell>
          <cell r="D4987" t="str">
            <v>RM100</v>
          </cell>
          <cell r="E4987">
            <v>1.464</v>
          </cell>
          <cell r="G4987">
            <v>605341</v>
          </cell>
        </row>
        <row r="4988">
          <cell r="A4988">
            <v>605488</v>
          </cell>
          <cell r="B4988" t="str">
            <v>TUBE,CU TYPE L 2"NOM DIAX10' MCM#</v>
          </cell>
          <cell r="C4988" t="str">
            <v>EA</v>
          </cell>
          <cell r="D4988" t="str">
            <v>RM100</v>
          </cell>
          <cell r="E4988">
            <v>95.28</v>
          </cell>
          <cell r="G4988">
            <v>605488</v>
          </cell>
        </row>
        <row r="4989">
          <cell r="A4989">
            <v>605532</v>
          </cell>
          <cell r="B4989" t="str">
            <v>DRYWALL,1/2X48X96 TYPE "X" optional</v>
          </cell>
          <cell r="C4989" t="str">
            <v>SH</v>
          </cell>
          <cell r="D4989" t="str">
            <v>RM100</v>
          </cell>
          <cell r="E4989">
            <v>10.34</v>
          </cell>
          <cell r="G4989">
            <v>605532</v>
          </cell>
        </row>
        <row r="4990">
          <cell r="A4990">
            <v>605630</v>
          </cell>
          <cell r="B4990" t="str">
            <v>BD,PART, 5/8x49x97,42 LB DENSITY</v>
          </cell>
          <cell r="C4990" t="str">
            <v>EA</v>
          </cell>
          <cell r="D4990" t="str">
            <v>RM100</v>
          </cell>
          <cell r="E4990">
            <v>15.08</v>
          </cell>
          <cell r="G4990">
            <v>605630</v>
          </cell>
        </row>
        <row r="4991">
          <cell r="A4991">
            <v>605647</v>
          </cell>
          <cell r="B4991" t="str">
            <v>SKIN,ANN ARBOR BIRCH,48X96X5MM G-P*</v>
          </cell>
          <cell r="C4991" t="str">
            <v>SH</v>
          </cell>
          <cell r="D4991" t="str">
            <v>RM100</v>
          </cell>
          <cell r="E4991">
            <v>25.12</v>
          </cell>
          <cell r="G4991">
            <v>605647</v>
          </cell>
        </row>
        <row r="4992">
          <cell r="A4992">
            <v>605752</v>
          </cell>
          <cell r="B4992" t="str">
            <v>VIBRATION,CONTROL HNGR W/SPRING 3/8"*</v>
          </cell>
          <cell r="C4992" t="str">
            <v>EA</v>
          </cell>
          <cell r="D4992" t="str">
            <v>RM100</v>
          </cell>
          <cell r="E4992">
            <v>25.49</v>
          </cell>
          <cell r="G4992">
            <v>605752</v>
          </cell>
        </row>
        <row r="4993">
          <cell r="A4993">
            <v>605931</v>
          </cell>
          <cell r="B4993" t="str">
            <v>STUD TRACK,STL,20GA 3-5/8X10'</v>
          </cell>
          <cell r="C4993" t="str">
            <v>EA</v>
          </cell>
          <cell r="D4993" t="str">
            <v>RM100</v>
          </cell>
          <cell r="E4993">
            <v>4.3600000000000003</v>
          </cell>
          <cell r="G4993">
            <v>605931</v>
          </cell>
        </row>
        <row r="4994">
          <cell r="A4994">
            <v>605935</v>
          </cell>
          <cell r="B4994" t="str">
            <v>STUD,STL,20GA 3-5/8x1-1/4x10'</v>
          </cell>
          <cell r="C4994" t="str">
            <v>EA</v>
          </cell>
          <cell r="D4994" t="str">
            <v>MA100</v>
          </cell>
          <cell r="E4994">
            <v>4.42</v>
          </cell>
          <cell r="G4994">
            <v>605935</v>
          </cell>
        </row>
        <row r="4995">
          <cell r="A4995">
            <v>605961</v>
          </cell>
          <cell r="B4995" t="str">
            <v>BD, LP450, 3/4"X48"X96" T&amp;G</v>
          </cell>
          <cell r="C4995" t="str">
            <v>SH</v>
          </cell>
          <cell r="D4995" t="str">
            <v>RM100</v>
          </cell>
          <cell r="E4995">
            <v>23.68</v>
          </cell>
          <cell r="G4995">
            <v>605961</v>
          </cell>
        </row>
        <row r="4996">
          <cell r="A4996">
            <v>630262</v>
          </cell>
          <cell r="B4996" t="str">
            <v>SWITCH, SPST, BASIC SUBMINI, TERMINALS</v>
          </cell>
          <cell r="C4996" t="str">
            <v>EA</v>
          </cell>
          <cell r="D4996" t="str">
            <v>RM100</v>
          </cell>
          <cell r="E4996">
            <v>1.99</v>
          </cell>
          <cell r="G4996">
            <v>630262</v>
          </cell>
        </row>
        <row r="4997">
          <cell r="A4997">
            <v>650298</v>
          </cell>
          <cell r="B4997" t="str">
            <v>LUBE,2 OZ BTL. "TRI-FLOW" #TF21010</v>
          </cell>
          <cell r="C4997" t="str">
            <v>EA</v>
          </cell>
          <cell r="D4997" t="str">
            <v>RM100</v>
          </cell>
          <cell r="E4997">
            <v>2.95</v>
          </cell>
          <cell r="G4997">
            <v>650298</v>
          </cell>
        </row>
        <row r="4998">
          <cell r="A4998">
            <v>650300</v>
          </cell>
          <cell r="B4998" t="str">
            <v>EPOXY,SIKA22 RESIN LAYER A&amp;B</v>
          </cell>
          <cell r="C4998" t="str">
            <v>EA</v>
          </cell>
          <cell r="D4998" t="str">
            <v>RM100</v>
          </cell>
          <cell r="E4998">
            <v>175</v>
          </cell>
          <cell r="G4998">
            <v>650300</v>
          </cell>
        </row>
        <row r="4999">
          <cell r="A4999">
            <v>650301</v>
          </cell>
          <cell r="B4999" t="str">
            <v>EPOXY,SIKA INJECTION GEL A&amp;B</v>
          </cell>
          <cell r="C4999" t="str">
            <v>EA</v>
          </cell>
          <cell r="D4999" t="str">
            <v>RM100</v>
          </cell>
          <cell r="E4999">
            <v>177</v>
          </cell>
          <cell r="G4999">
            <v>650301</v>
          </cell>
        </row>
        <row r="5000">
          <cell r="A5000">
            <v>650318</v>
          </cell>
          <cell r="B5000" t="str">
            <v>RZ4-T1A - 6 OZ SOLDERING FLUX</v>
          </cell>
          <cell r="C5000" t="str">
            <v>EA</v>
          </cell>
          <cell r="D5000" t="str">
            <v>RM100</v>
          </cell>
          <cell r="E5000">
            <v>6.52</v>
          </cell>
          <cell r="G5000">
            <v>650318</v>
          </cell>
        </row>
        <row r="5001">
          <cell r="A5001">
            <v>650320</v>
          </cell>
          <cell r="B5001" t="str">
            <v>PAINT,DUPONT RAVEN BLK. EFB-504-SO*</v>
          </cell>
          <cell r="C5001" t="str">
            <v>EA</v>
          </cell>
          <cell r="D5001" t="str">
            <v>RM100</v>
          </cell>
          <cell r="E5001">
            <v>12.01</v>
          </cell>
          <cell r="G5001">
            <v>650320</v>
          </cell>
        </row>
        <row r="5002">
          <cell r="A5002">
            <v>650333</v>
          </cell>
          <cell r="B5002" t="str">
            <v>EPOX,SIKA ANCH FIX-1 10oz is 17 cu. in.</v>
          </cell>
          <cell r="C5002" t="str">
            <v>EA</v>
          </cell>
          <cell r="D5002" t="str">
            <v>RM100</v>
          </cell>
          <cell r="E5002">
            <v>16.93</v>
          </cell>
          <cell r="G5002">
            <v>650333</v>
          </cell>
        </row>
        <row r="5003">
          <cell r="A5003">
            <v>650334</v>
          </cell>
          <cell r="B5003" t="str">
            <v>EPOXY, HILTI HIT-RE 500-SD 11.1oz TUBE*</v>
          </cell>
          <cell r="C5003" t="str">
            <v>EA</v>
          </cell>
          <cell r="D5003" t="str">
            <v>RM100</v>
          </cell>
          <cell r="E5003">
            <v>43.8</v>
          </cell>
          <cell r="G5003">
            <v>650334</v>
          </cell>
        </row>
        <row r="5004">
          <cell r="A5004">
            <v>650337</v>
          </cell>
          <cell r="B5004" t="str">
            <v>ARDEX,MC RAPID PRIMER &amp; SEALER BLACK 22#</v>
          </cell>
          <cell r="C5004" t="str">
            <v>EA</v>
          </cell>
          <cell r="D5004" t="str">
            <v>RM100</v>
          </cell>
          <cell r="E5004">
            <v>259.5</v>
          </cell>
          <cell r="G5004">
            <v>650337</v>
          </cell>
        </row>
        <row r="5005">
          <cell r="A5005">
            <v>650338</v>
          </cell>
          <cell r="B5005" t="str">
            <v>ARDEX, K15 SELF LEVELING UNDERLAYMENT</v>
          </cell>
          <cell r="C5005" t="str">
            <v>EA</v>
          </cell>
          <cell r="D5005" t="str">
            <v>RM100</v>
          </cell>
          <cell r="E5005">
            <v>40.25</v>
          </cell>
          <cell r="G5005">
            <v>650338</v>
          </cell>
        </row>
        <row r="5006">
          <cell r="A5006">
            <v>650339</v>
          </cell>
          <cell r="B5006" t="str">
            <v>ARDEX, E25 EMULSION FOR K15</v>
          </cell>
          <cell r="C5006" t="str">
            <v>GA</v>
          </cell>
          <cell r="D5006" t="str">
            <v>RM100</v>
          </cell>
          <cell r="E5006">
            <v>42.9</v>
          </cell>
          <cell r="G5006">
            <v>650339</v>
          </cell>
        </row>
        <row r="5007">
          <cell r="A5007">
            <v>650341</v>
          </cell>
          <cell r="B5007" t="str">
            <v>SAND,GRANUCIL#5040 &lt;1/50" GRAIN 70/PALL</v>
          </cell>
          <cell r="C5007" t="str">
            <v>EA</v>
          </cell>
          <cell r="D5007" t="str">
            <v>RM100</v>
          </cell>
          <cell r="E5007">
            <v>4.62</v>
          </cell>
          <cell r="G5007">
            <v>650341</v>
          </cell>
        </row>
        <row r="5008">
          <cell r="A5008">
            <v>650343</v>
          </cell>
          <cell r="B5008" t="str">
            <v>ARDEX,EP2000 2PART KIT for K15 (150sqft)</v>
          </cell>
          <cell r="C5008" t="str">
            <v>GA</v>
          </cell>
          <cell r="D5008" t="str">
            <v>RM100</v>
          </cell>
          <cell r="E5008">
            <v>133</v>
          </cell>
          <cell r="G5008">
            <v>650343</v>
          </cell>
        </row>
        <row r="5009">
          <cell r="A5009">
            <v>650375</v>
          </cell>
          <cell r="B5009" t="str">
            <v>SLDR, SACX-0307 (.125)</v>
          </cell>
          <cell r="C5009" t="str">
            <v>LB</v>
          </cell>
          <cell r="D5009" t="str">
            <v>RM100</v>
          </cell>
          <cell r="E5009">
            <v>16.93</v>
          </cell>
          <cell r="G5009">
            <v>650375</v>
          </cell>
        </row>
        <row r="5010">
          <cell r="A5010">
            <v>650405</v>
          </cell>
          <cell r="B5010" t="str">
            <v>FLUX,SLDR,JOHNSON,J-33 FOR GALV,1 QUART*</v>
          </cell>
          <cell r="C5010" t="str">
            <v>QT</v>
          </cell>
          <cell r="D5010" t="str">
            <v>RM100</v>
          </cell>
          <cell r="E5010">
            <v>10.31</v>
          </cell>
          <cell r="G5010">
            <v>650405</v>
          </cell>
        </row>
        <row r="5011">
          <cell r="A5011">
            <v>651001</v>
          </cell>
          <cell r="B5011" t="str">
            <v>KIT,MRI DR TEF-LUB SPRAY KIT</v>
          </cell>
          <cell r="C5011" t="str">
            <v>EA</v>
          </cell>
          <cell r="D5011" t="str">
            <v>MA100</v>
          </cell>
          <cell r="E5011">
            <v>3.7376999999999998</v>
          </cell>
          <cell r="G5011">
            <v>651001</v>
          </cell>
        </row>
        <row r="5012">
          <cell r="A5012">
            <v>654010</v>
          </cell>
          <cell r="B5012" t="str">
            <v>CAULK,CLR SIL.(10.1 OZ DAP #18156)</v>
          </cell>
          <cell r="C5012" t="str">
            <v>EA</v>
          </cell>
          <cell r="D5012" t="str">
            <v>RM100</v>
          </cell>
          <cell r="E5012">
            <v>2.4660000000000002</v>
          </cell>
          <cell r="G5012">
            <v>654010</v>
          </cell>
        </row>
        <row r="5013">
          <cell r="A5013">
            <v>654012</v>
          </cell>
          <cell r="B5013" t="str">
            <v>PAINT,CLR ACRYLIC 11-OZ SPRAY (6CN/CS)*</v>
          </cell>
          <cell r="C5013" t="str">
            <v>EA</v>
          </cell>
          <cell r="D5013" t="str">
            <v>RM100</v>
          </cell>
          <cell r="E5013">
            <v>4.9000000000000004</v>
          </cell>
          <cell r="G5013">
            <v>654012</v>
          </cell>
        </row>
        <row r="5014">
          <cell r="A5014">
            <v>654022</v>
          </cell>
          <cell r="B5014" t="str">
            <v>PAINT,FLAT BLACK VPN# 04102</v>
          </cell>
          <cell r="C5014" t="str">
            <v>EA</v>
          </cell>
          <cell r="D5014" t="str">
            <v>RM100</v>
          </cell>
          <cell r="E5014">
            <v>2.36</v>
          </cell>
          <cell r="G5014">
            <v>654022</v>
          </cell>
        </row>
        <row r="5015">
          <cell r="A5015">
            <v>654027</v>
          </cell>
          <cell r="B5015" t="str">
            <v>CLNR,GLASS 19-OZ SPRAY #40A</v>
          </cell>
          <cell r="C5015" t="str">
            <v>EA</v>
          </cell>
          <cell r="D5015" t="str">
            <v>RM100</v>
          </cell>
          <cell r="E5015">
            <v>3.99</v>
          </cell>
          <cell r="G5015">
            <v>654027</v>
          </cell>
        </row>
        <row r="5016">
          <cell r="A5016">
            <v>654031</v>
          </cell>
          <cell r="B5016" t="str">
            <v>OBSOLETE</v>
          </cell>
          <cell r="C5016" t="str">
            <v>EA</v>
          </cell>
          <cell r="D5016" t="str">
            <v>RM100</v>
          </cell>
          <cell r="E5016">
            <v>1.75</v>
          </cell>
          <cell r="G5016">
            <v>654031</v>
          </cell>
        </row>
        <row r="5017">
          <cell r="A5017">
            <v>654032</v>
          </cell>
          <cell r="B5017" t="str">
            <v>BRUSH,FLUX 3/8#NNX1,1/4TO3/8 ACCEPTABLE</v>
          </cell>
          <cell r="C5017" t="str">
            <v>EA</v>
          </cell>
          <cell r="D5017" t="str">
            <v>RM100</v>
          </cell>
          <cell r="E5017">
            <v>0.13292000000000001</v>
          </cell>
          <cell r="G5017">
            <v>654032</v>
          </cell>
        </row>
        <row r="5018">
          <cell r="A5018">
            <v>654093</v>
          </cell>
          <cell r="B5018" t="str">
            <v>STAIN,DYKEM BLK OPAQUE (DYK81724)</v>
          </cell>
          <cell r="C5018" t="str">
            <v>EA</v>
          </cell>
          <cell r="D5018" t="str">
            <v>RM100</v>
          </cell>
          <cell r="E5018">
            <v>47.99</v>
          </cell>
          <cell r="G5018">
            <v>654093</v>
          </cell>
        </row>
        <row r="5019">
          <cell r="A5019">
            <v>654095</v>
          </cell>
          <cell r="B5019" t="str">
            <v>PAINT, METAL PRIMER BLK KF 500</v>
          </cell>
          <cell r="C5019" t="str">
            <v>GA</v>
          </cell>
          <cell r="D5019" t="str">
            <v>RM100</v>
          </cell>
          <cell r="E5019">
            <v>47.63</v>
          </cell>
          <cell r="G5019">
            <v>654095</v>
          </cell>
        </row>
        <row r="5020">
          <cell r="A5020">
            <v>654096</v>
          </cell>
          <cell r="B5020" t="str">
            <v>PAINT, METAL PRIMER BLK X4061-C (AEROSL)</v>
          </cell>
          <cell r="C5020" t="str">
            <v>EA</v>
          </cell>
          <cell r="D5020" t="str">
            <v>RM100</v>
          </cell>
          <cell r="E5020">
            <v>8.99</v>
          </cell>
          <cell r="G5020">
            <v>654096</v>
          </cell>
        </row>
        <row r="5021">
          <cell r="A5021">
            <v>654100</v>
          </cell>
          <cell r="B5021" t="str">
            <v>FireGuard XL95, Coating (5gal pail)</v>
          </cell>
          <cell r="C5021" t="str">
            <v>EA</v>
          </cell>
          <cell r="D5021" t="str">
            <v>MA100</v>
          </cell>
          <cell r="E5021">
            <v>293.24</v>
          </cell>
          <cell r="G5021">
            <v>654100</v>
          </cell>
        </row>
        <row r="5022">
          <cell r="A5022">
            <v>654124</v>
          </cell>
          <cell r="B5022" t="str">
            <v>INSUL,SOUND.BATT R13 12EA 3-1/2x23x93"</v>
          </cell>
          <cell r="C5022" t="str">
            <v>RL</v>
          </cell>
          <cell r="D5022" t="str">
            <v>RM100</v>
          </cell>
          <cell r="E5022">
            <v>42</v>
          </cell>
          <cell r="G5022">
            <v>654124</v>
          </cell>
        </row>
        <row r="5023">
          <cell r="A5023">
            <v>666100</v>
          </cell>
          <cell r="B5023" t="str">
            <v>STEPLADDER, 8' FIBERGLASS 300LB MAX</v>
          </cell>
          <cell r="C5023" t="str">
            <v>EA</v>
          </cell>
          <cell r="D5023" t="str">
            <v>RM100</v>
          </cell>
          <cell r="E5023">
            <v>96.99</v>
          </cell>
          <cell r="G5023">
            <v>666100</v>
          </cell>
        </row>
        <row r="5024">
          <cell r="A5024">
            <v>666101</v>
          </cell>
          <cell r="B5024" t="str">
            <v>STEPLADDER, 10' FIBERGLASS 300LB MAX</v>
          </cell>
          <cell r="C5024" t="str">
            <v>EA</v>
          </cell>
          <cell r="D5024" t="str">
            <v>RM100</v>
          </cell>
          <cell r="E5024">
            <v>140.4</v>
          </cell>
          <cell r="G5024">
            <v>666101</v>
          </cell>
        </row>
        <row r="5025">
          <cell r="A5025">
            <v>666102</v>
          </cell>
          <cell r="B5025" t="str">
            <v>SAWHORSE (2 CT) FOLDABLE, PLST(770 LB)</v>
          </cell>
          <cell r="C5025" t="str">
            <v>EA</v>
          </cell>
          <cell r="D5025" t="str">
            <v>MA100</v>
          </cell>
          <cell r="E5025">
            <v>37.9</v>
          </cell>
          <cell r="G5025">
            <v>666102</v>
          </cell>
        </row>
        <row r="5026">
          <cell r="A5026">
            <v>666338</v>
          </cell>
          <cell r="B5026" t="str">
            <v>TOOL,BALL PLUNGER INSTALLATION</v>
          </cell>
          <cell r="C5026" t="str">
            <v>EA</v>
          </cell>
          <cell r="D5026" t="str">
            <v>RM100</v>
          </cell>
          <cell r="E5026">
            <v>6.24</v>
          </cell>
          <cell r="G5026">
            <v>666338</v>
          </cell>
        </row>
        <row r="5027">
          <cell r="A5027">
            <v>666447</v>
          </cell>
          <cell r="B5027" t="str">
            <v>TOOL,METAL CUTTING BLADE DIABLO #D0842CF</v>
          </cell>
          <cell r="C5027" t="str">
            <v>EA</v>
          </cell>
          <cell r="D5027" t="str">
            <v>MA100</v>
          </cell>
          <cell r="E5027">
            <v>50</v>
          </cell>
          <cell r="G5027">
            <v>666447</v>
          </cell>
        </row>
        <row r="5028">
          <cell r="A5028">
            <v>666448</v>
          </cell>
          <cell r="B5028" t="str">
            <v>TOOL,20GAL GALV. CAN ACE#70799</v>
          </cell>
          <cell r="C5028" t="str">
            <v>EA</v>
          </cell>
          <cell r="D5028" t="str">
            <v>RM100</v>
          </cell>
          <cell r="E5028">
            <v>17.68</v>
          </cell>
          <cell r="G5028">
            <v>666448</v>
          </cell>
        </row>
        <row r="5029">
          <cell r="A5029">
            <v>666449</v>
          </cell>
          <cell r="B5029" t="str">
            <v>TOOL,DRIVEWAY SEALER BRUSH ACE#12468</v>
          </cell>
          <cell r="C5029" t="str">
            <v>EA</v>
          </cell>
          <cell r="D5029" t="str">
            <v>RM100</v>
          </cell>
          <cell r="E5029">
            <v>5.5</v>
          </cell>
          <cell r="G5029">
            <v>666449</v>
          </cell>
        </row>
        <row r="5030">
          <cell r="A5030">
            <v>666450</v>
          </cell>
          <cell r="B5030" t="str">
            <v>TOOL,GARDEN HOSE 5/8"x100 ACE#7204217</v>
          </cell>
          <cell r="C5030" t="str">
            <v>EA</v>
          </cell>
          <cell r="D5030" t="str">
            <v>RM100</v>
          </cell>
          <cell r="E5030">
            <v>26.3</v>
          </cell>
          <cell r="G5030">
            <v>666450</v>
          </cell>
        </row>
        <row r="5031">
          <cell r="A5031">
            <v>666451</v>
          </cell>
          <cell r="B5031" t="str">
            <v>TOOL,HOSE END NOZZLE ACE#72391</v>
          </cell>
          <cell r="C5031" t="str">
            <v>EA</v>
          </cell>
          <cell r="D5031" t="str">
            <v>RM100</v>
          </cell>
          <cell r="E5031">
            <v>4.3</v>
          </cell>
          <cell r="G5031">
            <v>666451</v>
          </cell>
        </row>
        <row r="5032">
          <cell r="A5032">
            <v>666452</v>
          </cell>
          <cell r="B5032" t="str">
            <v>TOOL,ARDEX METAL MIXER T1</v>
          </cell>
          <cell r="C5032" t="str">
            <v>EA</v>
          </cell>
          <cell r="D5032" t="str">
            <v>RM100</v>
          </cell>
          <cell r="E5032">
            <v>27.4</v>
          </cell>
          <cell r="G5032">
            <v>666452</v>
          </cell>
        </row>
        <row r="5033">
          <cell r="A5033">
            <v>666453</v>
          </cell>
          <cell r="B5033" t="str">
            <v>TOOL,BROOM 18"SMOOTH ACE#12972</v>
          </cell>
          <cell r="C5033" t="str">
            <v>EA</v>
          </cell>
          <cell r="D5033" t="str">
            <v>RM100</v>
          </cell>
          <cell r="E5033">
            <v>9.1</v>
          </cell>
          <cell r="G5033">
            <v>666453</v>
          </cell>
        </row>
        <row r="5034">
          <cell r="A5034">
            <v>666454</v>
          </cell>
          <cell r="B5034" t="str">
            <v>TOOL,METAL CUTTING BLADE 8" 50T</v>
          </cell>
          <cell r="C5034" t="str">
            <v>EA</v>
          </cell>
          <cell r="D5034" t="str">
            <v>MA100</v>
          </cell>
          <cell r="E5034">
            <v>58.732999999999997</v>
          </cell>
          <cell r="G5034">
            <v>666454</v>
          </cell>
        </row>
        <row r="5035">
          <cell r="A5035">
            <v>666456</v>
          </cell>
          <cell r="B5035" t="str">
            <v>TOOL,PAINT MIXER 16" ACE#1337633</v>
          </cell>
          <cell r="C5035" t="str">
            <v>EA</v>
          </cell>
          <cell r="D5035" t="str">
            <v>MA100</v>
          </cell>
          <cell r="E5035">
            <v>4.99</v>
          </cell>
          <cell r="G5035">
            <v>666456</v>
          </cell>
        </row>
        <row r="5036">
          <cell r="A5036">
            <v>666458</v>
          </cell>
          <cell r="B5036" t="str">
            <v>TOOL,BROOM 18"PATIO ACE#18392</v>
          </cell>
          <cell r="C5036" t="str">
            <v>EA</v>
          </cell>
          <cell r="D5036" t="str">
            <v>MA100</v>
          </cell>
          <cell r="E5036">
            <v>6.85</v>
          </cell>
          <cell r="G5036">
            <v>666458</v>
          </cell>
        </row>
        <row r="5037">
          <cell r="A5037">
            <v>675028</v>
          </cell>
          <cell r="B5037" t="str">
            <v>SHRINK TUBING 3/16" FIT-221-3/16 ALPHA</v>
          </cell>
          <cell r="C5037" t="str">
            <v>FT</v>
          </cell>
          <cell r="D5037" t="str">
            <v>MA470</v>
          </cell>
          <cell r="E5037">
            <v>0.33750000000000002</v>
          </cell>
          <cell r="G5037">
            <v>675028</v>
          </cell>
        </row>
        <row r="5038">
          <cell r="A5038">
            <v>700192</v>
          </cell>
          <cell r="B5038" t="str">
            <v>BOX, RF PROJ. SMALL, ALUM DTI W/BRCKTS</v>
          </cell>
          <cell r="C5038" t="str">
            <v>EA</v>
          </cell>
          <cell r="D5038" t="str">
            <v>RM100</v>
          </cell>
          <cell r="E5038">
            <v>519.67999999999995</v>
          </cell>
          <cell r="G5038">
            <v>700192</v>
          </cell>
        </row>
        <row r="5039">
          <cell r="A5039">
            <v>700193</v>
          </cell>
          <cell r="B5039" t="str">
            <v>BOX, RF PROJ. LARGE, ALUM DTI W/BRCKTS</v>
          </cell>
          <cell r="C5039" t="str">
            <v>EA</v>
          </cell>
          <cell r="D5039" t="str">
            <v>RM100</v>
          </cell>
          <cell r="E5039">
            <v>880.59</v>
          </cell>
          <cell r="G5039">
            <v>700193</v>
          </cell>
        </row>
        <row r="5040">
          <cell r="A5040">
            <v>700194</v>
          </cell>
          <cell r="B5040" t="str">
            <v>BOX, RF  MONITOR 46", ALUM DTI</v>
          </cell>
          <cell r="C5040" t="str">
            <v>EA</v>
          </cell>
          <cell r="D5040" t="str">
            <v>RM100</v>
          </cell>
          <cell r="E5040">
            <v>1000</v>
          </cell>
          <cell r="G5040">
            <v>700194</v>
          </cell>
        </row>
        <row r="5041">
          <cell r="A5041">
            <v>701000</v>
          </cell>
          <cell r="B5041" t="str">
            <v>VACUUM, HEPA, 12 GAL, 5 HP</v>
          </cell>
          <cell r="C5041" t="str">
            <v>EA</v>
          </cell>
          <cell r="D5041" t="str">
            <v>MA100</v>
          </cell>
          <cell r="E5041">
            <v>106.86</v>
          </cell>
          <cell r="G5041">
            <v>701000</v>
          </cell>
        </row>
        <row r="5042">
          <cell r="A5042">
            <v>701002</v>
          </cell>
          <cell r="B5042" t="str">
            <v>FILTER,HEPA, VACUUM</v>
          </cell>
          <cell r="C5042" t="str">
            <v>EA</v>
          </cell>
          <cell r="D5042" t="str">
            <v>MA100</v>
          </cell>
          <cell r="E5042">
            <v>28</v>
          </cell>
          <cell r="G5042">
            <v>701002</v>
          </cell>
        </row>
        <row r="5043">
          <cell r="A5043">
            <v>701003</v>
          </cell>
          <cell r="B5043" t="str">
            <v>BUCKET, MIXING, ARDEX T-10</v>
          </cell>
          <cell r="C5043" t="str">
            <v>EA</v>
          </cell>
          <cell r="D5043" t="str">
            <v>MA100</v>
          </cell>
          <cell r="E5043">
            <v>77.5</v>
          </cell>
          <cell r="G5043">
            <v>701003</v>
          </cell>
        </row>
        <row r="5044">
          <cell r="A5044">
            <v>701004</v>
          </cell>
          <cell r="B5044" t="str">
            <v>DUSTFREE, COLLECTION SHROUD</v>
          </cell>
          <cell r="C5044" t="str">
            <v>EA</v>
          </cell>
          <cell r="D5044" t="str">
            <v>MA100</v>
          </cell>
          <cell r="E5044">
            <v>76.099999999999994</v>
          </cell>
          <cell r="G5044">
            <v>701004</v>
          </cell>
        </row>
        <row r="5045">
          <cell r="A5045">
            <v>701999</v>
          </cell>
          <cell r="B5045" t="str">
            <v>ALUM TUBE AIR VENT SQ FT PLC.HLDR.</v>
          </cell>
          <cell r="C5045" t="str">
            <v>SF</v>
          </cell>
          <cell r="D5045" t="str">
            <v>MA100</v>
          </cell>
          <cell r="E5045">
            <v>235</v>
          </cell>
          <cell r="G5045">
            <v>701999</v>
          </cell>
        </row>
        <row r="5046">
          <cell r="A5046">
            <v>702000</v>
          </cell>
          <cell r="B5046" t="str">
            <v>VENT,WG,ALUM,7X7X4</v>
          </cell>
          <cell r="C5046" t="str">
            <v>EA</v>
          </cell>
          <cell r="D5046" t="str">
            <v>MA100</v>
          </cell>
          <cell r="E5046">
            <v>124.82</v>
          </cell>
          <cell r="G5046">
            <v>702000</v>
          </cell>
        </row>
        <row r="5047">
          <cell r="A5047">
            <v>702010</v>
          </cell>
          <cell r="B5047" t="str">
            <v>VENT,WG,ALUM,8X8X4</v>
          </cell>
          <cell r="C5047" t="str">
            <v>EA</v>
          </cell>
          <cell r="D5047" t="str">
            <v>MA100</v>
          </cell>
          <cell r="E5047">
            <v>103.82</v>
          </cell>
          <cell r="G5047">
            <v>702010</v>
          </cell>
        </row>
        <row r="5048">
          <cell r="A5048">
            <v>702018</v>
          </cell>
          <cell r="B5048" t="str">
            <v>VENT,WG,ALUM,8X22X4</v>
          </cell>
          <cell r="C5048" t="str">
            <v>EA</v>
          </cell>
          <cell r="D5048" t="str">
            <v>MA100</v>
          </cell>
          <cell r="E5048">
            <v>214.78</v>
          </cell>
          <cell r="G5048">
            <v>702018</v>
          </cell>
        </row>
        <row r="5049">
          <cell r="A5049">
            <v>702019</v>
          </cell>
          <cell r="B5049" t="str">
            <v>VENT,WG,ALUM,8X24X4</v>
          </cell>
          <cell r="C5049" t="str">
            <v>EA</v>
          </cell>
          <cell r="D5049" t="str">
            <v>MA100</v>
          </cell>
          <cell r="E5049">
            <v>220.29</v>
          </cell>
          <cell r="G5049">
            <v>702019</v>
          </cell>
        </row>
        <row r="5050">
          <cell r="A5050">
            <v>702030</v>
          </cell>
          <cell r="B5050" t="str">
            <v>VENT,WG,ALUM,10X10X4</v>
          </cell>
          <cell r="C5050" t="str">
            <v>EA</v>
          </cell>
          <cell r="D5050" t="str">
            <v>MA100</v>
          </cell>
          <cell r="E5050">
            <v>134.19999999999999</v>
          </cell>
          <cell r="G5050">
            <v>702030</v>
          </cell>
        </row>
        <row r="5051">
          <cell r="A5051">
            <v>702032</v>
          </cell>
          <cell r="B5051" t="str">
            <v>VENT,WG,ALUM,10X12X4</v>
          </cell>
          <cell r="C5051" t="str">
            <v>EA</v>
          </cell>
          <cell r="D5051" t="str">
            <v>MA100</v>
          </cell>
          <cell r="E5051">
            <v>171.24</v>
          </cell>
          <cell r="G5051">
            <v>702032</v>
          </cell>
        </row>
        <row r="5052">
          <cell r="A5052">
            <v>702033</v>
          </cell>
          <cell r="B5052" t="str">
            <v>VENT,WG,ALUM,10X14X4</v>
          </cell>
          <cell r="C5052" t="str">
            <v>EA</v>
          </cell>
          <cell r="D5052" t="str">
            <v>MA100</v>
          </cell>
          <cell r="E5052">
            <v>184.51</v>
          </cell>
          <cell r="G5052">
            <v>702033</v>
          </cell>
        </row>
        <row r="5053">
          <cell r="A5053">
            <v>702034</v>
          </cell>
          <cell r="B5053" t="str">
            <v>VENT,WG,ALUM,10X20X4</v>
          </cell>
          <cell r="C5053" t="str">
            <v>EA</v>
          </cell>
          <cell r="D5053" t="str">
            <v>MA100</v>
          </cell>
          <cell r="E5053">
            <v>250.40199999999999</v>
          </cell>
          <cell r="G5053">
            <v>702034</v>
          </cell>
        </row>
        <row r="5054">
          <cell r="A5054">
            <v>702035</v>
          </cell>
          <cell r="B5054" t="str">
            <v>VENT,WG,ALUM,10X24X4</v>
          </cell>
          <cell r="C5054" t="str">
            <v>EA</v>
          </cell>
          <cell r="D5054" t="str">
            <v>MA100</v>
          </cell>
          <cell r="E5054">
            <v>222.828</v>
          </cell>
          <cell r="G5054">
            <v>702035</v>
          </cell>
        </row>
        <row r="5055">
          <cell r="A5055">
            <v>702050</v>
          </cell>
          <cell r="B5055" t="str">
            <v>VENT,WG,ALUM,12X12X4</v>
          </cell>
          <cell r="C5055" t="str">
            <v>EA</v>
          </cell>
          <cell r="D5055" t="str">
            <v>MA100</v>
          </cell>
          <cell r="E5055">
            <v>163.14699999999999</v>
          </cell>
          <cell r="G5055">
            <v>702050</v>
          </cell>
        </row>
        <row r="5056">
          <cell r="A5056">
            <v>702051</v>
          </cell>
          <cell r="B5056" t="str">
            <v>VENT,WG,ALUM,12X14X4</v>
          </cell>
          <cell r="C5056" t="str">
            <v>EA</v>
          </cell>
          <cell r="D5056" t="str">
            <v>MA100</v>
          </cell>
          <cell r="E5056">
            <v>198.566</v>
          </cell>
          <cell r="G5056">
            <v>702051</v>
          </cell>
        </row>
        <row r="5057">
          <cell r="A5057">
            <v>702052</v>
          </cell>
          <cell r="B5057" t="str">
            <v>VENT,WG,ALUM,12X16X4</v>
          </cell>
          <cell r="C5057" t="str">
            <v>EA</v>
          </cell>
          <cell r="D5057" t="str">
            <v>MA100</v>
          </cell>
          <cell r="E5057">
            <v>207.3</v>
          </cell>
          <cell r="G5057">
            <v>702052</v>
          </cell>
        </row>
        <row r="5058">
          <cell r="A5058">
            <v>702053</v>
          </cell>
          <cell r="B5058" t="str">
            <v>VENT,WG,ALUM,12X18X4</v>
          </cell>
          <cell r="C5058" t="str">
            <v>EA</v>
          </cell>
          <cell r="D5058" t="str">
            <v>MA100</v>
          </cell>
          <cell r="E5058">
            <v>221.24600000000001</v>
          </cell>
          <cell r="G5058">
            <v>702053</v>
          </cell>
        </row>
        <row r="5059">
          <cell r="A5059">
            <v>702054</v>
          </cell>
          <cell r="B5059" t="str">
            <v>VENT,WG,ALUM,12X20X4</v>
          </cell>
          <cell r="C5059" t="str">
            <v>EA</v>
          </cell>
          <cell r="D5059" t="str">
            <v>MA100</v>
          </cell>
          <cell r="E5059">
            <v>247.38</v>
          </cell>
          <cell r="G5059">
            <v>702054</v>
          </cell>
        </row>
        <row r="5060">
          <cell r="A5060">
            <v>702055</v>
          </cell>
          <cell r="B5060" t="str">
            <v>VENT,WG,ALUM,12X22X4</v>
          </cell>
          <cell r="C5060" t="str">
            <v>EA</v>
          </cell>
          <cell r="D5060" t="str">
            <v>MA100</v>
          </cell>
          <cell r="E5060">
            <v>270.27</v>
          </cell>
          <cell r="G5060">
            <v>702055</v>
          </cell>
        </row>
        <row r="5061">
          <cell r="A5061">
            <v>702056</v>
          </cell>
          <cell r="B5061" t="str">
            <v>VENT,WG,ALUM,12X24X4</v>
          </cell>
          <cell r="C5061" t="str">
            <v>EA</v>
          </cell>
          <cell r="D5061" t="str">
            <v>MA100</v>
          </cell>
          <cell r="E5061">
            <v>244.47399999999999</v>
          </cell>
          <cell r="G5061">
            <v>702056</v>
          </cell>
        </row>
        <row r="5062">
          <cell r="A5062">
            <v>702070</v>
          </cell>
          <cell r="B5062" t="str">
            <v>VENT,WG,ALUM,14X14X4</v>
          </cell>
          <cell r="C5062" t="str">
            <v>EA</v>
          </cell>
          <cell r="D5062" t="str">
            <v>MA100</v>
          </cell>
          <cell r="E5062">
            <v>194.37200000000001</v>
          </cell>
          <cell r="G5062">
            <v>702070</v>
          </cell>
        </row>
        <row r="5063">
          <cell r="A5063">
            <v>702071</v>
          </cell>
          <cell r="B5063" t="str">
            <v>VENT,WG,ALUM,14X16X4</v>
          </cell>
          <cell r="C5063" t="str">
            <v>EA</v>
          </cell>
          <cell r="D5063" t="str">
            <v>MA100</v>
          </cell>
          <cell r="E5063">
            <v>234.29</v>
          </cell>
          <cell r="G5063">
            <v>702071</v>
          </cell>
        </row>
        <row r="5064">
          <cell r="A5064">
            <v>702074</v>
          </cell>
          <cell r="B5064" t="str">
            <v>VENT,WG,ALUM,14X24X4</v>
          </cell>
          <cell r="C5064" t="str">
            <v>EA</v>
          </cell>
          <cell r="D5064" t="str">
            <v>MA100</v>
          </cell>
          <cell r="E5064">
            <v>300</v>
          </cell>
          <cell r="G5064">
            <v>702074</v>
          </cell>
        </row>
        <row r="5065">
          <cell r="A5065">
            <v>702090</v>
          </cell>
          <cell r="B5065" t="str">
            <v>VENT,WG,ALUM,16X16X4</v>
          </cell>
          <cell r="C5065" t="str">
            <v>EA</v>
          </cell>
          <cell r="D5065" t="str">
            <v>MA100</v>
          </cell>
          <cell r="E5065">
            <v>220.446</v>
          </cell>
          <cell r="G5065">
            <v>702090</v>
          </cell>
        </row>
        <row r="5066">
          <cell r="A5066">
            <v>702092</v>
          </cell>
          <cell r="B5066" t="str">
            <v>VENT,WG,ALUM,16X20X4</v>
          </cell>
          <cell r="C5066" t="str">
            <v>EA</v>
          </cell>
          <cell r="D5066" t="str">
            <v>MA100</v>
          </cell>
          <cell r="E5066">
            <v>270.16000000000003</v>
          </cell>
          <cell r="G5066">
            <v>702092</v>
          </cell>
        </row>
        <row r="5067">
          <cell r="A5067">
            <v>702110</v>
          </cell>
          <cell r="B5067" t="str">
            <v>VENT,WG,ALUM,18X18X4</v>
          </cell>
          <cell r="C5067" t="str">
            <v>EA</v>
          </cell>
          <cell r="D5067" t="str">
            <v>MA100</v>
          </cell>
          <cell r="E5067">
            <v>280.93200000000002</v>
          </cell>
          <cell r="G5067">
            <v>702110</v>
          </cell>
        </row>
        <row r="5068">
          <cell r="A5068">
            <v>702113</v>
          </cell>
          <cell r="B5068" t="str">
            <v>VENT,WG,ALUM,18X24X4</v>
          </cell>
          <cell r="C5068" t="str">
            <v>EA</v>
          </cell>
          <cell r="D5068" t="str">
            <v>MA100</v>
          </cell>
          <cell r="E5068">
            <v>369.91</v>
          </cell>
          <cell r="G5068">
            <v>702113</v>
          </cell>
        </row>
        <row r="5069">
          <cell r="A5069">
            <v>702130</v>
          </cell>
          <cell r="B5069" t="str">
            <v>VENT,WG,ALUM,20X20X4</v>
          </cell>
          <cell r="C5069" t="str">
            <v>EA</v>
          </cell>
          <cell r="D5069" t="str">
            <v>MA100</v>
          </cell>
          <cell r="E5069">
            <v>341.42</v>
          </cell>
          <cell r="G5069">
            <v>702130</v>
          </cell>
        </row>
        <row r="5070">
          <cell r="A5070">
            <v>702150</v>
          </cell>
          <cell r="B5070" t="str">
            <v>VENT,WG,ALUM,22X22X4</v>
          </cell>
          <cell r="C5070" t="str">
            <v>EA</v>
          </cell>
          <cell r="D5070" t="str">
            <v>MA100</v>
          </cell>
          <cell r="E5070">
            <v>425</v>
          </cell>
          <cell r="G5070">
            <v>702150</v>
          </cell>
        </row>
        <row r="5071">
          <cell r="A5071">
            <v>702170</v>
          </cell>
          <cell r="B5071" t="str">
            <v>VENT,WG,ALUM,24X24X4</v>
          </cell>
          <cell r="C5071" t="str">
            <v>EA</v>
          </cell>
          <cell r="D5071" t="str">
            <v>MA100</v>
          </cell>
          <cell r="E5071">
            <v>413.81400000000002</v>
          </cell>
          <cell r="G5071">
            <v>702170</v>
          </cell>
        </row>
        <row r="5072">
          <cell r="A5072">
            <v>703000</v>
          </cell>
          <cell r="B5072" t="str">
            <v>Tech-Gate II System, Left side Mount</v>
          </cell>
          <cell r="C5072" t="str">
            <v>EA</v>
          </cell>
          <cell r="D5072" t="str">
            <v>MA100</v>
          </cell>
          <cell r="E5072">
            <v>11000</v>
          </cell>
          <cell r="G5072">
            <v>703000</v>
          </cell>
        </row>
        <row r="5073">
          <cell r="A5073">
            <v>703001</v>
          </cell>
          <cell r="B5073" t="str">
            <v>Tech-Gate II System, Right side Mount</v>
          </cell>
          <cell r="C5073" t="str">
            <v>EA</v>
          </cell>
          <cell r="D5073" t="str">
            <v>MA100</v>
          </cell>
          <cell r="E5073">
            <v>11000</v>
          </cell>
          <cell r="G5073">
            <v>703001</v>
          </cell>
        </row>
        <row r="5074">
          <cell r="A5074">
            <v>703002</v>
          </cell>
          <cell r="B5074" t="str">
            <v>Tech-Gate II System, Univ. Mount</v>
          </cell>
          <cell r="C5074" t="str">
            <v>EA</v>
          </cell>
          <cell r="D5074" t="str">
            <v>MA100</v>
          </cell>
          <cell r="E5074">
            <v>11000</v>
          </cell>
          <cell r="G5074">
            <v>703002</v>
          </cell>
        </row>
        <row r="5075">
          <cell r="A5075">
            <v>703003</v>
          </cell>
          <cell r="B5075" t="str">
            <v>Tech-Gate II, Extrnl Power Supply, HRDWR</v>
          </cell>
          <cell r="C5075" t="str">
            <v>EA</v>
          </cell>
          <cell r="D5075" t="str">
            <v>MA100</v>
          </cell>
          <cell r="E5075">
            <v>750</v>
          </cell>
          <cell r="G5075">
            <v>703003</v>
          </cell>
        </row>
        <row r="5076">
          <cell r="A5076">
            <v>703004</v>
          </cell>
          <cell r="B5076" t="str">
            <v>Tech-Gate II, Remote Transmitter</v>
          </cell>
          <cell r="C5076" t="str">
            <v>EA</v>
          </cell>
          <cell r="D5076" t="str">
            <v>MA100</v>
          </cell>
          <cell r="E5076">
            <v>200</v>
          </cell>
          <cell r="G5076">
            <v>703004</v>
          </cell>
        </row>
        <row r="5077">
          <cell r="A5077">
            <v>703005</v>
          </cell>
          <cell r="B5077" t="str">
            <v>Metal ID Hand Wand, Aegys PD240CH</v>
          </cell>
          <cell r="C5077" t="str">
            <v>EA</v>
          </cell>
          <cell r="D5077" t="str">
            <v>MA100</v>
          </cell>
          <cell r="E5077">
            <v>3800</v>
          </cell>
          <cell r="G5077">
            <v>703005</v>
          </cell>
        </row>
        <row r="5078">
          <cell r="A5078">
            <v>703006</v>
          </cell>
          <cell r="B5078" t="str">
            <v>TechGate Auto Single Arm Lefthand</v>
          </cell>
          <cell r="C5078" t="str">
            <v>EA</v>
          </cell>
          <cell r="D5078" t="str">
            <v>MA100</v>
          </cell>
          <cell r="E5078">
            <v>14500</v>
          </cell>
          <cell r="G5078">
            <v>703006</v>
          </cell>
        </row>
        <row r="5079">
          <cell r="A5079">
            <v>703007</v>
          </cell>
          <cell r="B5079" t="str">
            <v>TechGate Auto Single Arm Righthand</v>
          </cell>
          <cell r="C5079" t="str">
            <v>EA</v>
          </cell>
          <cell r="D5079" t="str">
            <v>MA100</v>
          </cell>
          <cell r="E5079">
            <v>14500</v>
          </cell>
          <cell r="G5079">
            <v>703007</v>
          </cell>
        </row>
        <row r="5080">
          <cell r="A5080">
            <v>703008</v>
          </cell>
          <cell r="B5080" t="str">
            <v>TechGate Auto Dual Arm Lefthand</v>
          </cell>
          <cell r="C5080" t="str">
            <v>EA</v>
          </cell>
          <cell r="D5080" t="str">
            <v>MA100</v>
          </cell>
          <cell r="E5080">
            <v>17500</v>
          </cell>
          <cell r="G5080">
            <v>703008</v>
          </cell>
        </row>
        <row r="5081">
          <cell r="A5081">
            <v>703009</v>
          </cell>
          <cell r="B5081" t="str">
            <v>TechGate Auto Dual Arm Righthand</v>
          </cell>
          <cell r="C5081" t="str">
            <v>EA</v>
          </cell>
          <cell r="D5081" t="str">
            <v>MA100</v>
          </cell>
          <cell r="E5081">
            <v>17500</v>
          </cell>
          <cell r="G5081">
            <v>703009</v>
          </cell>
        </row>
        <row r="5082">
          <cell r="A5082">
            <v>703010</v>
          </cell>
          <cell r="B5082" t="str">
            <v>TechGate Auto Hardwired Pwr Supply w/bat</v>
          </cell>
          <cell r="C5082" t="str">
            <v>EA</v>
          </cell>
          <cell r="D5082" t="str">
            <v>MA100</v>
          </cell>
          <cell r="E5082">
            <v>3000</v>
          </cell>
          <cell r="G5082">
            <v>703010</v>
          </cell>
        </row>
        <row r="5083">
          <cell r="A5083">
            <v>703011</v>
          </cell>
          <cell r="B5083" t="str">
            <v>TechGate Auto MRI conditional remote</v>
          </cell>
          <cell r="C5083" t="str">
            <v>EA</v>
          </cell>
          <cell r="D5083" t="str">
            <v>MA100</v>
          </cell>
          <cell r="E5083">
            <v>250</v>
          </cell>
          <cell r="G5083">
            <v>703011</v>
          </cell>
        </row>
        <row r="5084">
          <cell r="A5084">
            <v>703012</v>
          </cell>
          <cell r="B5084" t="str">
            <v>Carrying Case For Hand Wand</v>
          </cell>
          <cell r="C5084" t="str">
            <v>EA</v>
          </cell>
          <cell r="D5084" t="str">
            <v>MA100</v>
          </cell>
          <cell r="E5084">
            <v>200</v>
          </cell>
          <cell r="G5084">
            <v>703012</v>
          </cell>
        </row>
        <row r="5085">
          <cell r="A5085">
            <v>704000</v>
          </cell>
          <cell r="B5085" t="str">
            <v>EVO, GLASS DOOR SLAB 4x7</v>
          </cell>
          <cell r="C5085" t="str">
            <v>EA</v>
          </cell>
          <cell r="D5085" t="str">
            <v>MA100</v>
          </cell>
          <cell r="E5085">
            <v>1166.8838000000001</v>
          </cell>
          <cell r="G5085">
            <v>704000</v>
          </cell>
        </row>
        <row r="5086">
          <cell r="A5086">
            <v>705055</v>
          </cell>
          <cell r="B5086" t="str">
            <v>ABSBR,MICRO 1/2X24X24 LS26</v>
          </cell>
          <cell r="C5086" t="str">
            <v>EA</v>
          </cell>
          <cell r="D5086" t="str">
            <v>MA470</v>
          </cell>
          <cell r="E5086">
            <v>79.010000000000005</v>
          </cell>
          <cell r="G5086">
            <v>705055</v>
          </cell>
        </row>
        <row r="5087">
          <cell r="A5087">
            <v>705684</v>
          </cell>
          <cell r="B5087" t="str">
            <v>CONN,BULKHEAD,HN FEMALE TO HN FEMALE</v>
          </cell>
          <cell r="C5087" t="str">
            <v>EA</v>
          </cell>
          <cell r="D5087" t="str">
            <v>MA470</v>
          </cell>
          <cell r="E5087">
            <v>55.65</v>
          </cell>
          <cell r="G5087">
            <v>705684</v>
          </cell>
        </row>
        <row r="5088">
          <cell r="A5088">
            <v>705687</v>
          </cell>
          <cell r="B5088" t="str">
            <v>SPRING PLUNGER, 3/8-16, 2-7 LB FORCE</v>
          </cell>
          <cell r="C5088" t="str">
            <v>EA</v>
          </cell>
          <cell r="D5088" t="str">
            <v>MA470</v>
          </cell>
          <cell r="E5088">
            <v>5</v>
          </cell>
          <cell r="G5088">
            <v>705687</v>
          </cell>
        </row>
        <row r="5089">
          <cell r="A5089">
            <v>706197</v>
          </cell>
          <cell r="B5089" t="str">
            <v>D/J,48X96X1-3/4 W/36X84 CLR OPNG*</v>
          </cell>
          <cell r="C5089" t="str">
            <v>EA</v>
          </cell>
          <cell r="D5089" t="str">
            <v>MA100</v>
          </cell>
          <cell r="E5089">
            <v>212.89519999999999</v>
          </cell>
          <cell r="G5089">
            <v>706197</v>
          </cell>
        </row>
        <row r="5090">
          <cell r="A5090">
            <v>706335</v>
          </cell>
          <cell r="B5090" t="str">
            <v>ASSY, DOOR, HATCH 12X12</v>
          </cell>
          <cell r="C5090" t="str">
            <v>EA</v>
          </cell>
          <cell r="D5090" t="str">
            <v>MA100</v>
          </cell>
          <cell r="E5090">
            <v>632.15081999999995</v>
          </cell>
          <cell r="G5090">
            <v>706335</v>
          </cell>
        </row>
        <row r="5091">
          <cell r="A5091">
            <v>706336</v>
          </cell>
          <cell r="B5091" t="str">
            <v>ASSY, DOOR, HATCH 24X24,BLOWOUT</v>
          </cell>
          <cell r="C5091" t="str">
            <v>EA</v>
          </cell>
          <cell r="D5091" t="str">
            <v>MA100</v>
          </cell>
          <cell r="E5091">
            <v>491.03910999999999</v>
          </cell>
          <cell r="G5091">
            <v>706336</v>
          </cell>
        </row>
        <row r="5092">
          <cell r="A5092">
            <v>706337</v>
          </cell>
          <cell r="B5092" t="str">
            <v>ASSY, DOOR, HATCH 24X24 STD 6OZ CU</v>
          </cell>
          <cell r="C5092" t="str">
            <v>EA</v>
          </cell>
          <cell r="D5092" t="str">
            <v>MA100</v>
          </cell>
          <cell r="E5092">
            <v>759.05643999999995</v>
          </cell>
          <cell r="G5092">
            <v>706337</v>
          </cell>
        </row>
        <row r="5093">
          <cell r="A5093">
            <v>706338</v>
          </cell>
          <cell r="B5093" t="str">
            <v>ASSY, DOOR, HATCH [LAMBOO] 39.75"x71"</v>
          </cell>
          <cell r="C5093" t="str">
            <v>EA</v>
          </cell>
          <cell r="D5093" t="str">
            <v>MA100</v>
          </cell>
          <cell r="E5093">
            <v>1247.5579600000001</v>
          </cell>
          <cell r="G5093">
            <v>706338</v>
          </cell>
        </row>
        <row r="5094">
          <cell r="A5094">
            <v>706339</v>
          </cell>
          <cell r="B5094" t="str">
            <v>ASSY, DOOR, HATCH,CELL 32-3/8x32-3/8</v>
          </cell>
          <cell r="C5094" t="str">
            <v>EA</v>
          </cell>
          <cell r="D5094" t="str">
            <v>MA100</v>
          </cell>
          <cell r="E5094">
            <v>211.15701999999999</v>
          </cell>
          <cell r="G5094">
            <v>706339</v>
          </cell>
        </row>
        <row r="5095">
          <cell r="A5095">
            <v>706340</v>
          </cell>
          <cell r="B5095" t="str">
            <v>ASSY, DOOR HATCH 24X24, EVO</v>
          </cell>
          <cell r="C5095" t="str">
            <v>EA</v>
          </cell>
          <cell r="D5095" t="str">
            <v>MA100</v>
          </cell>
          <cell r="E5095">
            <v>528.45644000000004</v>
          </cell>
          <cell r="G5095">
            <v>706340</v>
          </cell>
        </row>
        <row r="5096">
          <cell r="A5096">
            <v>706504</v>
          </cell>
          <cell r="B5096" t="str">
            <v>D/J,DEI,BLNK,60"X96"O.S. W/48"X84"CO.</v>
          </cell>
          <cell r="C5096" t="str">
            <v>EA</v>
          </cell>
          <cell r="D5096" t="str">
            <v>MA100</v>
          </cell>
          <cell r="E5096">
            <v>362.78519999999997</v>
          </cell>
          <cell r="G5096">
            <v>706504</v>
          </cell>
        </row>
        <row r="5097">
          <cell r="A5097">
            <v>706580</v>
          </cell>
          <cell r="B5097" t="str">
            <v>RAMP,ALUMN. 16"x32 1/2" DEI STYLE DOOR*</v>
          </cell>
          <cell r="C5097" t="str">
            <v>EA</v>
          </cell>
          <cell r="D5097" t="str">
            <v>RM100</v>
          </cell>
          <cell r="E5097">
            <v>299</v>
          </cell>
          <cell r="G5097">
            <v>706580</v>
          </cell>
        </row>
        <row r="5098">
          <cell r="A5098">
            <v>760078</v>
          </cell>
          <cell r="B5098" t="str">
            <v>ANGLE,ALUM 6061T6,1.5'X1.5"X.125"</v>
          </cell>
          <cell r="C5098" t="str">
            <v>FT</v>
          </cell>
          <cell r="D5098" t="str">
            <v>MA100</v>
          </cell>
          <cell r="E5098">
            <v>0</v>
          </cell>
          <cell r="G5098">
            <v>760078</v>
          </cell>
        </row>
        <row r="5099">
          <cell r="A5099">
            <v>760222</v>
          </cell>
          <cell r="B5099" t="str">
            <v>BAR,RECT,ALUM 6061, .25 X 2.00</v>
          </cell>
          <cell r="C5099" t="str">
            <v>FT</v>
          </cell>
          <cell r="D5099" t="str">
            <v>MA460</v>
          </cell>
          <cell r="E5099">
            <v>0</v>
          </cell>
          <cell r="G5099">
            <v>760222</v>
          </cell>
        </row>
        <row r="5100">
          <cell r="A5100">
            <v>780113</v>
          </cell>
          <cell r="B5100" t="str">
            <v>NIPPLE,BRASS,3/4"-14 NPSM X 3.0"</v>
          </cell>
          <cell r="C5100" t="str">
            <v>EA</v>
          </cell>
          <cell r="D5100" t="str">
            <v>MA470</v>
          </cell>
          <cell r="E5100">
            <v>11.46</v>
          </cell>
          <cell r="G5100">
            <v>780113</v>
          </cell>
        </row>
        <row r="5101">
          <cell r="A5101">
            <v>780322</v>
          </cell>
          <cell r="B5101" t="str">
            <v>VENT,HONEYCOMB,BRASS,1.00" X .125" CELL</v>
          </cell>
          <cell r="C5101" t="str">
            <v>EA</v>
          </cell>
          <cell r="D5101" t="str">
            <v>MA100</v>
          </cell>
          <cell r="E5101">
            <v>568</v>
          </cell>
          <cell r="G5101">
            <v>780322</v>
          </cell>
        </row>
        <row r="5102">
          <cell r="A5102">
            <v>820115</v>
          </cell>
          <cell r="B5102" t="str">
            <v>SHEET,STEEL,A366, 11GA(.12")</v>
          </cell>
          <cell r="C5102" t="str">
            <v>SF</v>
          </cell>
          <cell r="D5102" t="str">
            <v>RM100</v>
          </cell>
          <cell r="E5102">
            <v>0</v>
          </cell>
          <cell r="G5102">
            <v>820115</v>
          </cell>
        </row>
        <row r="5103">
          <cell r="A5103">
            <v>820327</v>
          </cell>
          <cell r="B5103" t="str">
            <v>ANGLE,STEEL A36,3.0"X3.0"X.187"X6'-0</v>
          </cell>
          <cell r="C5103" t="str">
            <v>FT</v>
          </cell>
          <cell r="D5103" t="str">
            <v>MA100</v>
          </cell>
          <cell r="E5103">
            <v>3.0049999999999999</v>
          </cell>
          <cell r="G5103">
            <v>820327</v>
          </cell>
        </row>
        <row r="5104">
          <cell r="A5104">
            <v>851012</v>
          </cell>
          <cell r="B5104" t="str">
            <v>ASSY, D/J DEI 48 X 96 LEFT/RIGHT</v>
          </cell>
          <cell r="C5104" t="str">
            <v>EA</v>
          </cell>
          <cell r="D5104" t="str">
            <v>MA100</v>
          </cell>
          <cell r="E5104">
            <v>1228.09232</v>
          </cell>
          <cell r="G5104">
            <v>851012</v>
          </cell>
        </row>
        <row r="5105">
          <cell r="A5105">
            <v>851013</v>
          </cell>
          <cell r="B5105" t="str">
            <v>ASSY, D/J DEI 60 X 96 LEFT/RIGHT</v>
          </cell>
          <cell r="C5105" t="str">
            <v>EA</v>
          </cell>
          <cell r="D5105" t="str">
            <v>MA100</v>
          </cell>
          <cell r="E5105">
            <v>1262.19489</v>
          </cell>
          <cell r="G5105">
            <v>851013</v>
          </cell>
        </row>
        <row r="5106">
          <cell r="A5106">
            <v>860359</v>
          </cell>
          <cell r="B5106" t="str">
            <v>BAR,ROUND,ACETAL,1.50", AF</v>
          </cell>
          <cell r="C5106" t="str">
            <v>FT</v>
          </cell>
          <cell r="D5106" t="str">
            <v>MA470</v>
          </cell>
          <cell r="E5106">
            <v>27.98</v>
          </cell>
          <cell r="G5106">
            <v>860359</v>
          </cell>
        </row>
        <row r="5107">
          <cell r="A5107" t="str">
            <v>861001B</v>
          </cell>
          <cell r="B5107" t="str">
            <v>ASSY,DR DEI 36X84 STD BRASS/BRASS ON D/J</v>
          </cell>
          <cell r="C5107" t="str">
            <v>EA</v>
          </cell>
          <cell r="D5107" t="str">
            <v>MA100</v>
          </cell>
          <cell r="E5107">
            <v>3812.7852800000001</v>
          </cell>
          <cell r="G5107" t="str">
            <v>861001B</v>
          </cell>
        </row>
        <row r="5108">
          <cell r="A5108" t="str">
            <v>861003B</v>
          </cell>
          <cell r="B5108" t="str">
            <v>ASSY,DOOR DEI 36X84 10GHZ 24OZ &amp; SIL</v>
          </cell>
          <cell r="C5108" t="str">
            <v>EA</v>
          </cell>
          <cell r="D5108" t="str">
            <v>MA100</v>
          </cell>
          <cell r="E5108">
            <v>3413.9703199999999</v>
          </cell>
          <cell r="G5108" t="str">
            <v>861003B</v>
          </cell>
        </row>
        <row r="5109">
          <cell r="A5109" t="str">
            <v>861008B</v>
          </cell>
          <cell r="B5109" t="str">
            <v>ASSY,DR DEI 36X84 10 GHZ BRASS/BRASS</v>
          </cell>
          <cell r="C5109" t="str">
            <v>EA</v>
          </cell>
          <cell r="D5109" t="str">
            <v>MA100</v>
          </cell>
          <cell r="E5109">
            <v>3430.4017199999998</v>
          </cell>
          <cell r="G5109" t="str">
            <v>861008B</v>
          </cell>
        </row>
        <row r="5110">
          <cell r="A5110" t="str">
            <v>861030B</v>
          </cell>
          <cell r="B5110" t="str">
            <v>ASSY,DR DEI 48X84 STD BRASS/BRASS</v>
          </cell>
          <cell r="C5110" t="str">
            <v>EA</v>
          </cell>
          <cell r="D5110" t="str">
            <v>MA100</v>
          </cell>
          <cell r="E5110">
            <v>3371.89212</v>
          </cell>
          <cell r="G5110" t="str">
            <v>861030B</v>
          </cell>
        </row>
        <row r="5111">
          <cell r="A5111" t="str">
            <v>861031B</v>
          </cell>
          <cell r="B5111" t="str">
            <v>ASSY,DR DEI 60X84 STD BRASS/BRASS ON D/J</v>
          </cell>
          <cell r="C5111" t="str">
            <v>EA</v>
          </cell>
          <cell r="D5111" t="str">
            <v>MA100</v>
          </cell>
          <cell r="E5111">
            <v>3255.0699800000002</v>
          </cell>
          <cell r="G5111" t="str">
            <v>861031B</v>
          </cell>
        </row>
        <row r="5112">
          <cell r="A5112">
            <v>861036</v>
          </cell>
          <cell r="B5112" t="str">
            <v>ASSY,DR DEI 12X12 STD 24OZ CU TGL LTCH</v>
          </cell>
          <cell r="C5112" t="str">
            <v>EA</v>
          </cell>
          <cell r="D5112" t="str">
            <v>MA100</v>
          </cell>
          <cell r="E5112">
            <v>339.06259999999997</v>
          </cell>
          <cell r="G5112">
            <v>861036</v>
          </cell>
        </row>
        <row r="5113">
          <cell r="A5113">
            <v>861037</v>
          </cell>
          <cell r="B5113" t="str">
            <v>ASSY,DR DEI 18X18 STD 24OZ CU TGL LTCH</v>
          </cell>
          <cell r="C5113" t="str">
            <v>EA</v>
          </cell>
          <cell r="D5113" t="str">
            <v>MA100</v>
          </cell>
          <cell r="E5113">
            <v>447.52077000000003</v>
          </cell>
          <cell r="G5113">
            <v>861037</v>
          </cell>
        </row>
        <row r="5114">
          <cell r="A5114">
            <v>861039</v>
          </cell>
          <cell r="B5114" t="str">
            <v>ASSY,DR DEI 18X18 10GHZ 24OZ CU TGL LTCH</v>
          </cell>
          <cell r="C5114" t="str">
            <v>EA</v>
          </cell>
          <cell r="D5114" t="str">
            <v>MA100</v>
          </cell>
          <cell r="E5114">
            <v>1093.49467</v>
          </cell>
          <cell r="G5114">
            <v>861039</v>
          </cell>
        </row>
        <row r="5115">
          <cell r="A5115">
            <v>861045</v>
          </cell>
          <cell r="B5115" t="str">
            <v>ASSY,DR DEI 24X24 10GHZ 24OZ CU TOGL LEV</v>
          </cell>
          <cell r="C5115" t="str">
            <v>EA</v>
          </cell>
          <cell r="D5115" t="str">
            <v>MA100</v>
          </cell>
          <cell r="E5115">
            <v>1372.14807</v>
          </cell>
          <cell r="G5115">
            <v>861045</v>
          </cell>
        </row>
        <row r="5116">
          <cell r="A5116">
            <v>861047</v>
          </cell>
          <cell r="B5116" t="str">
            <v>ASSY,DR DEI 24X24 STD 24OZ CU TGL LTCH</v>
          </cell>
          <cell r="C5116" t="str">
            <v>EA</v>
          </cell>
          <cell r="D5116" t="str">
            <v>MA100</v>
          </cell>
          <cell r="E5116">
            <v>776.97107000000005</v>
          </cell>
          <cell r="G5116">
            <v>861047</v>
          </cell>
        </row>
        <row r="5117">
          <cell r="A5117" t="str">
            <v>861070B</v>
          </cell>
          <cell r="B5117" t="str">
            <v>ASSY,DR DEI 48X84 10 GHZ BRASS/BRASS</v>
          </cell>
          <cell r="C5117" t="str">
            <v>EA</v>
          </cell>
          <cell r="D5117" t="str">
            <v>MA100</v>
          </cell>
          <cell r="E5117">
            <v>3493.4721199999999</v>
          </cell>
          <cell r="G5117" t="str">
            <v>861070B</v>
          </cell>
        </row>
        <row r="5118">
          <cell r="A5118">
            <v>861072</v>
          </cell>
          <cell r="B5118" t="str">
            <v>ASSY,DR DEI 24X24 STD GALV TGL LTCH</v>
          </cell>
          <cell r="C5118" t="str">
            <v>EA</v>
          </cell>
          <cell r="D5118" t="str">
            <v>MA100</v>
          </cell>
          <cell r="E5118">
            <v>728.70194000000004</v>
          </cell>
          <cell r="G5118">
            <v>861072</v>
          </cell>
        </row>
        <row r="5119">
          <cell r="A5119">
            <v>861100</v>
          </cell>
          <cell r="B5119" t="str">
            <v>KIT,BRS,SHLD,FOR 851012</v>
          </cell>
          <cell r="C5119" t="str">
            <v>EA</v>
          </cell>
          <cell r="D5119" t="str">
            <v>FG011</v>
          </cell>
          <cell r="E5119">
            <v>265.3</v>
          </cell>
          <cell r="G5119">
            <v>861100</v>
          </cell>
        </row>
        <row r="5120">
          <cell r="A5120">
            <v>861101</v>
          </cell>
          <cell r="B5120" t="str">
            <v>KIT,BRS,SHLD,FOR 851013</v>
          </cell>
          <cell r="C5120" t="str">
            <v>EA</v>
          </cell>
          <cell r="D5120" t="str">
            <v>FG011</v>
          </cell>
          <cell r="E5120">
            <v>306.83</v>
          </cell>
          <cell r="G5120">
            <v>861101</v>
          </cell>
        </row>
        <row r="5121">
          <cell r="A5121">
            <v>870158</v>
          </cell>
          <cell r="B5121" t="str">
            <v>GSKT, FOAM RUBBER BULB SEAL, .75x.75inch</v>
          </cell>
          <cell r="C5121" t="str">
            <v>FT</v>
          </cell>
          <cell r="D5121" t="str">
            <v>MA470</v>
          </cell>
          <cell r="E5121">
            <v>0.93</v>
          </cell>
          <cell r="G5121">
            <v>870158</v>
          </cell>
        </row>
        <row r="5122">
          <cell r="A5122">
            <v>880063</v>
          </cell>
          <cell r="B5122" t="str">
            <v>ASSY,PNL,48x120x3/4 28ga Galv/3oz Copper</v>
          </cell>
          <cell r="C5122" t="str">
            <v>EA</v>
          </cell>
          <cell r="D5122" t="str">
            <v>MA100</v>
          </cell>
          <cell r="E5122">
            <v>156.40781000000001</v>
          </cell>
          <cell r="G5122">
            <v>880063</v>
          </cell>
        </row>
        <row r="5123">
          <cell r="A5123">
            <v>880067</v>
          </cell>
          <cell r="B5123" t="str">
            <v>ASSY,PNL,48x120x3/4 3 oz / POLYBAK</v>
          </cell>
          <cell r="C5123" t="str">
            <v>EA</v>
          </cell>
          <cell r="D5123" t="str">
            <v>MA100</v>
          </cell>
          <cell r="E5123">
            <v>103.48281</v>
          </cell>
          <cell r="G5123">
            <v>880067</v>
          </cell>
        </row>
        <row r="5124">
          <cell r="A5124" t="str">
            <v>880067-OP</v>
          </cell>
          <cell r="B5124" t="str">
            <v>Cell Panel Assy 4 x10</v>
          </cell>
          <cell r="C5124" t="str">
            <v>EA</v>
          </cell>
          <cell r="D5124" t="str">
            <v>RM100</v>
          </cell>
          <cell r="E5124">
            <v>56.42</v>
          </cell>
          <cell r="G5124" t="str">
            <v>880067-OP</v>
          </cell>
        </row>
        <row r="5125">
          <cell r="A5125">
            <v>880070</v>
          </cell>
          <cell r="B5125" t="str">
            <v>ASSY,PNL 48x96x1/8 HB, 28 GALV 1S</v>
          </cell>
          <cell r="C5125" t="str">
            <v>EA</v>
          </cell>
          <cell r="D5125" t="str">
            <v>MA100</v>
          </cell>
          <cell r="E5125">
            <v>43.206000000000003</v>
          </cell>
          <cell r="G5125">
            <v>880070</v>
          </cell>
        </row>
        <row r="5126">
          <cell r="A5126">
            <v>880098</v>
          </cell>
          <cell r="B5126" t="str">
            <v>ASSY,PNL,48X96X3/4,PB,3 oz / POLYBAK</v>
          </cell>
          <cell r="C5126" t="str">
            <v>EA</v>
          </cell>
          <cell r="D5126" t="str">
            <v>MA100</v>
          </cell>
          <cell r="E5126">
            <v>85.579350000000005</v>
          </cell>
          <cell r="G5126">
            <v>880098</v>
          </cell>
        </row>
        <row r="5127">
          <cell r="A5127" t="str">
            <v>880098-OP</v>
          </cell>
          <cell r="B5127" t="str">
            <v>Cell Panel Assy 4 x 8</v>
          </cell>
          <cell r="C5127" t="str">
            <v>EA</v>
          </cell>
          <cell r="D5127" t="str">
            <v>RM100</v>
          </cell>
          <cell r="E5127">
            <v>47.79</v>
          </cell>
          <cell r="G5127" t="str">
            <v>880098-OP</v>
          </cell>
        </row>
        <row r="5128">
          <cell r="A5128">
            <v>880127</v>
          </cell>
          <cell r="B5128" t="str">
            <v>ASSY,PNL,48x120x3/4,PB,28/28(G60)</v>
          </cell>
          <cell r="C5128" t="str">
            <v>EA</v>
          </cell>
          <cell r="D5128" t="str">
            <v>MA100</v>
          </cell>
          <cell r="E5128">
            <v>82.926000000000002</v>
          </cell>
          <cell r="G5128">
            <v>880127</v>
          </cell>
        </row>
        <row r="5129">
          <cell r="A5129">
            <v>880128</v>
          </cell>
          <cell r="B5129" t="str">
            <v>ASSY,PNL,48x96x3/4,PB,28/28(G60)</v>
          </cell>
          <cell r="C5129" t="str">
            <v>EA</v>
          </cell>
          <cell r="D5129" t="str">
            <v>MA100</v>
          </cell>
          <cell r="E5129">
            <v>70.073970000000003</v>
          </cell>
          <cell r="G5129">
            <v>880128</v>
          </cell>
        </row>
        <row r="5130">
          <cell r="A5130">
            <v>880129</v>
          </cell>
          <cell r="B5130" t="str">
            <v>ASSY,PNL48X96 SIEMENS PATIENT TABLE[F/F]</v>
          </cell>
          <cell r="C5130" t="str">
            <v>EA</v>
          </cell>
          <cell r="D5130" t="str">
            <v>MA100</v>
          </cell>
          <cell r="E5130">
            <v>34.893500000000003</v>
          </cell>
          <cell r="G5130">
            <v>880129</v>
          </cell>
        </row>
        <row r="5131">
          <cell r="A5131">
            <v>880133</v>
          </cell>
          <cell r="B5131" t="str">
            <v>ASSY,PNL,48x120X5/8,PB,3ozCU/1/8"ALUM</v>
          </cell>
          <cell r="C5131" t="str">
            <v>EA</v>
          </cell>
          <cell r="D5131" t="str">
            <v>MA100</v>
          </cell>
          <cell r="E5131">
            <v>290</v>
          </cell>
          <cell r="G5131">
            <v>880133</v>
          </cell>
        </row>
        <row r="5132">
          <cell r="A5132">
            <v>880134</v>
          </cell>
          <cell r="B5132" t="str">
            <v>ASSY,PNL,48x96X5/8,PB,3ozCU/1/8"ALUM</v>
          </cell>
          <cell r="C5132" t="str">
            <v>EA</v>
          </cell>
          <cell r="D5132" t="str">
            <v>MA100</v>
          </cell>
          <cell r="E5132">
            <v>241.56</v>
          </cell>
          <cell r="G5132">
            <v>880134</v>
          </cell>
        </row>
        <row r="5133">
          <cell r="A5133">
            <v>880137</v>
          </cell>
          <cell r="B5133" t="str">
            <v>ASSY,PNL48X96 SIEMENS PATIENT TABLE</v>
          </cell>
          <cell r="C5133" t="str">
            <v>EA</v>
          </cell>
          <cell r="D5133" t="str">
            <v>MA100</v>
          </cell>
          <cell r="E5133">
            <v>74.761129999999994</v>
          </cell>
          <cell r="G5133">
            <v>880137</v>
          </cell>
        </row>
        <row r="5134">
          <cell r="A5134">
            <v>890455</v>
          </cell>
          <cell r="B5134" t="str">
            <v>_CLAMP PULL ACTION 324-SS DE-STA CO</v>
          </cell>
          <cell r="C5134" t="str">
            <v>EA</v>
          </cell>
          <cell r="D5134" t="str">
            <v>MA460</v>
          </cell>
          <cell r="E5134">
            <v>30.8</v>
          </cell>
          <cell r="G5134">
            <v>890455</v>
          </cell>
        </row>
        <row r="5135">
          <cell r="A5135">
            <v>890727</v>
          </cell>
          <cell r="B5135" t="str">
            <v>ROLL PIN,3/16 X 3/4,SS</v>
          </cell>
          <cell r="C5135" t="str">
            <v>EA</v>
          </cell>
          <cell r="D5135" t="str">
            <v>MA470</v>
          </cell>
          <cell r="E5135">
            <v>0.107</v>
          </cell>
          <cell r="G5135">
            <v>890727</v>
          </cell>
        </row>
        <row r="5136">
          <cell r="A5136">
            <v>891598</v>
          </cell>
          <cell r="B5136" t="str">
            <v>T-NUT MAYTEC 1/4-20, 20324</v>
          </cell>
          <cell r="C5136" t="str">
            <v>EA</v>
          </cell>
          <cell r="D5136" t="str">
            <v>RM100</v>
          </cell>
          <cell r="E5136">
            <v>1.5</v>
          </cell>
          <cell r="G5136">
            <v>891598</v>
          </cell>
        </row>
        <row r="5137">
          <cell r="A5137">
            <v>891765</v>
          </cell>
          <cell r="B5137" t="str">
            <v>GROMMET .625 id x .875 hole x .125 panel</v>
          </cell>
          <cell r="C5137" t="str">
            <v>EA</v>
          </cell>
          <cell r="D5137" t="str">
            <v>RM100</v>
          </cell>
          <cell r="E5137">
            <v>0.191</v>
          </cell>
          <cell r="G5137">
            <v>891765</v>
          </cell>
        </row>
        <row r="5138">
          <cell r="A5138">
            <v>891896</v>
          </cell>
          <cell r="B5138" t="str">
            <v>ANCH,POWER STUD+ SD2,3/8x3-3/4"</v>
          </cell>
          <cell r="C5138" t="str">
            <v>EA</v>
          </cell>
          <cell r="D5138" t="str">
            <v>MA470</v>
          </cell>
          <cell r="E5138">
            <v>0</v>
          </cell>
          <cell r="G5138">
            <v>891896</v>
          </cell>
        </row>
        <row r="5139">
          <cell r="A5139">
            <v>901004</v>
          </cell>
          <cell r="B5139" t="str">
            <v>VENT,WG,W/FLG (BRS) CUSTOM SIZE</v>
          </cell>
          <cell r="C5139" t="str">
            <v>EA</v>
          </cell>
          <cell r="D5139" t="str">
            <v>FG013</v>
          </cell>
          <cell r="E5139">
            <v>210.22047000000001</v>
          </cell>
          <cell r="G5139">
            <v>901004</v>
          </cell>
        </row>
        <row r="5140">
          <cell r="A5140">
            <v>901012</v>
          </cell>
          <cell r="B5140" t="str">
            <v>ALUM, NON-STD WINDOW</v>
          </cell>
          <cell r="C5140" t="str">
            <v>EA</v>
          </cell>
          <cell r="D5140" t="str">
            <v>FG013</v>
          </cell>
          <cell r="E5140">
            <v>1064.0899999999999</v>
          </cell>
          <cell r="G5140">
            <v>901012</v>
          </cell>
        </row>
        <row r="5141">
          <cell r="A5141">
            <v>901013</v>
          </cell>
          <cell r="B5141" t="str">
            <v>ALUM, WINDOW WALL</v>
          </cell>
          <cell r="C5141" t="str">
            <v>EA</v>
          </cell>
          <cell r="D5141" t="str">
            <v>FG013</v>
          </cell>
          <cell r="E5141">
            <v>0</v>
          </cell>
          <cell r="G5141">
            <v>901013</v>
          </cell>
        </row>
        <row r="5142">
          <cell r="A5142">
            <v>901014</v>
          </cell>
          <cell r="B5142" t="str">
            <v>SILICON, MAGNETIC SHIELD</v>
          </cell>
          <cell r="C5142" t="str">
            <v>EA</v>
          </cell>
          <cell r="D5142" t="str">
            <v>FG013</v>
          </cell>
          <cell r="E5142">
            <v>2377.2399999999998</v>
          </cell>
          <cell r="G5142">
            <v>901014</v>
          </cell>
        </row>
        <row r="5143">
          <cell r="A5143">
            <v>901015</v>
          </cell>
          <cell r="B5143" t="str">
            <v>ASSY, MODULAR FLOOR [CELL]</v>
          </cell>
          <cell r="C5143" t="str">
            <v>EA</v>
          </cell>
          <cell r="D5143" t="str">
            <v>FG013</v>
          </cell>
          <cell r="E5143">
            <v>3338.72</v>
          </cell>
          <cell r="G5143">
            <v>901015</v>
          </cell>
        </row>
        <row r="5144">
          <cell r="A5144">
            <v>901016</v>
          </cell>
          <cell r="B5144" t="str">
            <v>CRATING MATERIAL</v>
          </cell>
          <cell r="C5144" t="str">
            <v>EA</v>
          </cell>
          <cell r="D5144" t="str">
            <v>FG013</v>
          </cell>
          <cell r="E5144">
            <v>0</v>
          </cell>
          <cell r="G5144">
            <v>901016</v>
          </cell>
        </row>
        <row r="5145">
          <cell r="A5145">
            <v>901017</v>
          </cell>
          <cell r="B5145" t="str">
            <v>MEDICAL DOORS, SINGLE OR DOUBLE</v>
          </cell>
          <cell r="C5145" t="str">
            <v>EA</v>
          </cell>
          <cell r="D5145" t="str">
            <v>FG013</v>
          </cell>
          <cell r="E5145">
            <v>3444.02</v>
          </cell>
          <cell r="G5145">
            <v>901017</v>
          </cell>
        </row>
        <row r="5146">
          <cell r="A5146">
            <v>901018</v>
          </cell>
          <cell r="B5146" t="str">
            <v>IOSD DOOR(S), SINGLE OR DOUBLE</v>
          </cell>
          <cell r="C5146" t="str">
            <v>EA</v>
          </cell>
          <cell r="D5146" t="str">
            <v>FG013</v>
          </cell>
          <cell r="E5146">
            <v>0</v>
          </cell>
          <cell r="G5146">
            <v>901018</v>
          </cell>
        </row>
        <row r="5147">
          <cell r="A5147">
            <v>901019</v>
          </cell>
          <cell r="B5147" t="str">
            <v>PROJECTOR BOX ENCLOSURE</v>
          </cell>
          <cell r="C5147" t="str">
            <v>EA</v>
          </cell>
          <cell r="D5147" t="str">
            <v>MA100</v>
          </cell>
          <cell r="E5147">
            <v>1128.23198</v>
          </cell>
          <cell r="G5147">
            <v>901019</v>
          </cell>
        </row>
        <row r="5148">
          <cell r="A5148">
            <v>901020</v>
          </cell>
          <cell r="B5148" t="str">
            <v>PICK,PACK,MINOCQUA</v>
          </cell>
          <cell r="C5148" t="str">
            <v>EA</v>
          </cell>
          <cell r="D5148" t="str">
            <v>MA100</v>
          </cell>
          <cell r="E5148">
            <v>3415.3</v>
          </cell>
          <cell r="G5148">
            <v>901020</v>
          </cell>
        </row>
        <row r="5149">
          <cell r="A5149">
            <v>901021</v>
          </cell>
          <cell r="B5149" t="str">
            <v>CUSTOM, BRS,PLT,3/16 OR 1/8 THK.</v>
          </cell>
          <cell r="C5149" t="str">
            <v>EA</v>
          </cell>
          <cell r="D5149" t="str">
            <v>MA100</v>
          </cell>
          <cell r="E5149">
            <v>67.932860000000005</v>
          </cell>
          <cell r="G5149">
            <v>901021</v>
          </cell>
        </row>
        <row r="5150">
          <cell r="A5150">
            <v>901022</v>
          </cell>
          <cell r="B5150" t="str">
            <v>PROJECTOR BOX ENCLOSURE W/O FILTER</v>
          </cell>
          <cell r="C5150" t="str">
            <v>EA</v>
          </cell>
          <cell r="D5150" t="str">
            <v>MA100</v>
          </cell>
          <cell r="E5150">
            <v>1133.5971999999999</v>
          </cell>
          <cell r="G5150">
            <v>901022</v>
          </cell>
        </row>
        <row r="5151">
          <cell r="A5151">
            <v>902009</v>
          </cell>
          <cell r="B5151" t="str">
            <v>ASSY, COIL FOR MACS UNIT 240FT</v>
          </cell>
          <cell r="C5151" t="str">
            <v>EA</v>
          </cell>
          <cell r="D5151" t="str">
            <v>MA100</v>
          </cell>
          <cell r="E5151">
            <v>1694.6590000000001</v>
          </cell>
          <cell r="G5151">
            <v>902009</v>
          </cell>
        </row>
        <row r="5152">
          <cell r="A5152">
            <v>902010</v>
          </cell>
          <cell r="B5152" t="str">
            <v>ASSY, COIL FOR MACS UNIT 350FT</v>
          </cell>
          <cell r="C5152" t="str">
            <v>EA</v>
          </cell>
          <cell r="D5152" t="str">
            <v>MA100</v>
          </cell>
          <cell r="E5152">
            <v>2296.4589999999998</v>
          </cell>
          <cell r="G5152">
            <v>902010</v>
          </cell>
        </row>
        <row r="5153">
          <cell r="A5153">
            <v>903010</v>
          </cell>
          <cell r="B5153" t="str">
            <v>DEI ENCLOSURE FRAME SET</v>
          </cell>
          <cell r="C5153" t="str">
            <v>EA</v>
          </cell>
          <cell r="D5153" t="str">
            <v>FG011</v>
          </cell>
          <cell r="E5153">
            <v>5720.37</v>
          </cell>
          <cell r="G5153">
            <v>903010</v>
          </cell>
        </row>
        <row r="5154">
          <cell r="A5154">
            <v>905355</v>
          </cell>
          <cell r="B5154" t="str">
            <v>FITTING,ELBOW,1/4 T TO 1/8NPT FEM</v>
          </cell>
          <cell r="C5154" t="str">
            <v>EA</v>
          </cell>
          <cell r="D5154" t="str">
            <v>MA100</v>
          </cell>
          <cell r="E5154">
            <v>2.72</v>
          </cell>
          <cell r="G5154">
            <v>905355</v>
          </cell>
        </row>
        <row r="5155">
          <cell r="A5155">
            <v>905356</v>
          </cell>
          <cell r="B5155" t="str">
            <v>FITTING,TEE,1/4 TUBE</v>
          </cell>
          <cell r="C5155" t="str">
            <v>EA</v>
          </cell>
          <cell r="D5155" t="str">
            <v>MA100</v>
          </cell>
          <cell r="E5155">
            <v>1.98</v>
          </cell>
          <cell r="G5155">
            <v>905356</v>
          </cell>
        </row>
        <row r="5156">
          <cell r="A5156">
            <v>905369</v>
          </cell>
          <cell r="B5156" t="str">
            <v>FITTING, PUSH TBG ADAPT 1/4" TO 5/32"</v>
          </cell>
          <cell r="C5156" t="str">
            <v>EA</v>
          </cell>
          <cell r="D5156" t="str">
            <v>RM100</v>
          </cell>
          <cell r="E5156">
            <v>2.23</v>
          </cell>
          <cell r="G5156">
            <v>905369</v>
          </cell>
        </row>
        <row r="5157">
          <cell r="A5157">
            <v>905370</v>
          </cell>
          <cell r="B5157" t="str">
            <v>FITTING, TBG ELBOW, M5 x 5/32 (4mm) TBG</v>
          </cell>
          <cell r="C5157" t="str">
            <v>EA</v>
          </cell>
          <cell r="D5157" t="str">
            <v>RM100</v>
          </cell>
          <cell r="E5157">
            <v>2.75</v>
          </cell>
          <cell r="G5157">
            <v>905370</v>
          </cell>
        </row>
        <row r="5158">
          <cell r="A5158">
            <v>905373</v>
          </cell>
          <cell r="B5158" t="str">
            <v>CYLINDER,ORIGA P5200000C300-01004</v>
          </cell>
          <cell r="C5158" t="str">
            <v>EA</v>
          </cell>
          <cell r="D5158" t="str">
            <v>MA470</v>
          </cell>
          <cell r="E5158">
            <v>1036.2625</v>
          </cell>
          <cell r="G5158">
            <v>905373</v>
          </cell>
        </row>
        <row r="5159">
          <cell r="A5159">
            <v>910030</v>
          </cell>
          <cell r="B5159" t="str">
            <v>WASHER #10 FLAT SILICONE .170ID .500OD</v>
          </cell>
          <cell r="C5159" t="str">
            <v>EA</v>
          </cell>
          <cell r="D5159" t="str">
            <v>RM100</v>
          </cell>
          <cell r="E5159">
            <v>0.19800000000000001</v>
          </cell>
          <cell r="G5159">
            <v>910030</v>
          </cell>
        </row>
        <row r="5160">
          <cell r="A5160">
            <v>910108</v>
          </cell>
          <cell r="B5160" t="str">
            <v>SCREW,4-40 X 1/4,PHIL,FLAT,SS</v>
          </cell>
          <cell r="C5160" t="str">
            <v>EA</v>
          </cell>
          <cell r="D5160" t="str">
            <v>RM100</v>
          </cell>
          <cell r="E5160">
            <v>3.7499999999999999E-2</v>
          </cell>
          <cell r="G5160">
            <v>910108</v>
          </cell>
        </row>
        <row r="5161">
          <cell r="A5161">
            <v>910114</v>
          </cell>
          <cell r="B5161" t="str">
            <v>SCREW,4-40 X 3/8,PHIL,FLAT,SS</v>
          </cell>
          <cell r="C5161" t="str">
            <v>EA</v>
          </cell>
          <cell r="D5161" t="str">
            <v>MA100</v>
          </cell>
          <cell r="E5161">
            <v>2.3300000000000001E-2</v>
          </cell>
          <cell r="G5161">
            <v>910114</v>
          </cell>
        </row>
        <row r="5162">
          <cell r="A5162">
            <v>910150</v>
          </cell>
          <cell r="B5162" t="str">
            <v>NUT,4-40,HEX,SS</v>
          </cell>
          <cell r="C5162" t="str">
            <v>EA</v>
          </cell>
          <cell r="D5162" t="str">
            <v>MA100</v>
          </cell>
          <cell r="E5162">
            <v>3.6700000000000003E-2</v>
          </cell>
          <cell r="G5162">
            <v>910150</v>
          </cell>
        </row>
        <row r="5163">
          <cell r="A5163">
            <v>910170</v>
          </cell>
          <cell r="B5163" t="str">
            <v>OBSOLETE</v>
          </cell>
          <cell r="C5163" t="str">
            <v>EA</v>
          </cell>
          <cell r="D5163" t="str">
            <v>MA100</v>
          </cell>
          <cell r="E5163">
            <v>2.5700000000000001E-2</v>
          </cell>
          <cell r="G5163">
            <v>910170</v>
          </cell>
        </row>
        <row r="5164">
          <cell r="A5164">
            <v>910239</v>
          </cell>
          <cell r="B5164" t="str">
            <v>SCREW 8-32 X 1/4,PHIL,BIND,SS</v>
          </cell>
          <cell r="C5164" t="str">
            <v>EA</v>
          </cell>
          <cell r="D5164" t="str">
            <v>MA100</v>
          </cell>
          <cell r="E5164">
            <v>3.5999999999999997E-2</v>
          </cell>
          <cell r="G5164">
            <v>910239</v>
          </cell>
        </row>
        <row r="5165">
          <cell r="A5165">
            <v>910244</v>
          </cell>
          <cell r="B5165" t="str">
            <v>OBSOLETE</v>
          </cell>
          <cell r="C5165" t="str">
            <v>EA</v>
          </cell>
          <cell r="D5165" t="str">
            <v>MA100</v>
          </cell>
          <cell r="E5165">
            <v>3.5900000000000001E-2</v>
          </cell>
          <cell r="G5165">
            <v>910244</v>
          </cell>
        </row>
        <row r="5166">
          <cell r="A5166">
            <v>910455</v>
          </cell>
          <cell r="B5166" t="str">
            <v>WASHER,1/4,FLAT,SS</v>
          </cell>
          <cell r="C5166" t="str">
            <v>EA</v>
          </cell>
          <cell r="D5166" t="str">
            <v>MA420</v>
          </cell>
          <cell r="E5166">
            <v>3.3000000000000002E-2</v>
          </cell>
          <cell r="G5166">
            <v>910455</v>
          </cell>
        </row>
        <row r="5167">
          <cell r="A5167">
            <v>910499</v>
          </cell>
          <cell r="B5167" t="str">
            <v>SCREW,8-32 X 3/8,SH,CAP,SS</v>
          </cell>
          <cell r="C5167" t="str">
            <v>EA</v>
          </cell>
          <cell r="D5167" t="str">
            <v>MA100</v>
          </cell>
          <cell r="E5167">
            <v>7.5800000000000006E-2</v>
          </cell>
          <cell r="G5167">
            <v>910499</v>
          </cell>
        </row>
        <row r="5168">
          <cell r="A5168">
            <v>910528</v>
          </cell>
          <cell r="B5168" t="str">
            <v>NUT,7/16-14,HEX,GR5,ZN</v>
          </cell>
          <cell r="C5168" t="str">
            <v>EA</v>
          </cell>
          <cell r="D5168" t="str">
            <v>MA100</v>
          </cell>
          <cell r="E5168">
            <v>0.1026</v>
          </cell>
          <cell r="G5168">
            <v>910528</v>
          </cell>
        </row>
        <row r="5169">
          <cell r="A5169">
            <v>910651</v>
          </cell>
          <cell r="B5169" t="str">
            <v>SCREW,#10 X 3/4,PHIL,TRUSS,SS</v>
          </cell>
          <cell r="C5169" t="str">
            <v>EA</v>
          </cell>
          <cell r="D5169" t="str">
            <v>MA100</v>
          </cell>
          <cell r="E5169">
            <v>4.5999999999999999E-2</v>
          </cell>
          <cell r="G5169">
            <v>910651</v>
          </cell>
        </row>
        <row r="5170">
          <cell r="A5170">
            <v>910686</v>
          </cell>
          <cell r="B5170" t="str">
            <v>SCREW,10-32 X 1/2,PHIL,FLAT,SS</v>
          </cell>
          <cell r="C5170" t="str">
            <v>EA</v>
          </cell>
          <cell r="D5170" t="str">
            <v>MA410</v>
          </cell>
          <cell r="E5170">
            <v>8.9499999999999996E-2</v>
          </cell>
          <cell r="G5170">
            <v>910686</v>
          </cell>
        </row>
        <row r="5171">
          <cell r="A5171">
            <v>910735</v>
          </cell>
          <cell r="B5171" t="str">
            <v>SCREW,1/4-20 X 1-1/2,PHIL,PAN,SS</v>
          </cell>
          <cell r="C5171" t="str">
            <v>EA</v>
          </cell>
          <cell r="D5171" t="str">
            <v>RM100</v>
          </cell>
          <cell r="E5171">
            <v>0.26</v>
          </cell>
          <cell r="G5171">
            <v>910735</v>
          </cell>
        </row>
        <row r="5172">
          <cell r="A5172">
            <v>910803</v>
          </cell>
          <cell r="B5172" t="str">
            <v>SCREW,10-32 X 1/2,SH,CAP,SS</v>
          </cell>
          <cell r="C5172" t="str">
            <v>EA</v>
          </cell>
          <cell r="D5172" t="str">
            <v>MA100</v>
          </cell>
          <cell r="E5172">
            <v>5.2999999999999999E-2</v>
          </cell>
          <cell r="G5172">
            <v>910803</v>
          </cell>
        </row>
        <row r="5173">
          <cell r="A5173">
            <v>910872</v>
          </cell>
          <cell r="B5173" t="str">
            <v>NUT,3/8-16,HEX,SS</v>
          </cell>
          <cell r="C5173" t="str">
            <v>EA</v>
          </cell>
          <cell r="D5173" t="str">
            <v>RM100</v>
          </cell>
          <cell r="E5173">
            <v>0.19040000000000001</v>
          </cell>
          <cell r="G5173">
            <v>910872</v>
          </cell>
        </row>
        <row r="5174">
          <cell r="A5174">
            <v>910995</v>
          </cell>
          <cell r="B5174" t="str">
            <v>SCREW,5/16-18 X 3/4,SH,CAP,SS</v>
          </cell>
          <cell r="C5174" t="str">
            <v>EA</v>
          </cell>
          <cell r="D5174" t="str">
            <v>RM100</v>
          </cell>
          <cell r="E5174">
            <v>0.31080000000000002</v>
          </cell>
          <cell r="G5174">
            <v>910995</v>
          </cell>
        </row>
        <row r="5175">
          <cell r="A5175">
            <v>911006</v>
          </cell>
          <cell r="B5175" t="str">
            <v>SCREW,10-32 X 5/16,PHIL,FLAT,SS</v>
          </cell>
          <cell r="C5175" t="str">
            <v>EA</v>
          </cell>
          <cell r="D5175" t="str">
            <v>MA460</v>
          </cell>
          <cell r="E5175">
            <v>6.25E-2</v>
          </cell>
          <cell r="G5175">
            <v>911006</v>
          </cell>
        </row>
        <row r="5176">
          <cell r="A5176">
            <v>911113</v>
          </cell>
          <cell r="B5176" t="str">
            <v>SCREW,6-32 X 5/8,SH,CAP,NYLON</v>
          </cell>
          <cell r="C5176" t="str">
            <v>EA</v>
          </cell>
          <cell r="D5176" t="str">
            <v>MA470</v>
          </cell>
          <cell r="E5176">
            <v>5.7000000000000002E-2</v>
          </cell>
          <cell r="G5176">
            <v>911113</v>
          </cell>
        </row>
        <row r="5177">
          <cell r="A5177">
            <v>911266</v>
          </cell>
          <cell r="B5177" t="str">
            <v>SCREW,#10 X 1 1/2,SHEETMETAL,ZN</v>
          </cell>
          <cell r="C5177" t="str">
            <v>EA</v>
          </cell>
          <cell r="D5177" t="str">
            <v>MA470</v>
          </cell>
          <cell r="E5177">
            <v>7.7200000000000005E-2</v>
          </cell>
          <cell r="G5177">
            <v>911266</v>
          </cell>
        </row>
        <row r="5178">
          <cell r="A5178">
            <v>911267</v>
          </cell>
          <cell r="B5178" t="str">
            <v>BOLT,5/16-18 X 2.0,HEX,SS</v>
          </cell>
          <cell r="C5178" t="str">
            <v>EA</v>
          </cell>
          <cell r="D5178" t="str">
            <v>MA100</v>
          </cell>
          <cell r="E5178">
            <v>0.34849999999999998</v>
          </cell>
          <cell r="G5178">
            <v>911267</v>
          </cell>
        </row>
        <row r="5179">
          <cell r="A5179">
            <v>911268</v>
          </cell>
          <cell r="B5179" t="str">
            <v>SCREW,#14 X 2,SHEETMETAL,ZN</v>
          </cell>
          <cell r="C5179" t="str">
            <v>EA</v>
          </cell>
          <cell r="D5179" t="str">
            <v>MA100</v>
          </cell>
          <cell r="E5179">
            <v>0.11584999999999999</v>
          </cell>
          <cell r="G5179">
            <v>911268</v>
          </cell>
        </row>
        <row r="5180">
          <cell r="A5180">
            <v>911335</v>
          </cell>
          <cell r="B5180" t="str">
            <v>BOLT,1/4-20 X 2-3/4,HEX,SS</v>
          </cell>
          <cell r="C5180" t="str">
            <v>EA</v>
          </cell>
          <cell r="D5180" t="str">
            <v>MA470</v>
          </cell>
          <cell r="E5180">
            <v>0.27760000000000001</v>
          </cell>
          <cell r="G5180">
            <v>911335</v>
          </cell>
        </row>
        <row r="5181">
          <cell r="A5181">
            <v>911344</v>
          </cell>
          <cell r="B5181" t="str">
            <v>SCREW,#12X2",PHIL,PH,SS,SHTMTL</v>
          </cell>
          <cell r="C5181" t="str">
            <v>EA</v>
          </cell>
          <cell r="D5181" t="str">
            <v>MA470</v>
          </cell>
          <cell r="E5181">
            <v>0.75600000000000001</v>
          </cell>
          <cell r="G5181">
            <v>911344</v>
          </cell>
        </row>
        <row r="5182">
          <cell r="A5182">
            <v>920252</v>
          </cell>
          <cell r="B5182" t="str">
            <v>LABEL,ETS-LINDGREN,8 X 3.75,WHT BKGRD</v>
          </cell>
          <cell r="C5182" t="str">
            <v>EA</v>
          </cell>
          <cell r="D5182" t="str">
            <v>RM100</v>
          </cell>
          <cell r="E5182">
            <v>1.93</v>
          </cell>
          <cell r="G5182">
            <v>920252</v>
          </cell>
        </row>
        <row r="5183">
          <cell r="A5183">
            <v>920917</v>
          </cell>
          <cell r="B5183" t="str">
            <v>LABEL, DOOR, MANUFACTURING INFO</v>
          </cell>
          <cell r="C5183" t="str">
            <v>EA</v>
          </cell>
          <cell r="D5183" t="str">
            <v>MA420</v>
          </cell>
          <cell r="E5183">
            <v>6.73</v>
          </cell>
          <cell r="G5183">
            <v>920917</v>
          </cell>
        </row>
        <row r="5184">
          <cell r="A5184">
            <v>930170</v>
          </cell>
          <cell r="B5184" t="str">
            <v>ROLL PIN, M2 x 8MM, SS</v>
          </cell>
          <cell r="C5184" t="str">
            <v>EA</v>
          </cell>
          <cell r="D5184" t="str">
            <v>MA470</v>
          </cell>
          <cell r="E5184">
            <v>0.1208</v>
          </cell>
          <cell r="G5184">
            <v>930170</v>
          </cell>
        </row>
        <row r="5185">
          <cell r="A5185">
            <v>930512</v>
          </cell>
          <cell r="B5185" t="str">
            <v>SCREW,M5X10MM,PHIL,PAN,SS</v>
          </cell>
          <cell r="C5185" t="str">
            <v>EA</v>
          </cell>
          <cell r="D5185" t="str">
            <v>MA420</v>
          </cell>
          <cell r="E5185">
            <v>0</v>
          </cell>
          <cell r="G5185">
            <v>930512</v>
          </cell>
        </row>
        <row r="5186">
          <cell r="A5186">
            <v>930582</v>
          </cell>
          <cell r="B5186" t="str">
            <v>WASHER,M5,FLAT,SS</v>
          </cell>
          <cell r="C5186" t="str">
            <v>EA</v>
          </cell>
          <cell r="D5186" t="str">
            <v>MA460</v>
          </cell>
          <cell r="E5186">
            <v>0</v>
          </cell>
          <cell r="G5186">
            <v>930582</v>
          </cell>
        </row>
        <row r="5187">
          <cell r="A5187">
            <v>930693</v>
          </cell>
          <cell r="B5187" t="str">
            <v>WASHER,M6,LOCK,SPLIT,SS</v>
          </cell>
          <cell r="C5187" t="str">
            <v>EA</v>
          </cell>
          <cell r="D5187" t="str">
            <v>MA460</v>
          </cell>
          <cell r="E5187">
            <v>5.3999999999999999E-2</v>
          </cell>
          <cell r="G5187">
            <v>930693</v>
          </cell>
        </row>
        <row r="5188">
          <cell r="A5188">
            <v>950001</v>
          </cell>
          <cell r="B5188" t="str">
            <v>ASSY,MRI INTERFACE PKG,G.E.</v>
          </cell>
          <cell r="C5188" t="str">
            <v>EA</v>
          </cell>
          <cell r="D5188" t="str">
            <v>MA100</v>
          </cell>
          <cell r="E5188">
            <v>173.06616</v>
          </cell>
          <cell r="G5188">
            <v>950001</v>
          </cell>
        </row>
        <row r="5189">
          <cell r="A5189">
            <v>950002</v>
          </cell>
          <cell r="B5189" t="str">
            <v>KIT,MRI DOOR STIFFENER COPPER SHIELD</v>
          </cell>
          <cell r="C5189" t="str">
            <v>EA</v>
          </cell>
          <cell r="D5189" t="str">
            <v>MA100</v>
          </cell>
          <cell r="E5189">
            <v>64.580399999999997</v>
          </cell>
          <cell r="G5189">
            <v>950002</v>
          </cell>
        </row>
        <row r="5190">
          <cell r="A5190">
            <v>950013</v>
          </cell>
          <cell r="B5190" t="str">
            <v>ASSY,G.E. KIT FOR MODS</v>
          </cell>
          <cell r="C5190" t="str">
            <v>EA</v>
          </cell>
          <cell r="D5190" t="str">
            <v>MA100</v>
          </cell>
          <cell r="E5190">
            <v>449.56443999999999</v>
          </cell>
          <cell r="G5190">
            <v>950013</v>
          </cell>
        </row>
        <row r="5191">
          <cell r="A5191">
            <v>950014</v>
          </cell>
          <cell r="B5191" t="str">
            <v>ASSY,SIEMENS KIT FOR MODS</v>
          </cell>
          <cell r="C5191" t="str">
            <v>EA</v>
          </cell>
          <cell r="D5191" t="str">
            <v>MA100</v>
          </cell>
          <cell r="E5191">
            <v>265.52681999999999</v>
          </cell>
          <cell r="G5191">
            <v>950014</v>
          </cell>
        </row>
        <row r="5192">
          <cell r="A5192">
            <v>950032</v>
          </cell>
          <cell r="B5192" t="str">
            <v>KIT,.EPOXY MAG ANCH 4EA-3/4 RODNSEISMIC*</v>
          </cell>
          <cell r="C5192" t="str">
            <v>EA</v>
          </cell>
          <cell r="D5192" t="str">
            <v>MA100</v>
          </cell>
          <cell r="E5192">
            <v>242.55197999999999</v>
          </cell>
          <cell r="G5192">
            <v>950032</v>
          </cell>
        </row>
        <row r="5193">
          <cell r="A5193">
            <v>950038</v>
          </cell>
          <cell r="B5193" t="str">
            <v>KIT,GE VIBRO-PIT, PHENOL MAG FOOT PAD</v>
          </cell>
          <cell r="C5193" t="str">
            <v>EA</v>
          </cell>
          <cell r="D5193" t="str">
            <v>MA100</v>
          </cell>
          <cell r="E5193">
            <v>161.56865999999999</v>
          </cell>
          <cell r="G5193">
            <v>950038</v>
          </cell>
        </row>
        <row r="5194">
          <cell r="A5194">
            <v>950039</v>
          </cell>
          <cell r="B5194" t="str">
            <v>KIT,GE VIBRO-PAD,3/4 X 3" SS STUD &amp; HDWE</v>
          </cell>
          <cell r="C5194" t="str">
            <v>EA</v>
          </cell>
          <cell r="D5194" t="str">
            <v>MA100</v>
          </cell>
          <cell r="E5194">
            <v>22.531500000000001</v>
          </cell>
          <cell r="G5194">
            <v>950039</v>
          </cell>
        </row>
        <row r="5195">
          <cell r="A5195">
            <v>950043</v>
          </cell>
          <cell r="B5195" t="str">
            <v>KIT,PATIENT TABLE,SIEMENS RETROFIT,4ANCH</v>
          </cell>
          <cell r="C5195" t="str">
            <v>EA</v>
          </cell>
          <cell r="D5195" t="str">
            <v>MA100</v>
          </cell>
          <cell r="E5195">
            <v>87.250820000000004</v>
          </cell>
          <cell r="G5195">
            <v>950043</v>
          </cell>
        </row>
        <row r="5196">
          <cell r="A5196">
            <v>950044</v>
          </cell>
          <cell r="B5196" t="str">
            <v>KIT, EPOXY MAG ANCH 4EA-5/8" FEM * REV A</v>
          </cell>
          <cell r="C5196" t="str">
            <v>EA</v>
          </cell>
          <cell r="D5196" t="str">
            <v>MA100</v>
          </cell>
          <cell r="E5196">
            <v>295.29590000000002</v>
          </cell>
          <cell r="G5196">
            <v>950044</v>
          </cell>
        </row>
        <row r="5197">
          <cell r="A5197">
            <v>950045</v>
          </cell>
          <cell r="B5197" t="str">
            <v>KIT,G.E.PATIENT TABLE ANCH * REV B</v>
          </cell>
          <cell r="C5197" t="str">
            <v>EA</v>
          </cell>
          <cell r="D5197" t="str">
            <v>MA100</v>
          </cell>
          <cell r="E5197">
            <v>53.777419999999999</v>
          </cell>
          <cell r="G5197">
            <v>950045</v>
          </cell>
        </row>
        <row r="5198">
          <cell r="A5198">
            <v>950049</v>
          </cell>
          <cell r="B5198" t="str">
            <v>KIT,MRI DOOR STIFFENER CELL SHIELD</v>
          </cell>
          <cell r="C5198" t="str">
            <v>EA</v>
          </cell>
          <cell r="D5198" t="str">
            <v>MA100</v>
          </cell>
          <cell r="E5198">
            <v>107.37220000000001</v>
          </cell>
          <cell r="G5198">
            <v>950049</v>
          </cell>
        </row>
        <row r="5199">
          <cell r="A5199">
            <v>950052</v>
          </cell>
          <cell r="B5199" t="str">
            <v>KIT,SERVICE,LRF-MRI,DIAGNOSTIC,MR4</v>
          </cell>
          <cell r="C5199" t="str">
            <v>EA</v>
          </cell>
          <cell r="D5199" t="str">
            <v>MA100</v>
          </cell>
          <cell r="E5199">
            <v>164.22968</v>
          </cell>
          <cell r="G5199">
            <v>950052</v>
          </cell>
        </row>
        <row r="5200">
          <cell r="A5200">
            <v>950057</v>
          </cell>
          <cell r="B5200" t="str">
            <v>PLT,18GA,SIEMENS BLANK,46 1/2 X 26</v>
          </cell>
          <cell r="C5200" t="str">
            <v>EA</v>
          </cell>
          <cell r="D5200" t="str">
            <v>MA100</v>
          </cell>
          <cell r="E5200">
            <v>42.401580000000003</v>
          </cell>
          <cell r="G5200">
            <v>950057</v>
          </cell>
        </row>
        <row r="5201">
          <cell r="A5201">
            <v>950060</v>
          </cell>
          <cell r="B5201" t="str">
            <v>KIT,TOSHIBA VANTAGE Rev C</v>
          </cell>
          <cell r="C5201" t="str">
            <v>EA</v>
          </cell>
          <cell r="D5201" t="str">
            <v>MA100</v>
          </cell>
          <cell r="E5201">
            <v>657.60410999999999</v>
          </cell>
          <cell r="G5201">
            <v>950060</v>
          </cell>
        </row>
        <row r="5202">
          <cell r="A5202">
            <v>950061</v>
          </cell>
          <cell r="B5202" t="str">
            <v>ASSY,WALL,PHILIPS NEW PENPNL CELL OR CU</v>
          </cell>
          <cell r="C5202" t="str">
            <v>EA</v>
          </cell>
          <cell r="D5202" t="str">
            <v>MA100</v>
          </cell>
          <cell r="E5202">
            <v>23.466999999999999</v>
          </cell>
          <cell r="G5202">
            <v>950061</v>
          </cell>
        </row>
        <row r="5203">
          <cell r="A5203">
            <v>950062</v>
          </cell>
          <cell r="B5203" t="str">
            <v>ASSY, WALL,PHILIPS OLD PENPNL CELL OR CU</v>
          </cell>
          <cell r="C5203" t="str">
            <v>EA</v>
          </cell>
          <cell r="D5203" t="str">
            <v>MA100</v>
          </cell>
          <cell r="E5203">
            <v>57.186999999999998</v>
          </cell>
          <cell r="G5203">
            <v>950062</v>
          </cell>
        </row>
        <row r="5204">
          <cell r="A5204">
            <v>950063</v>
          </cell>
          <cell r="B5204" t="str">
            <v>ASSY,FLOOR ONLY,PHILIPS,MONO</v>
          </cell>
          <cell r="C5204" t="str">
            <v>EA</v>
          </cell>
          <cell r="D5204" t="str">
            <v>MA100</v>
          </cell>
          <cell r="E5204">
            <v>126.62963999999999</v>
          </cell>
          <cell r="G5204">
            <v>950063</v>
          </cell>
        </row>
        <row r="5205">
          <cell r="A5205">
            <v>950064</v>
          </cell>
          <cell r="B5205" t="str">
            <v>ASSY,FLOOR ONLY,PHILIPS,CELL</v>
          </cell>
          <cell r="C5205" t="str">
            <v>EA</v>
          </cell>
          <cell r="D5205" t="str">
            <v>MA100</v>
          </cell>
          <cell r="E5205">
            <v>184.52003999999999</v>
          </cell>
          <cell r="G5205">
            <v>950064</v>
          </cell>
        </row>
        <row r="5206">
          <cell r="A5206">
            <v>950066</v>
          </cell>
          <cell r="B5206" t="str">
            <v>T/M BOX, 36 X 36 X 36 W/ 24 OZ CU</v>
          </cell>
          <cell r="C5206" t="str">
            <v>EA</v>
          </cell>
          <cell r="D5206" t="str">
            <v>MA100</v>
          </cell>
          <cell r="E5206">
            <v>1984.08473</v>
          </cell>
          <cell r="G5206">
            <v>950066</v>
          </cell>
        </row>
        <row r="5207">
          <cell r="A5207">
            <v>950067</v>
          </cell>
          <cell r="B5207" t="str">
            <v>OBSOLETE</v>
          </cell>
          <cell r="C5207" t="str">
            <v>EA</v>
          </cell>
          <cell r="D5207" t="str">
            <v>MA100</v>
          </cell>
          <cell r="E5207">
            <v>111.87</v>
          </cell>
          <cell r="G5207">
            <v>950067</v>
          </cell>
        </row>
        <row r="5208">
          <cell r="A5208">
            <v>950068</v>
          </cell>
          <cell r="B5208" t="str">
            <v>KIT,SERVICE,IOSD,5'-0"</v>
          </cell>
          <cell r="C5208" t="str">
            <v>EA</v>
          </cell>
          <cell r="D5208" t="str">
            <v>MA100</v>
          </cell>
          <cell r="E5208">
            <v>304.01299999999998</v>
          </cell>
          <cell r="G5208">
            <v>950068</v>
          </cell>
        </row>
        <row r="5209">
          <cell r="A5209">
            <v>950069</v>
          </cell>
          <cell r="B5209" t="str">
            <v>KIT,SERVICE,IOSD,8'-4"</v>
          </cell>
          <cell r="C5209" t="str">
            <v>EA</v>
          </cell>
          <cell r="D5209" t="str">
            <v>MA100</v>
          </cell>
          <cell r="E5209">
            <v>372.88799999999998</v>
          </cell>
          <cell r="G5209">
            <v>950069</v>
          </cell>
        </row>
        <row r="5210">
          <cell r="A5210">
            <v>950070</v>
          </cell>
          <cell r="B5210" t="str">
            <v>KIT,MAINT/REPAIR FULL,IOSD,8'-8"</v>
          </cell>
          <cell r="C5210" t="str">
            <v>EA</v>
          </cell>
          <cell r="D5210" t="str">
            <v>MA100</v>
          </cell>
          <cell r="E5210">
            <v>442.77800000000002</v>
          </cell>
          <cell r="G5210">
            <v>950070</v>
          </cell>
        </row>
        <row r="5211">
          <cell r="A5211">
            <v>950071</v>
          </cell>
          <cell r="B5211" t="str">
            <v>KIT,MAINT/REPAIR FULL,IOSD 5' SSD</v>
          </cell>
          <cell r="C5211" t="str">
            <v>EA</v>
          </cell>
          <cell r="D5211" t="str">
            <v>MA100</v>
          </cell>
          <cell r="E5211">
            <v>343.21199999999999</v>
          </cell>
          <cell r="G5211">
            <v>950071</v>
          </cell>
        </row>
        <row r="5212">
          <cell r="A5212">
            <v>950080</v>
          </cell>
          <cell r="B5212" t="str">
            <v>KIT,FLOATING FLOOR 24'X20'</v>
          </cell>
          <cell r="C5212" t="str">
            <v>EA</v>
          </cell>
          <cell r="D5212" t="str">
            <v>MA100</v>
          </cell>
          <cell r="E5212">
            <v>2456.58338</v>
          </cell>
          <cell r="G5212">
            <v>950080</v>
          </cell>
        </row>
        <row r="5213">
          <cell r="A5213">
            <v>950091</v>
          </cell>
          <cell r="B5213" t="str">
            <v>KIT,MRI INSTALL/FLOOR</v>
          </cell>
          <cell r="C5213" t="str">
            <v>EA</v>
          </cell>
          <cell r="D5213" t="str">
            <v>MA100</v>
          </cell>
          <cell r="E5213">
            <v>80.949280000000002</v>
          </cell>
          <cell r="G5213">
            <v>950091</v>
          </cell>
        </row>
        <row r="5214">
          <cell r="A5214">
            <v>950092</v>
          </cell>
          <cell r="B5214" t="str">
            <v>KIT, INSTALL/FLOOR (FLOATING)</v>
          </cell>
          <cell r="C5214" t="str">
            <v>EA</v>
          </cell>
          <cell r="D5214" t="str">
            <v>MA100</v>
          </cell>
          <cell r="E5214">
            <v>73.431479999999993</v>
          </cell>
          <cell r="G5214">
            <v>950092</v>
          </cell>
        </row>
        <row r="5215">
          <cell r="A5215">
            <v>950096</v>
          </cell>
          <cell r="B5215" t="str">
            <v>ASSY,MRI WINDOW 36X48</v>
          </cell>
          <cell r="C5215" t="str">
            <v>EA</v>
          </cell>
          <cell r="D5215" t="str">
            <v>MA100</v>
          </cell>
          <cell r="E5215">
            <v>540.92016999999998</v>
          </cell>
          <cell r="G5215">
            <v>950096</v>
          </cell>
        </row>
        <row r="5216">
          <cell r="A5216">
            <v>950097</v>
          </cell>
          <cell r="B5216" t="str">
            <v>ASSY,MRI WINDOW 42X48</v>
          </cell>
          <cell r="C5216" t="str">
            <v>EA</v>
          </cell>
          <cell r="D5216" t="str">
            <v>MA100</v>
          </cell>
          <cell r="E5216">
            <v>659.61455000000001</v>
          </cell>
          <cell r="G5216">
            <v>950097</v>
          </cell>
        </row>
        <row r="5217">
          <cell r="A5217">
            <v>950098</v>
          </cell>
          <cell r="B5217" t="str">
            <v>ASSY,MRI WINDOW 48X48</v>
          </cell>
          <cell r="C5217" t="str">
            <v>EA</v>
          </cell>
          <cell r="D5217" t="str">
            <v>MA100</v>
          </cell>
          <cell r="E5217">
            <v>663.95893000000001</v>
          </cell>
          <cell r="G5217">
            <v>950098</v>
          </cell>
        </row>
        <row r="5218">
          <cell r="A5218">
            <v>950099</v>
          </cell>
          <cell r="B5218" t="str">
            <v>ASSY,MRI WINDOW 20-3/4x36-3/4,GS</v>
          </cell>
          <cell r="C5218" t="str">
            <v>EA</v>
          </cell>
          <cell r="D5218" t="str">
            <v>FG304</v>
          </cell>
          <cell r="E5218">
            <v>328.11025999999998</v>
          </cell>
          <cell r="G5218">
            <v>950099</v>
          </cell>
        </row>
        <row r="5219">
          <cell r="A5219">
            <v>950100</v>
          </cell>
          <cell r="B5219" t="str">
            <v>ASSY,MRI WINDOW 20X32,GS</v>
          </cell>
          <cell r="C5219" t="str">
            <v>EA</v>
          </cell>
          <cell r="D5219" t="str">
            <v>MA100</v>
          </cell>
          <cell r="E5219">
            <v>212.81026</v>
          </cell>
          <cell r="G5219">
            <v>950100</v>
          </cell>
        </row>
        <row r="5220">
          <cell r="A5220">
            <v>950101</v>
          </cell>
          <cell r="B5220" t="str">
            <v>ASSY,MRI WINDOW 15X36,GS</v>
          </cell>
          <cell r="C5220" t="str">
            <v>EA</v>
          </cell>
          <cell r="D5220" t="str">
            <v>MA100</v>
          </cell>
          <cell r="E5220">
            <v>344.41278</v>
          </cell>
          <cell r="G5220">
            <v>950101</v>
          </cell>
        </row>
        <row r="5221">
          <cell r="A5221">
            <v>950103</v>
          </cell>
          <cell r="B5221" t="str">
            <v>ASSY,MRI WINDOW 36X36</v>
          </cell>
          <cell r="C5221" t="str">
            <v>EA</v>
          </cell>
          <cell r="D5221" t="str">
            <v>MA100</v>
          </cell>
          <cell r="E5221">
            <v>497.25641000000002</v>
          </cell>
          <cell r="G5221">
            <v>950103</v>
          </cell>
        </row>
        <row r="5222">
          <cell r="A5222">
            <v>950104</v>
          </cell>
          <cell r="B5222" t="str">
            <v>ASSY,MRI WINDOW 36X10, CRATED</v>
          </cell>
          <cell r="C5222" t="str">
            <v>EA</v>
          </cell>
          <cell r="D5222" t="str">
            <v>MA100</v>
          </cell>
          <cell r="E5222">
            <v>319.65784000000002</v>
          </cell>
          <cell r="G5222">
            <v>950104</v>
          </cell>
        </row>
        <row r="5223">
          <cell r="A5223">
            <v>950105</v>
          </cell>
          <cell r="B5223" t="str">
            <v>ASSY,MRI WINDOW 36X11</v>
          </cell>
          <cell r="C5223" t="str">
            <v>EA</v>
          </cell>
          <cell r="D5223" t="str">
            <v>MA100</v>
          </cell>
          <cell r="E5223">
            <v>319.65784000000002</v>
          </cell>
          <cell r="G5223">
            <v>950105</v>
          </cell>
        </row>
        <row r="5224">
          <cell r="A5224">
            <v>950106</v>
          </cell>
          <cell r="B5224" t="str">
            <v>ASSY,MRI WINDOW 36X16</v>
          </cell>
          <cell r="C5224" t="str">
            <v>EA</v>
          </cell>
          <cell r="D5224" t="str">
            <v>MA100</v>
          </cell>
          <cell r="E5224">
            <v>414.58526000000001</v>
          </cell>
          <cell r="G5224">
            <v>950106</v>
          </cell>
        </row>
        <row r="5225">
          <cell r="A5225">
            <v>950107</v>
          </cell>
          <cell r="B5225" t="str">
            <v>ASSY,MRI WINDOW 36X12</v>
          </cell>
          <cell r="C5225" t="str">
            <v>EA</v>
          </cell>
          <cell r="D5225" t="str">
            <v>MA100</v>
          </cell>
          <cell r="E5225">
            <v>319.65784000000002</v>
          </cell>
          <cell r="G5225">
            <v>950107</v>
          </cell>
        </row>
        <row r="5226">
          <cell r="A5226">
            <v>950110</v>
          </cell>
          <cell r="B5226" t="str">
            <v>KIT,MRI MODULAR FLOOR KIT</v>
          </cell>
          <cell r="C5226" t="str">
            <v>EA</v>
          </cell>
          <cell r="D5226" t="str">
            <v>MA100</v>
          </cell>
          <cell r="E5226">
            <v>289.93628000000001</v>
          </cell>
          <cell r="G5226">
            <v>950110</v>
          </cell>
        </row>
        <row r="5227">
          <cell r="A5227">
            <v>950111</v>
          </cell>
          <cell r="B5227" t="str">
            <v>ASSY,MRI WINDOW 48X72</v>
          </cell>
          <cell r="C5227" t="str">
            <v>EA</v>
          </cell>
          <cell r="D5227" t="str">
            <v>MA100</v>
          </cell>
          <cell r="E5227">
            <v>1016.8441</v>
          </cell>
          <cell r="G5227">
            <v>950111</v>
          </cell>
        </row>
        <row r="5228">
          <cell r="A5228">
            <v>950112</v>
          </cell>
          <cell r="B5228" t="str">
            <v>ASSY,MRI WINDOW 48X60</v>
          </cell>
          <cell r="C5228" t="str">
            <v>EA</v>
          </cell>
          <cell r="D5228" t="str">
            <v>MA100</v>
          </cell>
          <cell r="E5228">
            <v>740.95393999999999</v>
          </cell>
          <cell r="G5228">
            <v>950112</v>
          </cell>
        </row>
        <row r="5229">
          <cell r="A5229">
            <v>950113</v>
          </cell>
          <cell r="B5229" t="str">
            <v>ASSY,MRI WINDOW 42X60</v>
          </cell>
          <cell r="C5229" t="str">
            <v>EA</v>
          </cell>
          <cell r="D5229" t="str">
            <v>MA100</v>
          </cell>
          <cell r="E5229">
            <v>682.74846000000002</v>
          </cell>
          <cell r="G5229">
            <v>950113</v>
          </cell>
        </row>
        <row r="5230">
          <cell r="A5230">
            <v>950114</v>
          </cell>
          <cell r="B5230" t="str">
            <v>ASSY,MRI WINDOW 4X4</v>
          </cell>
          <cell r="C5230" t="str">
            <v>EA</v>
          </cell>
          <cell r="D5230" t="str">
            <v>MA100</v>
          </cell>
          <cell r="E5230">
            <v>159.62678</v>
          </cell>
          <cell r="G5230">
            <v>950114</v>
          </cell>
        </row>
        <row r="5231">
          <cell r="A5231">
            <v>950115</v>
          </cell>
          <cell r="B5231" t="str">
            <v>ASSY,MRI WINDOW 48X72 W/T-BAR SUP</v>
          </cell>
          <cell r="C5231" t="str">
            <v>EA</v>
          </cell>
          <cell r="D5231" t="str">
            <v>MA100</v>
          </cell>
          <cell r="E5231">
            <v>1197.8441</v>
          </cell>
          <cell r="G5231">
            <v>950115</v>
          </cell>
        </row>
        <row r="5232">
          <cell r="A5232">
            <v>950117</v>
          </cell>
          <cell r="B5232" t="str">
            <v>ASSY,MRI WINDOW 36X60</v>
          </cell>
          <cell r="C5232" t="str">
            <v>EA</v>
          </cell>
          <cell r="D5232" t="str">
            <v>MA100</v>
          </cell>
          <cell r="E5232">
            <v>633.40392999999995</v>
          </cell>
          <cell r="G5232">
            <v>950117</v>
          </cell>
        </row>
        <row r="5233">
          <cell r="A5233">
            <v>950118</v>
          </cell>
          <cell r="B5233" t="str">
            <v>ASSY,MRI WINDOW 36X72</v>
          </cell>
          <cell r="C5233" t="str">
            <v>EA</v>
          </cell>
          <cell r="D5233" t="str">
            <v>MA100</v>
          </cell>
          <cell r="E5233">
            <v>730.75034000000005</v>
          </cell>
          <cell r="G5233">
            <v>950118</v>
          </cell>
        </row>
        <row r="5234">
          <cell r="A5234">
            <v>950119</v>
          </cell>
          <cell r="B5234" t="str">
            <v>ASSY,MRI WINDOW 42X72</v>
          </cell>
          <cell r="C5234" t="str">
            <v>EA</v>
          </cell>
          <cell r="D5234" t="str">
            <v>MA100</v>
          </cell>
          <cell r="E5234">
            <v>771.24390000000005</v>
          </cell>
          <cell r="G5234">
            <v>950119</v>
          </cell>
        </row>
        <row r="5235">
          <cell r="A5235">
            <v>950120</v>
          </cell>
          <cell r="B5235" t="str">
            <v>ASSY,MRI WINDOW 36X42</v>
          </cell>
          <cell r="C5235" t="str">
            <v>EA</v>
          </cell>
          <cell r="D5235" t="str">
            <v>MA100</v>
          </cell>
          <cell r="E5235">
            <v>517.63579000000004</v>
          </cell>
          <cell r="G5235">
            <v>950120</v>
          </cell>
        </row>
        <row r="5236">
          <cell r="A5236">
            <v>950122</v>
          </cell>
          <cell r="B5236" t="str">
            <v>ASSY,MRI WINDOW 42X42</v>
          </cell>
          <cell r="C5236" t="str">
            <v>EA</v>
          </cell>
          <cell r="D5236" t="str">
            <v>MA100</v>
          </cell>
          <cell r="E5236">
            <v>554.68016999999998</v>
          </cell>
          <cell r="G5236">
            <v>950122</v>
          </cell>
        </row>
        <row r="5237">
          <cell r="A5237">
            <v>950125</v>
          </cell>
          <cell r="B5237" t="str">
            <v>ASSY,MRI WINDOW 24X24</v>
          </cell>
          <cell r="C5237" t="str">
            <v>EA</v>
          </cell>
          <cell r="D5237" t="str">
            <v>MA100</v>
          </cell>
          <cell r="E5237">
            <v>360.25333999999998</v>
          </cell>
          <cell r="G5237">
            <v>950125</v>
          </cell>
        </row>
        <row r="5238">
          <cell r="A5238">
            <v>950133</v>
          </cell>
          <cell r="B5238" t="str">
            <v>ASSY,MRI WINDOW 16X24 W MTG HOLES</v>
          </cell>
          <cell r="C5238" t="str">
            <v>EA</v>
          </cell>
          <cell r="D5238" t="str">
            <v>MA100</v>
          </cell>
          <cell r="E5238">
            <v>332.30613</v>
          </cell>
          <cell r="G5238">
            <v>950133</v>
          </cell>
        </row>
        <row r="5239">
          <cell r="A5239">
            <v>950134</v>
          </cell>
          <cell r="B5239" t="str">
            <v>ASSY,MRI WINDOW 18X24 NO MTG HOLES</v>
          </cell>
          <cell r="C5239" t="str">
            <v>EA</v>
          </cell>
          <cell r="D5239" t="str">
            <v>MA100</v>
          </cell>
          <cell r="E5239">
            <v>142.19318999999999</v>
          </cell>
          <cell r="G5239">
            <v>950134</v>
          </cell>
        </row>
        <row r="5240">
          <cell r="A5240">
            <v>950135</v>
          </cell>
          <cell r="B5240" t="str">
            <v>ASSY,MRI WINDOW 18X18</v>
          </cell>
          <cell r="C5240" t="str">
            <v>EA</v>
          </cell>
          <cell r="D5240" t="str">
            <v>MA100</v>
          </cell>
          <cell r="E5240">
            <v>142.19318999999999</v>
          </cell>
          <cell r="G5240">
            <v>950135</v>
          </cell>
        </row>
        <row r="5241">
          <cell r="A5241">
            <v>950136</v>
          </cell>
          <cell r="B5241" t="str">
            <v>ASSY,MRI WINDOW 6X20</v>
          </cell>
          <cell r="C5241" t="str">
            <v>EA</v>
          </cell>
          <cell r="D5241" t="str">
            <v>MA100</v>
          </cell>
          <cell r="E5241">
            <v>312.42899</v>
          </cell>
          <cell r="G5241">
            <v>950136</v>
          </cell>
        </row>
        <row r="5242">
          <cell r="A5242" t="str">
            <v>A1811</v>
          </cell>
          <cell r="B5242" t="str">
            <v>PAINT, BLUE</v>
          </cell>
          <cell r="C5242" t="str">
            <v>GA</v>
          </cell>
          <cell r="D5242" t="str">
            <v>MA100</v>
          </cell>
          <cell r="E5242">
            <v>12.425000000000001</v>
          </cell>
          <cell r="G5242" t="str">
            <v>A1811</v>
          </cell>
        </row>
        <row r="5243">
          <cell r="A5243" t="str">
            <v>A1812</v>
          </cell>
          <cell r="B5243" t="str">
            <v>PAINT, BLUE, 1 gallon can</v>
          </cell>
          <cell r="C5243" t="str">
            <v>GA</v>
          </cell>
          <cell r="D5243" t="str">
            <v>RM100</v>
          </cell>
          <cell r="E5243">
            <v>0</v>
          </cell>
          <cell r="G5243" t="str">
            <v>A1812</v>
          </cell>
        </row>
        <row r="5244">
          <cell r="A5244" t="str">
            <v>A35052</v>
          </cell>
          <cell r="B5244" t="str">
            <v>FERRITE TILE 5.2MM wHole</v>
          </cell>
          <cell r="C5244" t="str">
            <v>EA</v>
          </cell>
          <cell r="D5244" t="str">
            <v>RM100</v>
          </cell>
          <cell r="E5244">
            <v>1.7</v>
          </cell>
          <cell r="G5244" t="str">
            <v>A35052</v>
          </cell>
        </row>
        <row r="5245">
          <cell r="A5245" t="str">
            <v>A35067</v>
          </cell>
          <cell r="B5245" t="str">
            <v>FERRITE TILE 6.7 MM wHole</v>
          </cell>
          <cell r="C5245" t="str">
            <v>EA</v>
          </cell>
          <cell r="D5245" t="str">
            <v>RM100</v>
          </cell>
          <cell r="E5245">
            <v>0</v>
          </cell>
          <cell r="G5245" t="str">
            <v>A35067</v>
          </cell>
        </row>
        <row r="5246">
          <cell r="A5246" t="str">
            <v>A3515</v>
          </cell>
          <cell r="B5246" t="str">
            <v>SCREW,#10-16x3/4" PH OVAL HD W/WASHER</v>
          </cell>
          <cell r="C5246" t="str">
            <v>EA</v>
          </cell>
          <cell r="D5246" t="str">
            <v>MA100</v>
          </cell>
          <cell r="E5246">
            <v>2.3359999999999999E-2</v>
          </cell>
          <cell r="G5246" t="str">
            <v>A3515</v>
          </cell>
        </row>
        <row r="5247">
          <cell r="A5247" t="str">
            <v>A3519</v>
          </cell>
          <cell r="B5247" t="str">
            <v>SCREW,#10-16x1 5/8" PH OVAL HD W/WASHER</v>
          </cell>
          <cell r="C5247" t="str">
            <v>EA</v>
          </cell>
          <cell r="D5247" t="str">
            <v>RM100</v>
          </cell>
          <cell r="E5247">
            <v>0</v>
          </cell>
          <cell r="G5247" t="str">
            <v>A3519</v>
          </cell>
        </row>
        <row r="5248">
          <cell r="A5248" t="str">
            <v>A51500-S</v>
          </cell>
          <cell r="B5248" t="str">
            <v>FT-1500 TILE PANEL w/5/8" BACKER w/SCREW</v>
          </cell>
          <cell r="C5248" t="str">
            <v>EA</v>
          </cell>
          <cell r="D5248" t="str">
            <v>FG202</v>
          </cell>
          <cell r="E5248">
            <v>0</v>
          </cell>
          <cell r="G5248" t="str">
            <v>A51500-S</v>
          </cell>
        </row>
        <row r="5249">
          <cell r="A5249" t="str">
            <v>ALFBCL032424</v>
          </cell>
          <cell r="B5249" t="str">
            <v>lfbCL 2.25 X 24 X24  .22 loading</v>
          </cell>
          <cell r="C5249" t="str">
            <v>EA</v>
          </cell>
          <cell r="D5249" t="str">
            <v>FG201</v>
          </cell>
          <cell r="E5249">
            <v>30.14133</v>
          </cell>
          <cell r="G5249" t="str">
            <v>ALFBCL032424</v>
          </cell>
        </row>
        <row r="5250">
          <cell r="A5250" t="str">
            <v>E-020-020</v>
          </cell>
          <cell r="B5250" t="str">
            <v>End Cap, For 1" ID Penetration,</v>
          </cell>
          <cell r="C5250" t="str">
            <v>EA</v>
          </cell>
          <cell r="D5250" t="str">
            <v>MA100</v>
          </cell>
          <cell r="E5250">
            <v>0.55000000000000004</v>
          </cell>
          <cell r="G5250" t="str">
            <v>E-020-020</v>
          </cell>
        </row>
        <row r="5251">
          <cell r="A5251" t="str">
            <v>e-05120-1.0</v>
          </cell>
          <cell r="B5251" t="str">
            <v>Penetration Assy KIT. 1" ID x 3.0" L</v>
          </cell>
          <cell r="C5251" t="str">
            <v>EA</v>
          </cell>
          <cell r="D5251" t="str">
            <v>MA100</v>
          </cell>
          <cell r="E5251">
            <v>19.702999999999999</v>
          </cell>
          <cell r="G5251" t="str">
            <v>e-05120-1.0</v>
          </cell>
        </row>
        <row r="5252">
          <cell r="A5252" t="str">
            <v>E-E-1797</v>
          </cell>
          <cell r="B5252" t="str">
            <v>RF FILTER,250/415VAC,2x5.0A,0-60Hz,100dB</v>
          </cell>
          <cell r="C5252" t="str">
            <v>EA</v>
          </cell>
          <cell r="D5252" t="str">
            <v>FG440</v>
          </cell>
          <cell r="E5252">
            <v>480.54</v>
          </cell>
          <cell r="G5252" t="str">
            <v>E-E-1797</v>
          </cell>
        </row>
        <row r="5253">
          <cell r="A5253" t="str">
            <v>E-E-1889</v>
          </cell>
          <cell r="B5253" t="str">
            <v>RF Filter,UL,250VDC,250VAC,2x12A,60Hz</v>
          </cell>
          <cell r="C5253" t="str">
            <v>EA</v>
          </cell>
          <cell r="D5253" t="str">
            <v>FG440</v>
          </cell>
          <cell r="E5253">
            <v>738.12</v>
          </cell>
          <cell r="G5253" t="str">
            <v>E-E-1889</v>
          </cell>
        </row>
        <row r="5254">
          <cell r="A5254" t="str">
            <v>E-E-2030-2C</v>
          </cell>
          <cell r="B5254" t="str">
            <v>RF Filter, 277/480VAC, 2 x30 AMP, 0-60 H</v>
          </cell>
          <cell r="C5254" t="str">
            <v>EA</v>
          </cell>
          <cell r="D5254" t="str">
            <v>FG440</v>
          </cell>
          <cell r="E5254">
            <v>1436.424</v>
          </cell>
          <cell r="G5254" t="str">
            <v>E-E-2030-2C</v>
          </cell>
        </row>
        <row r="5255">
          <cell r="A5255" t="str">
            <v>E-EC-4005-1C</v>
          </cell>
          <cell r="B5255" t="str">
            <v>RF FILTER, 4x5A,250/430VAC,0-60Hz</v>
          </cell>
          <cell r="C5255" t="str">
            <v>EA</v>
          </cell>
          <cell r="D5255" t="str">
            <v>FG440</v>
          </cell>
          <cell r="E5255">
            <v>612.41999999999996</v>
          </cell>
          <cell r="G5255" t="str">
            <v>E-EC-4005-1C</v>
          </cell>
        </row>
        <row r="5256">
          <cell r="A5256" t="str">
            <v>E-EC-4005-1C/PEN</v>
          </cell>
          <cell r="B5256" t="str">
            <v>RF FILTER, 4x5A,250/430VAC,0-60Hz</v>
          </cell>
          <cell r="C5256" t="str">
            <v>EA</v>
          </cell>
          <cell r="D5256" t="str">
            <v>MA100</v>
          </cell>
          <cell r="E5256">
            <v>640.70000000000005</v>
          </cell>
          <cell r="G5256" t="str">
            <v>E-EC-4005-1C/PEN</v>
          </cell>
        </row>
        <row r="5257">
          <cell r="A5257" t="str">
            <v>E-ELUL-2030</v>
          </cell>
          <cell r="B5257" t="str">
            <v>RF FLTR,277/480VAC/VDC,2x0-30A,60Hz</v>
          </cell>
          <cell r="C5257" t="str">
            <v>EA</v>
          </cell>
          <cell r="D5257" t="str">
            <v>FG440</v>
          </cell>
          <cell r="E5257">
            <v>346.78858000000002</v>
          </cell>
          <cell r="G5257" t="str">
            <v>E-ELUL-2030</v>
          </cell>
        </row>
        <row r="5258">
          <cell r="A5258" t="str">
            <v>E-ELUL-2030/PEN</v>
          </cell>
          <cell r="B5258" t="str">
            <v>RF FLTR,277/480VAC/VDC,2x0-30A,60Hz</v>
          </cell>
          <cell r="C5258" t="str">
            <v>EA</v>
          </cell>
          <cell r="D5258" t="str">
            <v>FG440</v>
          </cell>
          <cell r="E5258">
            <v>411.67</v>
          </cell>
          <cell r="G5258" t="str">
            <v>E-ELUL-2030/PEN</v>
          </cell>
        </row>
        <row r="5259">
          <cell r="A5259" t="str">
            <v>E-EQ-2001-1C</v>
          </cell>
          <cell r="B5259" t="str">
            <v>RF Filter, UL, 250 VAC/VDC, 0 - 60 H</v>
          </cell>
          <cell r="C5259" t="str">
            <v>EA</v>
          </cell>
          <cell r="D5259" t="str">
            <v>FG440</v>
          </cell>
          <cell r="E5259">
            <v>293.85000000000002</v>
          </cell>
          <cell r="G5259" t="str">
            <v>E-EQ-2001-1C</v>
          </cell>
        </row>
        <row r="5260">
          <cell r="A5260" t="str">
            <v>E-EQ-2001-NR</v>
          </cell>
          <cell r="B5260" t="str">
            <v>RF Filter, 30 VAC / 50 VDC, 2 x 1.0 Amp,</v>
          </cell>
          <cell r="C5260" t="str">
            <v>EA</v>
          </cell>
          <cell r="D5260" t="str">
            <v>FG440</v>
          </cell>
          <cell r="E5260">
            <v>294.08999999999997</v>
          </cell>
          <cell r="G5260" t="str">
            <v>E-EQ-2001-NR</v>
          </cell>
        </row>
        <row r="5261">
          <cell r="A5261" t="str">
            <v>E-EQ-2001-NR/PEN</v>
          </cell>
          <cell r="B5261" t="str">
            <v>RF Filter, 30 VAC / 50 VDC, 2 x 1.0 Amp,</v>
          </cell>
          <cell r="C5261" t="str">
            <v>EA</v>
          </cell>
          <cell r="D5261" t="str">
            <v>FG440</v>
          </cell>
          <cell r="E5261">
            <v>309.94</v>
          </cell>
          <cell r="G5261" t="str">
            <v>E-EQ-2001-NR/PEN</v>
          </cell>
        </row>
        <row r="5262">
          <cell r="A5262" t="str">
            <v>E-EQ-2010-1C</v>
          </cell>
          <cell r="B5262" t="str">
            <v>RF FILTER,0-250VAC, 2x10 Amp,0-60Hz</v>
          </cell>
          <cell r="C5262" t="str">
            <v>EA</v>
          </cell>
          <cell r="D5262" t="str">
            <v>FG440</v>
          </cell>
          <cell r="E5262">
            <v>289.05</v>
          </cell>
          <cell r="G5262" t="str">
            <v>E-EQ-2010-1C</v>
          </cell>
        </row>
        <row r="5263">
          <cell r="A5263" t="str">
            <v>E-EQ-2010-1C/PEN</v>
          </cell>
          <cell r="B5263" t="str">
            <v>RF FILTER,0-250VAC, 2x10 Amp,0-60Hz</v>
          </cell>
          <cell r="C5263" t="str">
            <v>EA</v>
          </cell>
          <cell r="D5263" t="str">
            <v>FG440</v>
          </cell>
          <cell r="E5263">
            <v>313.26</v>
          </cell>
          <cell r="G5263" t="str">
            <v>E-EQ-2010-1C/PEN</v>
          </cell>
        </row>
        <row r="5264">
          <cell r="A5264" t="str">
            <v>E-EQ-2010-1C/SPL</v>
          </cell>
          <cell r="B5264" t="str">
            <v>RF FILTER,0 - 250VAC, 2x10 Amp,0-60Hz</v>
          </cell>
          <cell r="C5264" t="str">
            <v>EA</v>
          </cell>
          <cell r="D5264" t="str">
            <v>FG440</v>
          </cell>
          <cell r="E5264">
            <v>313.26</v>
          </cell>
          <cell r="G5264" t="str">
            <v>E-EQ-2010-1C/SPL</v>
          </cell>
        </row>
        <row r="5265">
          <cell r="A5265" t="str">
            <v>E-EQ-2010-1C-TS/PEN</v>
          </cell>
          <cell r="B5265" t="str">
            <v>RF FILTER,0-250VAC, 2x10 Amp,0-60Hz</v>
          </cell>
          <cell r="C5265" t="str">
            <v>EA</v>
          </cell>
          <cell r="D5265" t="str">
            <v>FG440</v>
          </cell>
          <cell r="E5265">
            <v>316.04000000000002</v>
          </cell>
          <cell r="G5265" t="str">
            <v>E-EQ-2010-1C-TS/PEN</v>
          </cell>
        </row>
        <row r="5266">
          <cell r="A5266" t="str">
            <v>E-EQ-2010-NR</v>
          </cell>
          <cell r="B5266" t="str">
            <v>RF FILTER,30VAC/50VDC, 2x10 Amp,0-60Hz</v>
          </cell>
          <cell r="C5266" t="str">
            <v>EA</v>
          </cell>
          <cell r="D5266" t="str">
            <v>FG440</v>
          </cell>
          <cell r="E5266">
            <v>293.18</v>
          </cell>
          <cell r="G5266" t="str">
            <v>E-EQ-2010-NR</v>
          </cell>
        </row>
        <row r="5267">
          <cell r="A5267" t="str">
            <v>E-EQ-2010-NR/PEN</v>
          </cell>
          <cell r="B5267" t="str">
            <v>RF FILTER,30VAC/50VDC, 2x10 Amp,0-60Hz</v>
          </cell>
          <cell r="C5267" t="str">
            <v>EA</v>
          </cell>
          <cell r="D5267" t="str">
            <v>FG440</v>
          </cell>
          <cell r="E5267">
            <v>312.92</v>
          </cell>
          <cell r="G5267" t="str">
            <v>E-EQ-2010-NR/PEN</v>
          </cell>
        </row>
        <row r="5268">
          <cell r="A5268" t="str">
            <v>E-EQ-2030-1C/PEN</v>
          </cell>
          <cell r="B5268" t="str">
            <v>RF FILTER,250VAC/250VDC,2x30 Amp,0-60Hz</v>
          </cell>
          <cell r="C5268" t="str">
            <v>EA</v>
          </cell>
          <cell r="D5268" t="str">
            <v>FG440</v>
          </cell>
          <cell r="E5268">
            <v>632.19000000000005</v>
          </cell>
          <cell r="G5268" t="str">
            <v>E-EQ-2030-1C/PEN</v>
          </cell>
        </row>
        <row r="5269">
          <cell r="A5269" t="str">
            <v>E-HEMP-2030</v>
          </cell>
          <cell r="B5269" t="str">
            <v>HEMP PWR FILTER,277/480VAC,2x30A</v>
          </cell>
          <cell r="C5269" t="str">
            <v>EA</v>
          </cell>
          <cell r="D5269" t="str">
            <v>FG440</v>
          </cell>
          <cell r="E5269">
            <v>1089.04</v>
          </cell>
          <cell r="G5269" t="str">
            <v>E-HEMP-2030</v>
          </cell>
        </row>
        <row r="5270">
          <cell r="A5270" t="str">
            <v>E-LFPRX-4X100</v>
          </cell>
          <cell r="B5270" t="str">
            <v>FLTR PANEL,4x100A,277/480VAC,14kHz-40GHz</v>
          </cell>
          <cell r="C5270" t="str">
            <v>EA</v>
          </cell>
          <cell r="D5270" t="str">
            <v>MA100</v>
          </cell>
          <cell r="E5270">
            <v>5299.91</v>
          </cell>
          <cell r="G5270" t="str">
            <v>E-LFPRX-4X100</v>
          </cell>
        </row>
        <row r="5271">
          <cell r="A5271" t="str">
            <v>E-LFPRX-4X60/PEN</v>
          </cell>
          <cell r="B5271" t="str">
            <v>FILTER PANEL,4X60A,0-60Hz,100dB,14kHz-40</v>
          </cell>
          <cell r="C5271" t="str">
            <v>EA</v>
          </cell>
          <cell r="D5271" t="str">
            <v>MA100</v>
          </cell>
          <cell r="E5271">
            <v>5634.41</v>
          </cell>
        </row>
        <row r="5272">
          <cell r="A5272" t="str">
            <v>E-LFPRX-4x200/PEN</v>
          </cell>
          <cell r="B5272" t="str">
            <v>FLTR PANEL,4x200A,277/480VAC,14kHz-40GHz</v>
          </cell>
          <cell r="C5272" t="str">
            <v>EA</v>
          </cell>
          <cell r="D5272" t="str">
            <v>FG440</v>
          </cell>
          <cell r="E5272">
            <v>7366.2941199999996</v>
          </cell>
          <cell r="G5272" t="str">
            <v>E-LFPRX-4x200/PEN</v>
          </cell>
        </row>
        <row r="5273">
          <cell r="A5273" t="str">
            <v>E-LFPRX-4X60-4/PEN</v>
          </cell>
          <cell r="B5273" t="str">
            <v>FLTR PANEL,120/208VAC,4x60A,14kHz-40GHz</v>
          </cell>
          <cell r="C5273" t="str">
            <v>EA</v>
          </cell>
          <cell r="D5273" t="str">
            <v>FG440</v>
          </cell>
          <cell r="E5273">
            <v>5832.3621599999997</v>
          </cell>
          <cell r="G5273" t="str">
            <v>E-LFPRX-4X60-4/PEN</v>
          </cell>
        </row>
        <row r="5274">
          <cell r="A5274" t="str">
            <v>E-LMF-3519</v>
          </cell>
          <cell r="B5274" t="str">
            <v>RF FILTER, 24VDC,.10A,0-6.5MHZ,75OHM</v>
          </cell>
          <cell r="C5274" t="str">
            <v>EA</v>
          </cell>
          <cell r="D5274" t="str">
            <v>FG440</v>
          </cell>
          <cell r="E5274">
            <v>0</v>
          </cell>
          <cell r="G5274" t="str">
            <v>E-LMF-3519</v>
          </cell>
        </row>
        <row r="5275">
          <cell r="A5275" t="str">
            <v>E-LMF-4112</v>
          </cell>
          <cell r="B5275" t="str">
            <v>MRI FILTER,250VAC, 2x30 AMP,0-60Hz</v>
          </cell>
          <cell r="C5275" t="str">
            <v>EA</v>
          </cell>
          <cell r="D5275" t="str">
            <v>FG440</v>
          </cell>
          <cell r="E5275">
            <v>310</v>
          </cell>
          <cell r="G5275" t="str">
            <v>E-LMF-4112</v>
          </cell>
        </row>
        <row r="5276">
          <cell r="A5276" t="str">
            <v>E-LMF-4113</v>
          </cell>
          <cell r="B5276" t="str">
            <v>FILTER,USB 2.0,w/PEN FOR SHIELDED ROOM</v>
          </cell>
          <cell r="C5276" t="str">
            <v>EA</v>
          </cell>
          <cell r="D5276" t="str">
            <v>FG440</v>
          </cell>
          <cell r="E5276">
            <v>1613.19</v>
          </cell>
          <cell r="G5276" t="str">
            <v>E-LMF-4113</v>
          </cell>
        </row>
        <row r="5277">
          <cell r="A5277" t="str">
            <v>E-LMF-4126</v>
          </cell>
          <cell r="B5277" t="str">
            <v>Signal Spker Filter,125VAC,4x2A,0-40kHz</v>
          </cell>
          <cell r="C5277" t="str">
            <v>EA</v>
          </cell>
          <cell r="D5277" t="str">
            <v>FG440</v>
          </cell>
          <cell r="E5277">
            <v>1050.68600001</v>
          </cell>
          <cell r="G5277" t="str">
            <v>E-LMF-4126</v>
          </cell>
        </row>
        <row r="5278">
          <cell r="A5278" t="str">
            <v>E-LMF-4132</v>
          </cell>
          <cell r="B5278" t="str">
            <v>RF FLTR,250/415VAC,2x10A,IEC CONN</v>
          </cell>
          <cell r="C5278" t="str">
            <v>EA</v>
          </cell>
          <cell r="D5278" t="str">
            <v>MA100</v>
          </cell>
          <cell r="E5278">
            <v>707.39</v>
          </cell>
          <cell r="G5278" t="str">
            <v>E-LMF-4132</v>
          </cell>
        </row>
        <row r="5279">
          <cell r="A5279" t="str">
            <v>E-LMF-4135</v>
          </cell>
          <cell r="B5279" t="str">
            <v>RF FLTR,0-415VAC,2x10A,BINDING POST</v>
          </cell>
          <cell r="C5279" t="str">
            <v>EA</v>
          </cell>
          <cell r="D5279" t="str">
            <v>MA100</v>
          </cell>
          <cell r="E5279">
            <v>613.26</v>
          </cell>
          <cell r="G5279" t="str">
            <v>E-LMF-4135</v>
          </cell>
        </row>
        <row r="5280">
          <cell r="A5280" t="str">
            <v>E-LMF-4369</v>
          </cell>
          <cell r="B5280" t="str">
            <v>Telephone Filter, 125VAC,5kHz,14kHz-18G</v>
          </cell>
          <cell r="C5280" t="str">
            <v>EA</v>
          </cell>
          <cell r="D5280" t="str">
            <v>FG440</v>
          </cell>
          <cell r="E5280">
            <v>1015.874</v>
          </cell>
          <cell r="G5280" t="str">
            <v>E-LMF-4369</v>
          </cell>
        </row>
        <row r="5281">
          <cell r="A5281" t="str">
            <v>E-LMF-4380</v>
          </cell>
          <cell r="B5281" t="str">
            <v>FILTER,HDMI W/PEN FOR SHIELDED ROOM</v>
          </cell>
          <cell r="C5281" t="str">
            <v>EA</v>
          </cell>
          <cell r="D5281" t="str">
            <v>FG440</v>
          </cell>
          <cell r="E5281">
            <v>1172.1251400000001</v>
          </cell>
          <cell r="G5281" t="str">
            <v>E-LMF-4380</v>
          </cell>
        </row>
        <row r="5282">
          <cell r="A5282" t="str">
            <v>E-LMF-4440</v>
          </cell>
          <cell r="B5282" t="str">
            <v>FILTER, NEW MACS MRI</v>
          </cell>
          <cell r="C5282" t="str">
            <v>EA</v>
          </cell>
          <cell r="D5282" t="str">
            <v>MA100</v>
          </cell>
          <cell r="E5282">
            <v>1584.1429700000001</v>
          </cell>
          <cell r="G5282" t="str">
            <v>E-LMF-4440</v>
          </cell>
        </row>
        <row r="5283">
          <cell r="A5283" t="str">
            <v>E-LMF-4458</v>
          </cell>
          <cell r="B5283" t="str">
            <v>FILTER,USB 3.0,w/PEN FOR SHIELDED ROOM</v>
          </cell>
          <cell r="C5283" t="str">
            <v>EA</v>
          </cell>
          <cell r="D5283" t="str">
            <v>FG440</v>
          </cell>
          <cell r="E5283">
            <v>1937.49</v>
          </cell>
          <cell r="G5283" t="str">
            <v>E-LMF-4458</v>
          </cell>
        </row>
        <row r="5284">
          <cell r="A5284" t="str">
            <v>E-LPRX-3X30/PEN</v>
          </cell>
          <cell r="B5284" t="str">
            <v>FILTER PANEL,3X30A,0-60Hz,100dB,14kHz-40</v>
          </cell>
          <cell r="C5284" t="str">
            <v>EA</v>
          </cell>
          <cell r="D5284" t="str">
            <v>FG440</v>
          </cell>
          <cell r="E5284">
            <v>3654.08</v>
          </cell>
          <cell r="G5284" t="str">
            <v>E-LPRX-3X30/PEN</v>
          </cell>
        </row>
        <row r="5285">
          <cell r="A5285" t="str">
            <v>E-LRE-2030/PEN</v>
          </cell>
          <cell r="B5285" t="str">
            <v>RF FLTR,277/480VAC,2X30A,150kHz-18GHz</v>
          </cell>
          <cell r="C5285" t="str">
            <v>EA</v>
          </cell>
          <cell r="D5285" t="str">
            <v>FG440</v>
          </cell>
          <cell r="E5285">
            <v>0</v>
          </cell>
          <cell r="G5285" t="str">
            <v>E-LRE-2030/PEN</v>
          </cell>
        </row>
        <row r="5286">
          <cell r="A5286" t="str">
            <v>E-LRE-2050/PEN</v>
          </cell>
          <cell r="B5286" t="str">
            <v>RF FILTER,277/480VAC,2X50A,0-60Hz,100dB</v>
          </cell>
          <cell r="C5286" t="str">
            <v>EA</v>
          </cell>
          <cell r="D5286" t="str">
            <v>FG440</v>
          </cell>
          <cell r="E5286">
            <v>0</v>
          </cell>
          <cell r="G5286" t="str">
            <v>E-LRE-2050/PEN</v>
          </cell>
        </row>
        <row r="5287">
          <cell r="A5287" t="str">
            <v>E-LRE-2100/PEN</v>
          </cell>
          <cell r="B5287" t="str">
            <v>RF FILTER, 277/480VAC, 2X100AMP, 0-60Hz</v>
          </cell>
          <cell r="C5287" t="str">
            <v>EA</v>
          </cell>
          <cell r="D5287" t="str">
            <v>FG440</v>
          </cell>
          <cell r="E5287">
            <v>1603.79</v>
          </cell>
          <cell r="G5287" t="str">
            <v>E-LRE-2100/PEN</v>
          </cell>
        </row>
        <row r="5288">
          <cell r="A5288" t="str">
            <v>E-LRE-4100</v>
          </cell>
          <cell r="B5288" t="str">
            <v>RF FILTER,277/480VAC,4X100AMP,0-60Hz</v>
          </cell>
          <cell r="C5288" t="str">
            <v>EA</v>
          </cell>
          <cell r="D5288" t="str">
            <v>MA100</v>
          </cell>
          <cell r="E5288">
            <v>2795.1295300000002</v>
          </cell>
          <cell r="G5288" t="str">
            <v>E-LRE-4100</v>
          </cell>
        </row>
        <row r="5289">
          <cell r="A5289" t="str">
            <v>E-LRW-2050-S1</v>
          </cell>
          <cell r="B5289" t="str">
            <v>RF FILTER,277/480VAC/VDC,2X50A,0-60Hz</v>
          </cell>
          <cell r="C5289" t="str">
            <v>EA</v>
          </cell>
          <cell r="D5289" t="str">
            <v>FG440</v>
          </cell>
          <cell r="E5289">
            <v>1170.44</v>
          </cell>
          <cell r="G5289" t="str">
            <v>E-LRW-2050-S1</v>
          </cell>
        </row>
        <row r="5290">
          <cell r="A5290" t="str">
            <v>E-LRW-2060-S1</v>
          </cell>
          <cell r="B5290" t="str">
            <v>RF FILTER, 277/480 VAC/VDC, 60 AMP,0-60</v>
          </cell>
          <cell r="C5290" t="str">
            <v>EA</v>
          </cell>
          <cell r="D5290" t="str">
            <v>FG440</v>
          </cell>
          <cell r="E5290">
            <v>972.99</v>
          </cell>
          <cell r="G5290" t="str">
            <v>E-LRW-2060-S1</v>
          </cell>
        </row>
        <row r="5291">
          <cell r="A5291" t="str">
            <v>E-LRW-2100-S1</v>
          </cell>
          <cell r="B5291" t="str">
            <v>RF FLTR, 277/480 VAC/VDC,2X100A,0-60</v>
          </cell>
          <cell r="C5291" t="str">
            <v>EA</v>
          </cell>
          <cell r="D5291" t="str">
            <v>FG440</v>
          </cell>
          <cell r="E5291">
            <v>1014.7</v>
          </cell>
          <cell r="G5291" t="str">
            <v>E-LRW-2100-S1</v>
          </cell>
        </row>
        <row r="5292">
          <cell r="A5292" t="str">
            <v>E-LRX-1060-S2/PEN</v>
          </cell>
          <cell r="B5292" t="str">
            <v>RF Filter, 277 VAC/VDC, 60 Amp, 60 Hz</v>
          </cell>
          <cell r="C5292" t="str">
            <v>EA</v>
          </cell>
          <cell r="D5292" t="str">
            <v>FG440</v>
          </cell>
          <cell r="E5292">
            <v>0</v>
          </cell>
          <cell r="G5292" t="str">
            <v>E-LRX-1060-S2/PEN</v>
          </cell>
        </row>
        <row r="5293">
          <cell r="A5293" t="str">
            <v>E-LRX-2100-S2/PEN</v>
          </cell>
          <cell r="B5293" t="str">
            <v>RF FILTER,277/480VAC,2x100A,0-60Hz,100dB</v>
          </cell>
          <cell r="C5293" t="str">
            <v>EA</v>
          </cell>
          <cell r="D5293" t="str">
            <v>MA100</v>
          </cell>
          <cell r="E5293">
            <v>1888.1421</v>
          </cell>
          <cell r="G5293" t="str">
            <v>E-LRX-2100-S2/PEN</v>
          </cell>
        </row>
        <row r="5294">
          <cell r="A5294" t="str">
            <v>E-LTC-10640-E128K/PEN</v>
          </cell>
          <cell r="B5294" t="str">
            <v>ISDN LINE FLTR,125VAC,10x0.5A,128kbaud</v>
          </cell>
          <cell r="C5294" t="str">
            <v>EA</v>
          </cell>
          <cell r="D5294" t="str">
            <v>MA100</v>
          </cell>
          <cell r="E5294">
            <v>1382.5372199999999</v>
          </cell>
          <cell r="G5294" t="str">
            <v>E-LTC-10640-E128K/PEN</v>
          </cell>
        </row>
        <row r="5295">
          <cell r="A5295" t="str">
            <v>E-LTC-12640-10M/PEN</v>
          </cell>
          <cell r="B5295" t="str">
            <v>DATA FILTER, 125VAC,12x.50A, 100dB</v>
          </cell>
          <cell r="C5295" t="str">
            <v>EA</v>
          </cell>
          <cell r="D5295" t="str">
            <v>MA100</v>
          </cell>
          <cell r="E5295">
            <v>1651.8</v>
          </cell>
          <cell r="G5295" t="str">
            <v>E-LTC-12640-10M/PEN</v>
          </cell>
        </row>
        <row r="5296">
          <cell r="A5296" t="str">
            <v>E-LTC-2640-140Z</v>
          </cell>
          <cell r="B5296" t="str">
            <v>Signal Line Filter,125 VAC,2x.5A,140ohm</v>
          </cell>
          <cell r="C5296" t="str">
            <v>EA</v>
          </cell>
          <cell r="D5296" t="str">
            <v>FG440</v>
          </cell>
          <cell r="E5296">
            <v>475.13</v>
          </cell>
          <cell r="G5296" t="str">
            <v>E-LTC-2640-140Z</v>
          </cell>
        </row>
        <row r="5297">
          <cell r="A5297" t="str">
            <v>E-LTC-2640-2051/PEN</v>
          </cell>
          <cell r="B5297" t="str">
            <v>Signal Line Filter, 125 VAC , 2X 1.0 A</v>
          </cell>
          <cell r="C5297" t="str">
            <v>EA</v>
          </cell>
          <cell r="D5297" t="str">
            <v>FG440</v>
          </cell>
          <cell r="E5297">
            <v>768.52</v>
          </cell>
          <cell r="G5297" t="str">
            <v>E-LTC-2640-2051/PEN</v>
          </cell>
        </row>
        <row r="5298">
          <cell r="A5298" t="str">
            <v>E-LTC-2640-600Z</v>
          </cell>
          <cell r="B5298" t="str">
            <v>Telephone Filter, 125VAC,5kHz,14kHz-18G</v>
          </cell>
          <cell r="C5298" t="str">
            <v>EA</v>
          </cell>
          <cell r="D5298" t="str">
            <v>FG440</v>
          </cell>
          <cell r="E5298">
            <v>552.48</v>
          </cell>
          <cell r="G5298" t="str">
            <v>E-LTC-2640-600Z</v>
          </cell>
        </row>
        <row r="5299">
          <cell r="A5299" t="str">
            <v>E-LTC-2640-600ZNP</v>
          </cell>
          <cell r="B5299" t="str">
            <v>Telephone Filter, 125VAC,5kHz,14kHz-18G</v>
          </cell>
          <cell r="C5299" t="str">
            <v>EA</v>
          </cell>
          <cell r="D5299" t="str">
            <v>FG440</v>
          </cell>
          <cell r="E5299">
            <v>505.45</v>
          </cell>
          <cell r="G5299" t="str">
            <v>E-LTC-2640-600ZNP</v>
          </cell>
        </row>
        <row r="5300">
          <cell r="A5300" t="str">
            <v>E-LTC-2640-E128K</v>
          </cell>
          <cell r="B5300" t="str">
            <v>ISDN Filter, 0 - 125 VAC, 2 x 0.5 Amp</v>
          </cell>
          <cell r="C5300" t="str">
            <v>EA</v>
          </cell>
          <cell r="D5300" t="str">
            <v>FG440</v>
          </cell>
          <cell r="E5300">
            <v>618.54999999999995</v>
          </cell>
          <cell r="G5300" t="str">
            <v>E-LTC-2640-E128K</v>
          </cell>
        </row>
        <row r="5301">
          <cell r="A5301" t="str">
            <v>E-LTC-2640-T1</v>
          </cell>
          <cell r="B5301" t="str">
            <v>Filter,200VDC,2x3Amp,0-1.6MHz,100dB6MHz-</v>
          </cell>
          <cell r="C5301" t="str">
            <v>EA</v>
          </cell>
          <cell r="D5301" t="str">
            <v>FG440</v>
          </cell>
          <cell r="E5301">
            <v>713.42499999999995</v>
          </cell>
          <cell r="G5301" t="str">
            <v>E-LTC-2640-T1</v>
          </cell>
        </row>
        <row r="5302">
          <cell r="A5302" t="str">
            <v>E-LTC-4640-C10K</v>
          </cell>
          <cell r="B5302" t="str">
            <v>DATA FLTR,125VAC,4x0.5A,0-40kHz,600ohm</v>
          </cell>
          <cell r="C5302" t="str">
            <v>EA</v>
          </cell>
          <cell r="D5302" t="str">
            <v>MA100</v>
          </cell>
          <cell r="E5302">
            <v>1013.36</v>
          </cell>
          <cell r="G5302" t="str">
            <v>E-LTC-4640-C10K</v>
          </cell>
        </row>
        <row r="5303">
          <cell r="A5303" t="str">
            <v>E-LTC-4640-E128K/PEN</v>
          </cell>
          <cell r="B5303" t="str">
            <v>DATA FILTER, 125VAC,4x.50A</v>
          </cell>
          <cell r="C5303" t="str">
            <v>EA</v>
          </cell>
          <cell r="D5303" t="str">
            <v>MA100</v>
          </cell>
          <cell r="E5303">
            <v>896.56</v>
          </cell>
          <cell r="G5303" t="str">
            <v>E-LTC-4640-E128K/PEN</v>
          </cell>
        </row>
        <row r="5304">
          <cell r="A5304" t="str">
            <v>E-LTC-4640-RS485-115K</v>
          </cell>
          <cell r="B5304" t="str">
            <v>DATA FLTR,125VAC,4x0.5A,0-400kHz,120ohm</v>
          </cell>
          <cell r="C5304" t="str">
            <v>EA</v>
          </cell>
          <cell r="D5304" t="str">
            <v>MA100</v>
          </cell>
          <cell r="E5304">
            <v>1004.86</v>
          </cell>
          <cell r="G5304" t="str">
            <v>E-LTC-4640-RS485-115K</v>
          </cell>
        </row>
        <row r="5305">
          <cell r="A5305" t="str">
            <v>E-LTC-8640-10M</v>
          </cell>
          <cell r="B5305" t="str">
            <v>DATA FILTER, 125VAC,8x.5A 10Mbps</v>
          </cell>
          <cell r="C5305" t="str">
            <v>EA</v>
          </cell>
          <cell r="D5305" t="str">
            <v>FG440</v>
          </cell>
          <cell r="E5305">
            <v>1443.58</v>
          </cell>
          <cell r="G5305" t="str">
            <v>E-LTC-8640-10M</v>
          </cell>
        </row>
        <row r="5306">
          <cell r="A5306" t="str">
            <v>E-LTC-8640-10M/MD60199</v>
          </cell>
          <cell r="B5306" t="str">
            <v>DATA FILTER, 125VAC,8x.5A 10Mb Ethernet,</v>
          </cell>
          <cell r="C5306" t="str">
            <v>EA</v>
          </cell>
          <cell r="D5306" t="str">
            <v>FG440</v>
          </cell>
          <cell r="E5306">
            <v>1571.03</v>
          </cell>
          <cell r="G5306" t="str">
            <v>E-LTC-8640-10M/MD60199</v>
          </cell>
        </row>
        <row r="5307">
          <cell r="A5307" t="str">
            <v>E-LTC-8640-RS485-40K-RJ45</v>
          </cell>
          <cell r="B5307" t="str">
            <v>DATA FLTR,125VAC,8x0.5A,0-120kHz,120ohm</v>
          </cell>
          <cell r="C5307" t="str">
            <v>EA</v>
          </cell>
          <cell r="D5307" t="str">
            <v>MA100</v>
          </cell>
          <cell r="E5307">
            <v>1838.45</v>
          </cell>
          <cell r="G5307" t="str">
            <v>E-LTC-8640-RS485-40K-RJ45</v>
          </cell>
        </row>
        <row r="5308">
          <cell r="A5308" t="str">
            <v>E-PF202-5</v>
          </cell>
          <cell r="B5308" t="str">
            <v>RF FILTER,250/415VAC,2x5.0A,0-60Hz,100dB</v>
          </cell>
          <cell r="C5308" t="str">
            <v>EA</v>
          </cell>
          <cell r="D5308" t="str">
            <v>MA100</v>
          </cell>
          <cell r="E5308">
            <v>118</v>
          </cell>
          <cell r="G5308" t="str">
            <v>E-PF202-5</v>
          </cell>
        </row>
        <row r="5309">
          <cell r="A5309" t="str">
            <v>E-PF203A-1</v>
          </cell>
          <cell r="B5309" t="str">
            <v>RF Filter, 30 VAC / 50 VDC, 2 x 1.0 Amp,</v>
          </cell>
          <cell r="C5309" t="str">
            <v>EA</v>
          </cell>
          <cell r="D5309" t="str">
            <v>MA100</v>
          </cell>
          <cell r="E5309">
            <v>140</v>
          </cell>
          <cell r="G5309" t="str">
            <v>E-PF203A-1</v>
          </cell>
        </row>
        <row r="5310">
          <cell r="A5310" t="str">
            <v>E-PF205A-30</v>
          </cell>
          <cell r="B5310" t="str">
            <v>FILTER,MRI,250VAC,2X30 AMP,0-60Hz</v>
          </cell>
          <cell r="C5310" t="str">
            <v>EA</v>
          </cell>
          <cell r="D5310" t="str">
            <v>FG440</v>
          </cell>
          <cell r="E5310">
            <v>125</v>
          </cell>
          <cell r="G5310" t="str">
            <v>E-PF205A-30</v>
          </cell>
        </row>
        <row r="5311">
          <cell r="A5311" t="str">
            <v>F6MRI/DIM</v>
          </cell>
          <cell r="B5311" t="str">
            <v>LED, DIMMER BY EATON / SIGNAL FILTER</v>
          </cell>
          <cell r="C5311" t="str">
            <v>EA</v>
          </cell>
          <cell r="D5311" t="str">
            <v>RM100</v>
          </cell>
          <cell r="E5311">
            <v>414</v>
          </cell>
          <cell r="G5311" t="str">
            <v>F6MRI/DIM</v>
          </cell>
        </row>
        <row r="5312">
          <cell r="A5312" t="str">
            <v>F6MRI/EATON COOPER DIMMER</v>
          </cell>
          <cell r="B5312" t="str">
            <v>LED, DIMMER BY EATON COOPER</v>
          </cell>
          <cell r="C5312" t="str">
            <v>EA</v>
          </cell>
          <cell r="D5312" t="str">
            <v>RM100</v>
          </cell>
          <cell r="E5312">
            <v>414</v>
          </cell>
          <cell r="G5312" t="str">
            <v>F6MRI/EATON COOPER DIMMER</v>
          </cell>
        </row>
        <row r="5313">
          <cell r="A5313" t="str">
            <v>F6MRI/EATON FACEPLATE WHITE</v>
          </cell>
          <cell r="B5313" t="str">
            <v>FACEPLATE,WHITE F6MRI DIMMER</v>
          </cell>
          <cell r="C5313" t="str">
            <v>EA</v>
          </cell>
          <cell r="D5313" t="str">
            <v>RM100</v>
          </cell>
          <cell r="E5313">
            <v>13</v>
          </cell>
          <cell r="G5313" t="str">
            <v>F6MRI/EATON FACEPLATE WHITE</v>
          </cell>
        </row>
        <row r="5314">
          <cell r="A5314" t="str">
            <v>F6MRI/TRIM RING [WHITE]</v>
          </cell>
          <cell r="B5314" t="str">
            <v>TRIM, ANTIMICROBIAL WITH FROSTED LENS</v>
          </cell>
          <cell r="C5314" t="str">
            <v>EA</v>
          </cell>
          <cell r="D5314" t="str">
            <v>RM100</v>
          </cell>
          <cell r="E5314">
            <v>24</v>
          </cell>
          <cell r="G5314" t="str">
            <v>F6MRI/TRIM RING [WHITE]</v>
          </cell>
        </row>
        <row r="5315">
          <cell r="A5315" t="str">
            <v>F6MRI-30-18-120-S</v>
          </cell>
          <cell r="B5315" t="str">
            <v>LED, DOWNLIGHT BY EATON,3000K,120V,CLEAR</v>
          </cell>
          <cell r="C5315" t="str">
            <v>EA</v>
          </cell>
          <cell r="D5315" t="str">
            <v>RM100</v>
          </cell>
          <cell r="E5315">
            <v>349.45</v>
          </cell>
          <cell r="G5315" t="str">
            <v>F6MRI-30-18-120-S</v>
          </cell>
        </row>
        <row r="5316">
          <cell r="A5316" t="str">
            <v>F6MRI-30-18-120-W</v>
          </cell>
          <cell r="B5316" t="str">
            <v>LED, DOWNLIGHT BY EATON,3000K,120V,WHITE</v>
          </cell>
          <cell r="C5316" t="str">
            <v>EA</v>
          </cell>
          <cell r="D5316" t="str">
            <v>RM100</v>
          </cell>
          <cell r="E5316">
            <v>349.45</v>
          </cell>
          <cell r="G5316" t="str">
            <v>F6MRI-30-18-120-W</v>
          </cell>
        </row>
        <row r="5317">
          <cell r="A5317" t="str">
            <v>F6MRI-35-18-120-S</v>
          </cell>
          <cell r="B5317" t="str">
            <v>LED, DOWNLIGHT BY EATON,3500K,120V,CLEAR</v>
          </cell>
          <cell r="C5317" t="str">
            <v>EA</v>
          </cell>
          <cell r="D5317" t="str">
            <v>RM100</v>
          </cell>
          <cell r="E5317">
            <v>349.45</v>
          </cell>
          <cell r="G5317" t="str">
            <v>F6MRI-35-18-120-S</v>
          </cell>
        </row>
        <row r="5318">
          <cell r="A5318" t="str">
            <v>F6MRI-35-18-120-W</v>
          </cell>
          <cell r="B5318" t="str">
            <v>LED, DOWNLIGHT BY EATON,3500K,120V,WHITE</v>
          </cell>
          <cell r="C5318" t="str">
            <v>EA</v>
          </cell>
          <cell r="D5318" t="str">
            <v>RM100</v>
          </cell>
          <cell r="E5318">
            <v>349.45</v>
          </cell>
          <cell r="G5318" t="str">
            <v>F6MRI-35-18-120-W</v>
          </cell>
        </row>
        <row r="5319">
          <cell r="A5319" t="str">
            <v>F6MRI-40-18-120-S</v>
          </cell>
          <cell r="B5319" t="str">
            <v>LED, DOWNLIGHT BY EATON,4000K,120V,CLEAR</v>
          </cell>
          <cell r="C5319" t="str">
            <v>EA</v>
          </cell>
          <cell r="D5319" t="str">
            <v>RM100</v>
          </cell>
          <cell r="E5319">
            <v>349.45</v>
          </cell>
          <cell r="G5319" t="str">
            <v>F6MRI-40-18-120-S</v>
          </cell>
        </row>
        <row r="5320">
          <cell r="A5320" t="str">
            <v>F6MRI-40-18-120-W</v>
          </cell>
          <cell r="B5320" t="str">
            <v>LED, DOWNLIGHT BY EATON,4000K,120V,WHITE</v>
          </cell>
          <cell r="C5320" t="str">
            <v>EA</v>
          </cell>
          <cell r="D5320" t="str">
            <v>RM100</v>
          </cell>
          <cell r="E5320">
            <v>349.45</v>
          </cell>
          <cell r="G5320" t="str">
            <v>F6MRI-40-18-120-W</v>
          </cell>
        </row>
        <row r="5321">
          <cell r="A5321" t="str">
            <v>F6MRI-DIM-2 PT</v>
          </cell>
          <cell r="B5321" t="str">
            <v>PIGTAIL, DIMMER 2 WIRE EATON COOPER</v>
          </cell>
          <cell r="C5321" t="str">
            <v>EA</v>
          </cell>
          <cell r="D5321" t="str">
            <v>RM100</v>
          </cell>
          <cell r="E5321">
            <v>27</v>
          </cell>
          <cell r="G5321" t="str">
            <v>F6MRI-DIM-2 PT</v>
          </cell>
        </row>
        <row r="5322">
          <cell r="A5322" t="str">
            <v>FILTERS</v>
          </cell>
          <cell r="B5322" t="str">
            <v>FLTR</v>
          </cell>
          <cell r="C5322" t="str">
            <v>EA</v>
          </cell>
          <cell r="D5322" t="str">
            <v>RM100</v>
          </cell>
          <cell r="E5322">
            <v>132.84</v>
          </cell>
          <cell r="G5322" t="str">
            <v>FILTERS</v>
          </cell>
        </row>
        <row r="5323">
          <cell r="A5323" t="str">
            <v>FMDS-100</v>
          </cell>
          <cell r="B5323" t="str">
            <v>SAFESCAN INTERCEPT,DUAL PILLAR</v>
          </cell>
          <cell r="C5323" t="str">
            <v>EA</v>
          </cell>
          <cell r="D5323" t="str">
            <v>FG005</v>
          </cell>
          <cell r="E5323">
            <v>8327.3104999999996</v>
          </cell>
          <cell r="G5323" t="str">
            <v>FMDS-100</v>
          </cell>
        </row>
        <row r="5324">
          <cell r="A5324" t="str">
            <v>FMDS-400</v>
          </cell>
          <cell r="B5324" t="str">
            <v>SAFESCAN TARGET HAND HELD SCANNER</v>
          </cell>
          <cell r="C5324" t="str">
            <v>EA</v>
          </cell>
          <cell r="D5324" t="str">
            <v>FG005</v>
          </cell>
          <cell r="E5324">
            <v>2325</v>
          </cell>
          <cell r="G5324" t="str">
            <v>FMDS-400</v>
          </cell>
        </row>
        <row r="5325">
          <cell r="A5325" t="str">
            <v>FT-1500</v>
          </cell>
          <cell r="B5325" t="str">
            <v>FERRITE TILE,600 X600,ASSEMBLY</v>
          </cell>
          <cell r="C5325" t="str">
            <v>EA</v>
          </cell>
          <cell r="D5325" t="str">
            <v>FG202</v>
          </cell>
          <cell r="E5325">
            <v>0</v>
          </cell>
          <cell r="G5325" t="str">
            <v>FT-1500</v>
          </cell>
        </row>
        <row r="5326">
          <cell r="A5326" t="str">
            <v>H-452270</v>
          </cell>
          <cell r="B5326" t="str">
            <v>CLFH PROBE COPPER FOIL SHIELD</v>
          </cell>
          <cell r="C5326" t="str">
            <v>EA</v>
          </cell>
          <cell r="D5326" t="str">
            <v>RM100</v>
          </cell>
          <cell r="E5326">
            <v>0.78564999999999996</v>
          </cell>
          <cell r="G5326" t="str">
            <v>H-452270</v>
          </cell>
        </row>
        <row r="5327">
          <cell r="A5327" t="str">
            <v>LMF-4126</v>
          </cell>
          <cell r="B5327" t="str">
            <v>FLTR,LMF-4126,SPKR,4X2A,0-40KHZ,125VAC</v>
          </cell>
          <cell r="C5327" t="str">
            <v>EA</v>
          </cell>
          <cell r="D5327" t="str">
            <v>FG440</v>
          </cell>
          <cell r="E5327">
            <v>777.02</v>
          </cell>
          <cell r="G5327" t="str">
            <v>LMF-4126</v>
          </cell>
        </row>
        <row r="5328">
          <cell r="A5328" t="str">
            <v>LNS-MRI-R6DNLT/RPS-C</v>
          </cell>
          <cell r="B5328" t="str">
            <v>LED Replacement Lens Clear</v>
          </cell>
          <cell r="C5328" t="str">
            <v>EA</v>
          </cell>
          <cell r="D5328" t="str">
            <v>MA100</v>
          </cell>
          <cell r="E5328">
            <v>18.5</v>
          </cell>
          <cell r="G5328" t="str">
            <v>LNS-MRI-R6DNLT/RPS-C</v>
          </cell>
        </row>
        <row r="5329">
          <cell r="A5329" t="str">
            <v>LNS-MRI-R6DNLT/RPS-O</v>
          </cell>
          <cell r="B5329" t="str">
            <v>LED Replacement Lens Opaque</v>
          </cell>
          <cell r="C5329" t="str">
            <v>EA</v>
          </cell>
          <cell r="D5329" t="str">
            <v>MA100</v>
          </cell>
          <cell r="E5329">
            <v>14.5</v>
          </cell>
          <cell r="G5329" t="str">
            <v>LNS-MRI-R6DNLT/RPS-O</v>
          </cell>
        </row>
        <row r="5330">
          <cell r="A5330" t="str">
            <v>MRI-R6DNLT/RPS-30-18-S</v>
          </cell>
          <cell r="B5330" t="str">
            <v>LED Fixture 3000K Specular Trim</v>
          </cell>
          <cell r="C5330" t="str">
            <v>EA</v>
          </cell>
          <cell r="D5330" t="str">
            <v>MA100</v>
          </cell>
          <cell r="E5330">
            <v>269.5</v>
          </cell>
          <cell r="G5330" t="str">
            <v>MRI-R6DNLT/RPS-30-18-S</v>
          </cell>
        </row>
        <row r="5331">
          <cell r="A5331" t="str">
            <v>MRI-R6DNLT/RPS-30-18-W</v>
          </cell>
          <cell r="B5331" t="str">
            <v>LED Fixture 3000K White Trim</v>
          </cell>
          <cell r="C5331" t="str">
            <v>EA</v>
          </cell>
          <cell r="D5331" t="str">
            <v>MA100</v>
          </cell>
          <cell r="E5331">
            <v>269.5</v>
          </cell>
          <cell r="G5331" t="str">
            <v>MRI-R6DNLT/RPS-30-18-W</v>
          </cell>
        </row>
        <row r="5332">
          <cell r="A5332" t="str">
            <v>MRI-R6DNLT/RPS-35-18-S</v>
          </cell>
          <cell r="B5332" t="str">
            <v>LED Fixture 3500K Specular Trim</v>
          </cell>
          <cell r="C5332" t="str">
            <v>EA</v>
          </cell>
          <cell r="D5332" t="str">
            <v>MA100</v>
          </cell>
          <cell r="E5332">
            <v>269.5</v>
          </cell>
          <cell r="G5332" t="str">
            <v>MRI-R6DNLT/RPS-35-18-S</v>
          </cell>
        </row>
        <row r="5333">
          <cell r="A5333" t="str">
            <v>MRI-R6DNLT/RPS-35-18-W</v>
          </cell>
          <cell r="B5333" t="str">
            <v>LED Fixture 3500K White Trim</v>
          </cell>
          <cell r="C5333" t="str">
            <v>EA</v>
          </cell>
          <cell r="D5333" t="str">
            <v>MA100</v>
          </cell>
          <cell r="E5333">
            <v>269.5</v>
          </cell>
          <cell r="G5333" t="str">
            <v>MRI-R6DNLT/RPS-35-18-W</v>
          </cell>
        </row>
        <row r="5334">
          <cell r="A5334" t="str">
            <v>MRI-R6DNLT/RPS-40-18-S</v>
          </cell>
          <cell r="B5334" t="str">
            <v>LED Fixture 4000K Specular Trim</v>
          </cell>
          <cell r="C5334" t="str">
            <v>EA</v>
          </cell>
          <cell r="D5334" t="str">
            <v>MA100</v>
          </cell>
          <cell r="E5334">
            <v>269.5</v>
          </cell>
          <cell r="G5334" t="str">
            <v>MRI-R6DNLT/RPS-40-18-S</v>
          </cell>
        </row>
        <row r="5335">
          <cell r="A5335" t="str">
            <v>MRI-R6DNLT/RPS-40-18-W</v>
          </cell>
          <cell r="B5335" t="str">
            <v>LED Fixture 4000K White Trim</v>
          </cell>
          <cell r="C5335" t="str">
            <v>EA</v>
          </cell>
          <cell r="D5335" t="str">
            <v>MA100</v>
          </cell>
          <cell r="E5335">
            <v>269.5</v>
          </cell>
          <cell r="G5335" t="str">
            <v>MRI-R6DNLT/RPS-40-18-W</v>
          </cell>
        </row>
        <row r="5336">
          <cell r="A5336" t="str">
            <v>MRI-R6DNLT/RPS-DB1/2</v>
          </cell>
          <cell r="B5336" t="str">
            <v>LED Distribution Box 1-2 Fixture</v>
          </cell>
          <cell r="C5336" t="str">
            <v>EA</v>
          </cell>
          <cell r="D5336" t="str">
            <v>MA100</v>
          </cell>
          <cell r="E5336">
            <v>260</v>
          </cell>
          <cell r="G5336" t="str">
            <v>MRI-R6DNLT/RPS-DB1/2</v>
          </cell>
        </row>
        <row r="5337">
          <cell r="A5337" t="str">
            <v>MRI-R6DNLT/RPS-DB11/15</v>
          </cell>
          <cell r="B5337" t="str">
            <v>LED Distribution Box 11-15 Fixture</v>
          </cell>
          <cell r="C5337" t="str">
            <v>EA</v>
          </cell>
          <cell r="D5337" t="str">
            <v>MA100</v>
          </cell>
          <cell r="E5337">
            <v>460</v>
          </cell>
          <cell r="G5337" t="str">
            <v>MRI-R6DNLT/RPS-DB11/15</v>
          </cell>
        </row>
        <row r="5338">
          <cell r="A5338" t="str">
            <v>MRI-R6DNLT/RPS-DB2/10</v>
          </cell>
          <cell r="B5338" t="str">
            <v>LED Distribution Box 2-10 Fixture</v>
          </cell>
          <cell r="C5338" t="str">
            <v>EA</v>
          </cell>
          <cell r="D5338" t="str">
            <v>MA100</v>
          </cell>
          <cell r="E5338">
            <v>355</v>
          </cell>
          <cell r="G5338" t="str">
            <v>MRI-R6DNLT/RPS-DB2/10</v>
          </cell>
        </row>
        <row r="5339">
          <cell r="A5339" t="str">
            <v>MRI-R6DNLT/RPS-DIMSWITCH</v>
          </cell>
          <cell r="B5339" t="str">
            <v>LED Slide Dimmer Switch 0-10V</v>
          </cell>
          <cell r="C5339" t="str">
            <v>EA</v>
          </cell>
          <cell r="D5339" t="str">
            <v>MA100</v>
          </cell>
          <cell r="E5339">
            <v>108</v>
          </cell>
          <cell r="G5339" t="str">
            <v>MRI-R6DNLT/RPS-DIMSWITCH</v>
          </cell>
        </row>
        <row r="5340">
          <cell r="A5340" t="str">
            <v>MRI-R6DNLT/RPS-PS1/2</v>
          </cell>
          <cell r="B5340" t="str">
            <v>LED Power Supply 1-2 Fixture</v>
          </cell>
          <cell r="C5340" t="str">
            <v>EA</v>
          </cell>
          <cell r="D5340" t="str">
            <v>MA100</v>
          </cell>
          <cell r="E5340">
            <v>515</v>
          </cell>
          <cell r="G5340" t="str">
            <v>MRI-R6DNLT/RPS-PS1/2</v>
          </cell>
        </row>
        <row r="5341">
          <cell r="A5341" t="str">
            <v>MRI-R6DNLT/RPS-PS11/15</v>
          </cell>
          <cell r="B5341" t="str">
            <v>LED Power Supply 11-15 Fixture</v>
          </cell>
          <cell r="C5341" t="str">
            <v>EA</v>
          </cell>
          <cell r="D5341" t="str">
            <v>MA100</v>
          </cell>
          <cell r="E5341">
            <v>925</v>
          </cell>
          <cell r="G5341" t="str">
            <v>MRI-R6DNLT/RPS-PS11/15</v>
          </cell>
        </row>
        <row r="5342">
          <cell r="A5342" t="str">
            <v>MRI-R6DNLT/RPS-PS2/10</v>
          </cell>
          <cell r="B5342" t="str">
            <v>LED Power Supply 2-10 Fixture</v>
          </cell>
          <cell r="C5342" t="str">
            <v>EA</v>
          </cell>
          <cell r="D5342" t="str">
            <v>MA100</v>
          </cell>
          <cell r="E5342">
            <v>715</v>
          </cell>
          <cell r="G5342" t="str">
            <v>MRI-R6DNLT/RPS-PS2/10</v>
          </cell>
        </row>
        <row r="5343">
          <cell r="A5343" t="str">
            <v>MRI-R6DNLT/RPS-RPS1/2-UNV</v>
          </cell>
          <cell r="B5343" t="str">
            <v>LED Power Supply Kit 1-2 Fixture</v>
          </cell>
          <cell r="C5343" t="str">
            <v>EA</v>
          </cell>
          <cell r="D5343" t="str">
            <v>MA100</v>
          </cell>
          <cell r="E5343">
            <v>870</v>
          </cell>
          <cell r="G5343" t="str">
            <v>MRI-R6DNLT/RPS-RPS1/2-UNV</v>
          </cell>
        </row>
        <row r="5344">
          <cell r="A5344" t="str">
            <v>MRI-R6DNLT/RPS-RPS11/15-UNV</v>
          </cell>
          <cell r="B5344" t="str">
            <v>LED Power Supply Kit 11-15 Fixture</v>
          </cell>
          <cell r="C5344" t="str">
            <v>EA</v>
          </cell>
          <cell r="D5344" t="str">
            <v>MA100</v>
          </cell>
          <cell r="E5344">
            <v>1464</v>
          </cell>
          <cell r="G5344" t="str">
            <v>MRI-R6DNLT/RPS-RPS11/15-UNV</v>
          </cell>
        </row>
        <row r="5345">
          <cell r="A5345" t="str">
            <v>MRI-R6DNLT/RPS-RPS2/10-UNV</v>
          </cell>
          <cell r="B5345" t="str">
            <v>LED Power Supply Kit 2-10 Fixture</v>
          </cell>
          <cell r="C5345" t="str">
            <v>EA</v>
          </cell>
          <cell r="D5345" t="str">
            <v>MA100</v>
          </cell>
          <cell r="E5345">
            <v>1160</v>
          </cell>
          <cell r="G5345" t="str">
            <v>MRI-R6DNLT/RPS-RPS2/10-UNV</v>
          </cell>
        </row>
        <row r="5346">
          <cell r="A5346" t="str">
            <v>MRI-R6DNLT/RPS-TRIM-S</v>
          </cell>
          <cell r="B5346" t="str">
            <v>LED Trim, Specular w/Opaque Lens</v>
          </cell>
          <cell r="C5346" t="str">
            <v>EA</v>
          </cell>
          <cell r="D5346" t="str">
            <v>MA100</v>
          </cell>
          <cell r="E5346">
            <v>36</v>
          </cell>
          <cell r="G5346" t="str">
            <v>MRI-R6DNLT/RPS-TRIM-S</v>
          </cell>
        </row>
        <row r="5347">
          <cell r="A5347" t="str">
            <v>MRI-R6DNLT/RPS-TRIM-W</v>
          </cell>
          <cell r="B5347" t="str">
            <v>LED Trim, White w/Opaque Lens</v>
          </cell>
          <cell r="C5347" t="str">
            <v>EA</v>
          </cell>
          <cell r="D5347" t="str">
            <v>MA100</v>
          </cell>
          <cell r="E5347">
            <v>36</v>
          </cell>
          <cell r="G5347" t="str">
            <v>MRI-R6DNLT/RPS-TRIM-W</v>
          </cell>
        </row>
        <row r="5348">
          <cell r="A5348" t="str">
            <v>NTRT22 40 PS1</v>
          </cell>
          <cell r="B5348" t="str">
            <v>PS,NTRT22 40 PS1,1-2 Fix 2x2 LFP</v>
          </cell>
          <cell r="C5348" t="str">
            <v>EA</v>
          </cell>
          <cell r="D5348" t="str">
            <v>MA100</v>
          </cell>
          <cell r="E5348">
            <v>870</v>
          </cell>
          <cell r="G5348" t="str">
            <v>NTRT22 40 PS1</v>
          </cell>
        </row>
        <row r="5349">
          <cell r="A5349" t="str">
            <v>NTRT22-KIT8-1</v>
          </cell>
          <cell r="B5349" t="str">
            <v>KIT, FLAT PANEL, POWER SUPPLY</v>
          </cell>
          <cell r="C5349" t="str">
            <v>EA</v>
          </cell>
          <cell r="D5349" t="str">
            <v>MA100</v>
          </cell>
          <cell r="E5349">
            <v>1400</v>
          </cell>
          <cell r="G5349" t="str">
            <v>NTRT22-KIT8-1</v>
          </cell>
        </row>
        <row r="5350">
          <cell r="A5350">
            <v>123752</v>
          </cell>
          <cell r="B5350" t="str">
            <v>JAMB HEADER, 42-inch, MOBILE EVO</v>
          </cell>
          <cell r="C5350" t="str">
            <v>EA</v>
          </cell>
          <cell r="D5350" t="str">
            <v>RM100</v>
          </cell>
          <cell r="E5350">
            <v>103.64</v>
          </cell>
          <cell r="G5350">
            <v>123752</v>
          </cell>
        </row>
        <row r="5351">
          <cell r="A5351">
            <v>123830</v>
          </cell>
          <cell r="B5351" t="str">
            <v>BRACKET,EVO,MAG LOCK</v>
          </cell>
          <cell r="C5351" t="str">
            <v>EA</v>
          </cell>
          <cell r="D5351" t="str">
            <v>RM100</v>
          </cell>
          <cell r="E5351">
            <v>35.659999999999997</v>
          </cell>
          <cell r="G5351">
            <v>123830</v>
          </cell>
        </row>
        <row r="5352">
          <cell r="A5352">
            <v>124060</v>
          </cell>
          <cell r="B5352" t="str">
            <v>TALK MODE  FIXTURE, FTMV2</v>
          </cell>
          <cell r="C5352" t="str">
            <v>EA</v>
          </cell>
          <cell r="D5352" t="str">
            <v>RM100</v>
          </cell>
          <cell r="E5352">
            <v>1000</v>
          </cell>
          <cell r="G5352">
            <v>124060</v>
          </cell>
        </row>
        <row r="5353">
          <cell r="A5353">
            <v>125189</v>
          </cell>
          <cell r="B5353" t="str">
            <v>MAIN BASE ANGLE, DROP SEAL, EVO AIR</v>
          </cell>
          <cell r="C5353" t="str">
            <v>EA</v>
          </cell>
          <cell r="D5353" t="str">
            <v>RM100</v>
          </cell>
          <cell r="E5353">
            <v>20.72</v>
          </cell>
          <cell r="G5353">
            <v>125189</v>
          </cell>
        </row>
        <row r="5354">
          <cell r="A5354">
            <v>125190</v>
          </cell>
          <cell r="B5354" t="str">
            <v>UPGRADE KIT,FTMV1 TO FTMV2</v>
          </cell>
          <cell r="C5354" t="str">
            <v>EA</v>
          </cell>
          <cell r="D5354" t="str">
            <v>RM100</v>
          </cell>
          <cell r="E5354">
            <v>1000</v>
          </cell>
          <cell r="G5354">
            <v>125190</v>
          </cell>
        </row>
        <row r="5355">
          <cell r="A5355">
            <v>125196</v>
          </cell>
          <cell r="B5355" t="str">
            <v>TRIM,DR LF,HINGE SIDE,EVO AIR</v>
          </cell>
          <cell r="C5355" t="str">
            <v>EA</v>
          </cell>
          <cell r="D5355" t="str">
            <v>RM100</v>
          </cell>
          <cell r="E5355">
            <v>77.849999999999994</v>
          </cell>
          <cell r="G5355">
            <v>125196</v>
          </cell>
        </row>
        <row r="5356">
          <cell r="A5356">
            <v>125212</v>
          </cell>
          <cell r="B5356" t="str">
            <v>AIR CYLINDER TYPE T</v>
          </cell>
          <cell r="C5356" t="str">
            <v>EA</v>
          </cell>
          <cell r="D5356" t="str">
            <v>RM100</v>
          </cell>
          <cell r="E5356">
            <v>0</v>
          </cell>
          <cell r="G5356">
            <v>125212</v>
          </cell>
        </row>
        <row r="5357">
          <cell r="A5357">
            <v>125213</v>
          </cell>
          <cell r="B5357" t="str">
            <v>AIR CYLINDER TYPE Y</v>
          </cell>
          <cell r="C5357" t="str">
            <v>EA</v>
          </cell>
          <cell r="D5357" t="str">
            <v>RM100</v>
          </cell>
          <cell r="E5357">
            <v>0</v>
          </cell>
          <cell r="G5357">
            <v>125213</v>
          </cell>
        </row>
        <row r="5358">
          <cell r="A5358">
            <v>125214</v>
          </cell>
          <cell r="B5358" t="str">
            <v>AIR CYLINDER TYPE B</v>
          </cell>
          <cell r="C5358" t="str">
            <v>EA</v>
          </cell>
          <cell r="D5358" t="str">
            <v>RM100</v>
          </cell>
          <cell r="E5358">
            <v>0</v>
          </cell>
          <cell r="G5358">
            <v>125214</v>
          </cell>
        </row>
        <row r="5359">
          <cell r="A5359">
            <v>125351</v>
          </cell>
          <cell r="B5359" t="str">
            <v>JAMB, EVO DOOR, IV WELDMENT, LH</v>
          </cell>
          <cell r="C5359" t="str">
            <v>EA</v>
          </cell>
          <cell r="D5359" t="str">
            <v>RM100</v>
          </cell>
          <cell r="E5359">
            <v>292.77999999999997</v>
          </cell>
          <cell r="G5359">
            <v>125351</v>
          </cell>
        </row>
        <row r="5360">
          <cell r="A5360">
            <v>125353</v>
          </cell>
          <cell r="B5360" t="str">
            <v>JAMB, EVO DOOR, IV OPTION, LH</v>
          </cell>
          <cell r="C5360" t="str">
            <v>EA</v>
          </cell>
          <cell r="D5360" t="str">
            <v>RM100</v>
          </cell>
          <cell r="E5360">
            <v>0</v>
          </cell>
          <cell r="G5360">
            <v>125353</v>
          </cell>
        </row>
        <row r="5361">
          <cell r="A5361">
            <v>125354</v>
          </cell>
          <cell r="B5361" t="str">
            <v>JAMB, EVO DOOR, IV OPTION, RH</v>
          </cell>
          <cell r="C5361" t="str">
            <v>EA</v>
          </cell>
          <cell r="D5361" t="str">
            <v>RM100</v>
          </cell>
          <cell r="E5361">
            <v>0</v>
          </cell>
          <cell r="G5361">
            <v>125354</v>
          </cell>
        </row>
        <row r="5362">
          <cell r="A5362">
            <v>125355</v>
          </cell>
          <cell r="B5362" t="str">
            <v>IV CHANNEL, UPPER, LH, EVO JAMB</v>
          </cell>
          <cell r="C5362" t="str">
            <v>EA</v>
          </cell>
          <cell r="D5362" t="str">
            <v>RM100</v>
          </cell>
          <cell r="E5362">
            <v>0</v>
          </cell>
          <cell r="G5362">
            <v>125355</v>
          </cell>
        </row>
        <row r="5363">
          <cell r="A5363">
            <v>125356</v>
          </cell>
          <cell r="B5363" t="str">
            <v>IV CHANNEL, LOWER, LH, EVO JAMB</v>
          </cell>
          <cell r="C5363" t="str">
            <v>EA</v>
          </cell>
          <cell r="D5363" t="str">
            <v>RM100</v>
          </cell>
          <cell r="E5363">
            <v>0</v>
          </cell>
          <cell r="G5363">
            <v>125356</v>
          </cell>
        </row>
        <row r="5364">
          <cell r="A5364">
            <v>125357</v>
          </cell>
          <cell r="B5364" t="str">
            <v>IV CHANNEL, UPPER, RH, EVO JAMB</v>
          </cell>
          <cell r="C5364" t="str">
            <v>EA</v>
          </cell>
          <cell r="D5364" t="str">
            <v>RM100</v>
          </cell>
          <cell r="E5364">
            <v>0</v>
          </cell>
          <cell r="G5364">
            <v>125357</v>
          </cell>
        </row>
        <row r="5365">
          <cell r="A5365">
            <v>125358</v>
          </cell>
          <cell r="B5365" t="str">
            <v>IV CHANNEL, LOWER, RH, EVO JAMB</v>
          </cell>
          <cell r="C5365" t="str">
            <v>EA</v>
          </cell>
          <cell r="D5365" t="str">
            <v>RM100</v>
          </cell>
          <cell r="E5365">
            <v>0</v>
          </cell>
          <cell r="G5365">
            <v>125358</v>
          </cell>
        </row>
        <row r="5366">
          <cell r="A5366">
            <v>125360</v>
          </cell>
          <cell r="B5366" t="str">
            <v>COVER, SMALL, IV JAMB, LOCK SIDE LH</v>
          </cell>
          <cell r="C5366" t="str">
            <v>EA</v>
          </cell>
          <cell r="D5366" t="str">
            <v>RM100</v>
          </cell>
          <cell r="E5366">
            <v>40.869999999999997</v>
          </cell>
          <cell r="G5366">
            <v>125360</v>
          </cell>
        </row>
        <row r="5367">
          <cell r="A5367">
            <v>125362</v>
          </cell>
          <cell r="B5367" t="str">
            <v>COVER, LARGE, IV JAMB, LOCK SIDE LH</v>
          </cell>
          <cell r="C5367" t="str">
            <v>EA</v>
          </cell>
          <cell r="D5367" t="str">
            <v>RM100</v>
          </cell>
          <cell r="E5367">
            <v>49.24</v>
          </cell>
          <cell r="G5367">
            <v>125362</v>
          </cell>
        </row>
        <row r="5368">
          <cell r="A5368">
            <v>125531</v>
          </cell>
          <cell r="B5368" t="str">
            <v>EVO44,S,48",IV,I,NN,MA</v>
          </cell>
          <cell r="C5368" t="str">
            <v>EA</v>
          </cell>
          <cell r="D5368" t="str">
            <v>MA100</v>
          </cell>
          <cell r="E5368">
            <v>4243.7833600000004</v>
          </cell>
          <cell r="G5368">
            <v>125531</v>
          </cell>
        </row>
        <row r="5369">
          <cell r="A5369">
            <v>125532</v>
          </cell>
          <cell r="B5369" t="str">
            <v>EVO44,S,48",IV,O,NN,MA</v>
          </cell>
          <cell r="C5369" t="str">
            <v>EA</v>
          </cell>
          <cell r="D5369" t="str">
            <v>MA100</v>
          </cell>
          <cell r="E5369">
            <v>4243.7833600000004</v>
          </cell>
          <cell r="G5369">
            <v>125532</v>
          </cell>
        </row>
        <row r="5370">
          <cell r="A5370">
            <v>125533</v>
          </cell>
          <cell r="B5370" t="str">
            <v>MAIN BASE ANGLE, EVO AIR PROTOTYPE</v>
          </cell>
          <cell r="C5370" t="str">
            <v>EA</v>
          </cell>
          <cell r="D5370" t="str">
            <v>RM100</v>
          </cell>
          <cell r="E5370">
            <v>0</v>
          </cell>
          <cell r="G5370">
            <v>125533</v>
          </cell>
        </row>
        <row r="5371">
          <cell r="A5371">
            <v>125537</v>
          </cell>
          <cell r="B5371" t="str">
            <v>DR,S201,MAN,3X7,RH</v>
          </cell>
          <cell r="C5371" t="str">
            <v>EA</v>
          </cell>
          <cell r="D5371" t="str">
            <v>MA100</v>
          </cell>
          <cell r="E5371">
            <v>8498.0341900000003</v>
          </cell>
          <cell r="G5371">
            <v>125537</v>
          </cell>
        </row>
        <row r="5372">
          <cell r="A5372">
            <v>125540</v>
          </cell>
          <cell r="B5372" t="str">
            <v>HORIZ ANG,CART,48.75 INSIDE</v>
          </cell>
          <cell r="C5372" t="str">
            <v>EA</v>
          </cell>
          <cell r="D5372" t="str">
            <v>MA100</v>
          </cell>
          <cell r="E5372">
            <v>25.224599999999999</v>
          </cell>
          <cell r="G5372">
            <v>125540</v>
          </cell>
        </row>
        <row r="5373">
          <cell r="A5373">
            <v>125541</v>
          </cell>
          <cell r="B5373" t="str">
            <v>VERT ANG,CART,10.00</v>
          </cell>
          <cell r="C5373" t="str">
            <v>EA</v>
          </cell>
          <cell r="D5373" t="str">
            <v>MA100</v>
          </cell>
          <cell r="E5373">
            <v>16.124600000000001</v>
          </cell>
          <cell r="G5373">
            <v>125541</v>
          </cell>
        </row>
        <row r="5374">
          <cell r="A5374">
            <v>125544</v>
          </cell>
          <cell r="B5374" t="str">
            <v>HORIZ ANG,28.75 INSIDE</v>
          </cell>
          <cell r="C5374" t="str">
            <v>EA</v>
          </cell>
          <cell r="D5374" t="str">
            <v>MA100</v>
          </cell>
          <cell r="E5374">
            <v>21.3246</v>
          </cell>
          <cell r="G5374">
            <v>125544</v>
          </cell>
        </row>
        <row r="5375">
          <cell r="A5375">
            <v>125547</v>
          </cell>
          <cell r="B5375" t="str">
            <v>SHELF,28.75 X 48.75</v>
          </cell>
          <cell r="C5375" t="str">
            <v>EA</v>
          </cell>
          <cell r="D5375" t="str">
            <v>MA100</v>
          </cell>
          <cell r="E5375">
            <v>114.4975</v>
          </cell>
          <cell r="G5375">
            <v>125547</v>
          </cell>
        </row>
        <row r="5376">
          <cell r="A5376">
            <v>125553</v>
          </cell>
          <cell r="B5376" t="str">
            <v>EDGE GUARD, EVO 48"</v>
          </cell>
          <cell r="C5376" t="str">
            <v>EA</v>
          </cell>
          <cell r="D5376" t="str">
            <v>RM100</v>
          </cell>
          <cell r="E5376">
            <v>8.5299999999999994</v>
          </cell>
          <cell r="G5376">
            <v>125553</v>
          </cell>
        </row>
        <row r="5377">
          <cell r="A5377">
            <v>125556</v>
          </cell>
          <cell r="B5377" t="str">
            <v>DR,S201,MAN,4X7,RH,PHEN HDL</v>
          </cell>
          <cell r="C5377" t="str">
            <v>EA</v>
          </cell>
          <cell r="D5377" t="str">
            <v>MA100</v>
          </cell>
          <cell r="E5377">
            <v>9632.9872099999993</v>
          </cell>
          <cell r="G5377">
            <v>125556</v>
          </cell>
        </row>
        <row r="5378">
          <cell r="A5378">
            <v>125557</v>
          </cell>
          <cell r="B5378" t="str">
            <v>DR,S201,MAN,4X7,RH</v>
          </cell>
          <cell r="C5378" t="str">
            <v>EA</v>
          </cell>
          <cell r="D5378" t="str">
            <v>MA100</v>
          </cell>
          <cell r="E5378">
            <v>9523.9808099999991</v>
          </cell>
          <cell r="G5378">
            <v>125557</v>
          </cell>
        </row>
        <row r="5379">
          <cell r="A5379">
            <v>125565</v>
          </cell>
          <cell r="B5379" t="str">
            <v>DR,S201,E-LATCH,4X7,LH</v>
          </cell>
          <cell r="C5379" t="str">
            <v>EA</v>
          </cell>
          <cell r="D5379" t="str">
            <v>MA100</v>
          </cell>
          <cell r="E5379">
            <v>13317.25626</v>
          </cell>
          <cell r="G5379">
            <v>125565</v>
          </cell>
        </row>
        <row r="5380">
          <cell r="A5380">
            <v>125566</v>
          </cell>
          <cell r="B5380" t="str">
            <v>PRESS BAR, SHORT, PNEU, EVO IV JAMB</v>
          </cell>
          <cell r="C5380" t="str">
            <v>EA</v>
          </cell>
          <cell r="D5380" t="str">
            <v>RM100</v>
          </cell>
          <cell r="E5380">
            <v>14.56</v>
          </cell>
          <cell r="G5380">
            <v>125566</v>
          </cell>
        </row>
        <row r="5381">
          <cell r="A5381">
            <v>125567</v>
          </cell>
          <cell r="B5381" t="str">
            <v>PRESS BAR, LONG, PNEU, EVO IV JAMB</v>
          </cell>
          <cell r="C5381" t="str">
            <v>EA</v>
          </cell>
          <cell r="D5381" t="str">
            <v>RM100</v>
          </cell>
          <cell r="E5381">
            <v>19.600000000000001</v>
          </cell>
          <cell r="G5381">
            <v>125567</v>
          </cell>
        </row>
        <row r="5382">
          <cell r="A5382">
            <v>125568</v>
          </cell>
          <cell r="B5382" t="str">
            <v>EVO IV JAMB PLUG, MIDDLE</v>
          </cell>
          <cell r="C5382" t="str">
            <v>EA</v>
          </cell>
          <cell r="D5382" t="str">
            <v>RM100</v>
          </cell>
          <cell r="E5382">
            <v>55</v>
          </cell>
          <cell r="G5382">
            <v>125568</v>
          </cell>
        </row>
        <row r="5383">
          <cell r="A5383">
            <v>125569</v>
          </cell>
          <cell r="B5383" t="str">
            <v>EVO IV JAMB PLUG, FRONT</v>
          </cell>
          <cell r="C5383" t="str">
            <v>EA</v>
          </cell>
          <cell r="D5383" t="str">
            <v>RM100</v>
          </cell>
          <cell r="E5383">
            <v>35</v>
          </cell>
          <cell r="G5383">
            <v>125569</v>
          </cell>
        </row>
        <row r="5384">
          <cell r="A5384">
            <v>125570</v>
          </cell>
          <cell r="B5384" t="str">
            <v>EVO IV JAMB PLUG, BACK</v>
          </cell>
          <cell r="C5384" t="str">
            <v>EA</v>
          </cell>
          <cell r="D5384" t="str">
            <v>RM100</v>
          </cell>
          <cell r="E5384">
            <v>35</v>
          </cell>
          <cell r="G5384">
            <v>125570</v>
          </cell>
        </row>
        <row r="5385">
          <cell r="A5385">
            <v>125571</v>
          </cell>
          <cell r="B5385" t="str">
            <v>STANDOFF,F-F,NYL,6-32X0.375",0.25"ODX2"L</v>
          </cell>
          <cell r="C5385" t="str">
            <v>EA</v>
          </cell>
          <cell r="D5385" t="str">
            <v>RM100</v>
          </cell>
          <cell r="E5385">
            <v>1.86</v>
          </cell>
          <cell r="G5385">
            <v>125571</v>
          </cell>
        </row>
        <row r="5386">
          <cell r="A5386">
            <v>125572</v>
          </cell>
          <cell r="B5386" t="str">
            <v>EVO IV JAMB PLUG</v>
          </cell>
          <cell r="C5386" t="str">
            <v>EA</v>
          </cell>
          <cell r="D5386" t="str">
            <v>RM100</v>
          </cell>
          <cell r="E5386">
            <v>0</v>
          </cell>
          <cell r="G5386">
            <v>125572</v>
          </cell>
        </row>
        <row r="5387">
          <cell r="A5387">
            <v>125584</v>
          </cell>
          <cell r="B5387" t="str">
            <v>FILLER PLATE, EVO JAMB, IV OPTION</v>
          </cell>
          <cell r="C5387" t="str">
            <v>EA</v>
          </cell>
          <cell r="D5387" t="str">
            <v>RM100</v>
          </cell>
          <cell r="E5387">
            <v>0</v>
          </cell>
          <cell r="G5387">
            <v>125584</v>
          </cell>
        </row>
        <row r="5388">
          <cell r="A5388">
            <v>125586</v>
          </cell>
          <cell r="B5388" t="str">
            <v>BAR, RF SEAL HOLDER, SHORT, IV JAMB</v>
          </cell>
          <cell r="C5388" t="str">
            <v>EA</v>
          </cell>
          <cell r="D5388" t="str">
            <v>RM100</v>
          </cell>
          <cell r="E5388">
            <v>30.11</v>
          </cell>
          <cell r="G5388">
            <v>125586</v>
          </cell>
        </row>
        <row r="5389">
          <cell r="A5389">
            <v>125587</v>
          </cell>
          <cell r="B5389" t="str">
            <v>BAR, RF SEAL HOLDER, LONG, IV JAMB</v>
          </cell>
          <cell r="C5389" t="str">
            <v>EA</v>
          </cell>
          <cell r="D5389" t="str">
            <v>RM100</v>
          </cell>
          <cell r="E5389">
            <v>36.53</v>
          </cell>
          <cell r="G5389">
            <v>125587</v>
          </cell>
        </row>
        <row r="5390">
          <cell r="A5390">
            <v>125598</v>
          </cell>
          <cell r="B5390" t="str">
            <v>SEAL,RF,SHORT,IV JAMB</v>
          </cell>
          <cell r="C5390" t="str">
            <v>EA</v>
          </cell>
          <cell r="D5390" t="str">
            <v>RM100</v>
          </cell>
          <cell r="E5390">
            <v>0</v>
          </cell>
          <cell r="G5390">
            <v>125598</v>
          </cell>
        </row>
        <row r="5391">
          <cell r="A5391">
            <v>125599</v>
          </cell>
          <cell r="B5391" t="str">
            <v>SEAL,RF,LONG,IV JAMB</v>
          </cell>
          <cell r="C5391" t="str">
            <v>EA</v>
          </cell>
          <cell r="D5391" t="str">
            <v>RM100</v>
          </cell>
          <cell r="E5391">
            <v>0</v>
          </cell>
          <cell r="G5391">
            <v>125599</v>
          </cell>
        </row>
        <row r="5392">
          <cell r="A5392">
            <v>125655</v>
          </cell>
          <cell r="B5392" t="str">
            <v>SPACER, NYLON .25"thk x .50" x 3"</v>
          </cell>
          <cell r="C5392" t="str">
            <v>EA</v>
          </cell>
          <cell r="D5392" t="str">
            <v>RM100</v>
          </cell>
          <cell r="E5392">
            <v>0.75</v>
          </cell>
          <cell r="G5392">
            <v>125655</v>
          </cell>
        </row>
        <row r="5393">
          <cell r="A5393">
            <v>125793</v>
          </cell>
          <cell r="B5393" t="str">
            <v>GROUND STRAP,COPPER,PJ2353</v>
          </cell>
          <cell r="C5393" t="str">
            <v>EA</v>
          </cell>
          <cell r="D5393" t="str">
            <v>RM100</v>
          </cell>
          <cell r="E5393">
            <v>92.729960000000005</v>
          </cell>
          <cell r="G5393">
            <v>125793</v>
          </cell>
        </row>
        <row r="5394">
          <cell r="A5394">
            <v>125796</v>
          </cell>
          <cell r="B5394" t="str">
            <v>JAMB COVER,TOP SIDE,DKE,4X7</v>
          </cell>
          <cell r="C5394" t="str">
            <v>EA</v>
          </cell>
          <cell r="D5394" t="str">
            <v>MA100</v>
          </cell>
          <cell r="E5394">
            <v>3.8892000000000002</v>
          </cell>
          <cell r="G5394">
            <v>125796</v>
          </cell>
        </row>
        <row r="5395">
          <cell r="A5395">
            <v>125797</v>
          </cell>
          <cell r="B5395" t="str">
            <v>JAMB COVER,BOTTOM SIDE,DKE,4X7</v>
          </cell>
          <cell r="C5395" t="str">
            <v>EA</v>
          </cell>
          <cell r="D5395" t="str">
            <v>MA100</v>
          </cell>
          <cell r="E5395">
            <v>11.0984</v>
          </cell>
          <cell r="G5395">
            <v>125797</v>
          </cell>
        </row>
        <row r="5396">
          <cell r="A5396">
            <v>125798</v>
          </cell>
          <cell r="B5396" t="str">
            <v>JAMB COVER,SIDE,DKE,4X7</v>
          </cell>
          <cell r="C5396" t="str">
            <v>EA</v>
          </cell>
          <cell r="D5396" t="str">
            <v>MA100</v>
          </cell>
          <cell r="E5396">
            <v>11.292199999999999</v>
          </cell>
          <cell r="G5396">
            <v>125798</v>
          </cell>
        </row>
        <row r="5397">
          <cell r="A5397">
            <v>125826</v>
          </cell>
          <cell r="B5397" t="str">
            <v>EMBED,HINGE,DOOR,DKE</v>
          </cell>
          <cell r="C5397" t="str">
            <v>EA</v>
          </cell>
          <cell r="D5397" t="str">
            <v>MA100</v>
          </cell>
          <cell r="E5397">
            <v>18.5</v>
          </cell>
          <cell r="G5397">
            <v>125826</v>
          </cell>
        </row>
        <row r="5398">
          <cell r="A5398">
            <v>125831</v>
          </cell>
          <cell r="B5398" t="str">
            <v>EXTRU, BRASS, DKE, MALE, 4X7 SIDE</v>
          </cell>
          <cell r="C5398" t="str">
            <v>EA</v>
          </cell>
          <cell r="D5398" t="str">
            <v>MA100</v>
          </cell>
          <cell r="E5398">
            <v>145.35069999999999</v>
          </cell>
          <cell r="G5398">
            <v>125831</v>
          </cell>
        </row>
        <row r="5399">
          <cell r="A5399">
            <v>125857</v>
          </cell>
          <cell r="B5399" t="str">
            <v>GEAR,RACK STL 3/4"X3/4"x9" 72 TEETH</v>
          </cell>
          <cell r="C5399" t="str">
            <v>EA</v>
          </cell>
          <cell r="D5399" t="str">
            <v>MA100</v>
          </cell>
          <cell r="E5399">
            <v>17.554179999999999</v>
          </cell>
          <cell r="G5399">
            <v>125857</v>
          </cell>
        </row>
        <row r="5400">
          <cell r="A5400">
            <v>125888</v>
          </cell>
          <cell r="B5400" t="str">
            <v>CPA-6x18-G-2N,2ST</v>
          </cell>
          <cell r="C5400" t="str">
            <v>EA</v>
          </cell>
          <cell r="D5400" t="str">
            <v>MA100</v>
          </cell>
          <cell r="E5400">
            <v>761.92200000000003</v>
          </cell>
          <cell r="G5400">
            <v>125888</v>
          </cell>
        </row>
        <row r="5401">
          <cell r="A5401">
            <v>125889</v>
          </cell>
          <cell r="B5401" t="str">
            <v>CP-6x18-G-2N,2ST</v>
          </cell>
          <cell r="C5401" t="str">
            <v>EA</v>
          </cell>
          <cell r="D5401" t="str">
            <v>MA100</v>
          </cell>
          <cell r="E5401">
            <v>64.741200000000006</v>
          </cell>
          <cell r="G5401">
            <v>125889</v>
          </cell>
        </row>
        <row r="5402">
          <cell r="A5402">
            <v>125892</v>
          </cell>
          <cell r="B5402" t="str">
            <v>CPA-24X24-G-10S,4D9</v>
          </cell>
          <cell r="C5402" t="str">
            <v>EA</v>
          </cell>
          <cell r="D5402" t="str">
            <v>MA100</v>
          </cell>
          <cell r="E5402">
            <v>1041.0515</v>
          </cell>
          <cell r="G5402">
            <v>125892</v>
          </cell>
        </row>
        <row r="5403">
          <cell r="A5403">
            <v>125893</v>
          </cell>
          <cell r="B5403" t="str">
            <v>CP-24X24-G-10S,4D9</v>
          </cell>
          <cell r="C5403" t="str">
            <v>EA</v>
          </cell>
          <cell r="D5403" t="str">
            <v>MA100</v>
          </cell>
          <cell r="E5403">
            <v>50.757199999999997</v>
          </cell>
          <cell r="G5403">
            <v>125893</v>
          </cell>
        </row>
        <row r="5404">
          <cell r="A5404">
            <v>125901</v>
          </cell>
          <cell r="B5404" t="str">
            <v>CPA-6X24-G-8N,8S,2F,RJ45,PIPE</v>
          </cell>
          <cell r="C5404" t="str">
            <v>EA</v>
          </cell>
          <cell r="D5404" t="str">
            <v>MA100</v>
          </cell>
          <cell r="E5404">
            <v>1023.7075</v>
          </cell>
          <cell r="G5404">
            <v>125901</v>
          </cell>
        </row>
        <row r="5405">
          <cell r="A5405">
            <v>125902</v>
          </cell>
          <cell r="B5405" t="str">
            <v>CP-6X24-G-8N,8S,2F,RJ45,PIPE</v>
          </cell>
          <cell r="C5405" t="str">
            <v>EA</v>
          </cell>
          <cell r="D5405" t="str">
            <v>MA100</v>
          </cell>
          <cell r="E5405">
            <v>66.227500000000006</v>
          </cell>
          <cell r="G5405">
            <v>125902</v>
          </cell>
        </row>
        <row r="5406">
          <cell r="A5406">
            <v>125903</v>
          </cell>
          <cell r="B5406" t="str">
            <v>DKE SKIN SUPPORT, HINGE SIDE</v>
          </cell>
          <cell r="C5406" t="str">
            <v>EA</v>
          </cell>
          <cell r="D5406" t="str">
            <v>MA100</v>
          </cell>
          <cell r="E5406">
            <v>186.6651</v>
          </cell>
          <cell r="G5406">
            <v>125903</v>
          </cell>
        </row>
        <row r="5407">
          <cell r="A5407">
            <v>125905</v>
          </cell>
          <cell r="B5407" t="str">
            <v>DKE SKIN SUPPORT, CROSS</v>
          </cell>
          <cell r="C5407" t="str">
            <v>EA</v>
          </cell>
          <cell r="D5407" t="str">
            <v>MA100</v>
          </cell>
          <cell r="E5407">
            <v>12.676</v>
          </cell>
          <cell r="G5407">
            <v>125905</v>
          </cell>
        </row>
        <row r="5408">
          <cell r="A5408">
            <v>125906</v>
          </cell>
          <cell r="B5408" t="str">
            <v>EMBED,HINGE,SKIN SUPPORT,DKE</v>
          </cell>
          <cell r="C5408" t="str">
            <v>EA</v>
          </cell>
          <cell r="D5408" t="str">
            <v>MA100</v>
          </cell>
          <cell r="E5408">
            <v>143.45259999999999</v>
          </cell>
          <cell r="G5408">
            <v>125906</v>
          </cell>
        </row>
        <row r="5409">
          <cell r="A5409">
            <v>125911</v>
          </cell>
          <cell r="B5409" t="str">
            <v>DKE SKIN SUPPORT, SKIN</v>
          </cell>
          <cell r="C5409" t="str">
            <v>EA</v>
          </cell>
          <cell r="D5409" t="str">
            <v>MA100</v>
          </cell>
          <cell r="E5409">
            <v>15.897600000000001</v>
          </cell>
          <cell r="G5409">
            <v>125911</v>
          </cell>
        </row>
        <row r="5410">
          <cell r="A5410">
            <v>125915</v>
          </cell>
          <cell r="B5410" t="str">
            <v>CP-24X24-G-4" WG WELDED</v>
          </cell>
          <cell r="C5410" t="str">
            <v>EA</v>
          </cell>
          <cell r="D5410" t="str">
            <v>MA100</v>
          </cell>
          <cell r="E5410">
            <v>356.61880000000002</v>
          </cell>
          <cell r="G5410">
            <v>125915</v>
          </cell>
        </row>
        <row r="5411">
          <cell r="A5411">
            <v>125916</v>
          </cell>
          <cell r="B5411" t="str">
            <v>CP-24X24-G-4" WG WELDED</v>
          </cell>
          <cell r="C5411" t="str">
            <v>EA</v>
          </cell>
          <cell r="D5411" t="str">
            <v>MA100</v>
          </cell>
          <cell r="E5411">
            <v>1454.4271000000001</v>
          </cell>
          <cell r="G5411">
            <v>125916</v>
          </cell>
        </row>
        <row r="5412">
          <cell r="A5412">
            <v>125944</v>
          </cell>
          <cell r="B5412" t="str">
            <v>DOOR PANEL, 4X7 DKE INSIDE PT 1</v>
          </cell>
          <cell r="C5412" t="str">
            <v>EA</v>
          </cell>
          <cell r="D5412" t="str">
            <v>MA100</v>
          </cell>
          <cell r="E5412">
            <v>96.165599999999998</v>
          </cell>
          <cell r="G5412">
            <v>125944</v>
          </cell>
        </row>
        <row r="5413">
          <cell r="A5413">
            <v>125946</v>
          </cell>
          <cell r="B5413" t="str">
            <v>DOOR PANEL, 4X7 DKE SKIN PT 1</v>
          </cell>
          <cell r="C5413" t="str">
            <v>EA</v>
          </cell>
          <cell r="D5413" t="str">
            <v>MA100</v>
          </cell>
          <cell r="E5413">
            <v>150.9956</v>
          </cell>
          <cell r="G5413">
            <v>125946</v>
          </cell>
        </row>
        <row r="5414">
          <cell r="A5414">
            <v>125951</v>
          </cell>
          <cell r="B5414" t="str">
            <v>DKE BRASS RETAINER</v>
          </cell>
          <cell r="C5414" t="str">
            <v>EA</v>
          </cell>
          <cell r="D5414" t="str">
            <v>MA100</v>
          </cell>
          <cell r="E5414">
            <v>240</v>
          </cell>
          <cell r="G5414">
            <v>125951</v>
          </cell>
        </row>
        <row r="5415">
          <cell r="A5415">
            <v>125954</v>
          </cell>
          <cell r="B5415" t="str">
            <v>DKE SKIN SUPPORT, WELDMENT</v>
          </cell>
          <cell r="C5415" t="str">
            <v>EA</v>
          </cell>
          <cell r="D5415" t="str">
            <v>MA100</v>
          </cell>
          <cell r="E5415">
            <v>265.66879999999998</v>
          </cell>
          <cell r="G5415">
            <v>125954</v>
          </cell>
        </row>
        <row r="5416">
          <cell r="A5416">
            <v>125956</v>
          </cell>
          <cell r="B5416" t="str">
            <v>INTERLOCK SWITCH BRACKET</v>
          </cell>
          <cell r="C5416" t="str">
            <v>EA</v>
          </cell>
          <cell r="D5416" t="str">
            <v>MA100</v>
          </cell>
          <cell r="E5416">
            <v>121.1677</v>
          </cell>
          <cell r="G5416">
            <v>125956</v>
          </cell>
        </row>
        <row r="5417">
          <cell r="A5417">
            <v>125957</v>
          </cell>
          <cell r="B5417" t="str">
            <v>INTERLOCK SWITCH PLATE</v>
          </cell>
          <cell r="C5417" t="str">
            <v>EA</v>
          </cell>
          <cell r="D5417" t="str">
            <v>MA100</v>
          </cell>
          <cell r="E5417">
            <v>132.31200000000001</v>
          </cell>
          <cell r="G5417">
            <v>125957</v>
          </cell>
        </row>
        <row r="5418">
          <cell r="A5418">
            <v>125975</v>
          </cell>
          <cell r="B5418" t="str">
            <v>CPA-30X30-G-19X19SQUARE PNL-IN-PNL</v>
          </cell>
          <cell r="C5418" t="str">
            <v>EA</v>
          </cell>
          <cell r="D5418" t="str">
            <v>MA100</v>
          </cell>
          <cell r="E5418">
            <v>511.80200000000002</v>
          </cell>
          <cell r="G5418">
            <v>125975</v>
          </cell>
        </row>
        <row r="5419">
          <cell r="A5419">
            <v>125977</v>
          </cell>
          <cell r="B5419" t="str">
            <v>FASTENER, DKE 14" PHENOLIC HANDLE</v>
          </cell>
          <cell r="C5419" t="str">
            <v>EA</v>
          </cell>
          <cell r="D5419" t="str">
            <v>MA100</v>
          </cell>
          <cell r="E5419">
            <v>37.981529999999999</v>
          </cell>
          <cell r="G5419">
            <v>125977</v>
          </cell>
        </row>
        <row r="5420">
          <cell r="A5420">
            <v>125991</v>
          </cell>
          <cell r="B5420" t="str">
            <v>SPACER, MAG LOCK FOR DKE</v>
          </cell>
          <cell r="C5420" t="str">
            <v>EA</v>
          </cell>
          <cell r="D5420" t="str">
            <v>MA100</v>
          </cell>
          <cell r="E5420">
            <v>69.646429999999995</v>
          </cell>
          <cell r="G5420">
            <v>125991</v>
          </cell>
        </row>
        <row r="5421">
          <cell r="A5421">
            <v>125993</v>
          </cell>
          <cell r="B5421" t="str">
            <v>HDL,1x1-1/2x24 ALUM 6061 W/ HUB,MAGLOCK</v>
          </cell>
          <cell r="C5421" t="str">
            <v>EA</v>
          </cell>
          <cell r="D5421" t="str">
            <v>MA100</v>
          </cell>
          <cell r="E5421">
            <v>197.05279999999999</v>
          </cell>
          <cell r="G5421">
            <v>125993</v>
          </cell>
        </row>
        <row r="5422">
          <cell r="A5422">
            <v>125995</v>
          </cell>
          <cell r="B5422" t="str">
            <v>CPA-12X12-G-4N</v>
          </cell>
          <cell r="C5422" t="str">
            <v>EA</v>
          </cell>
          <cell r="D5422" t="str">
            <v>MA100</v>
          </cell>
          <cell r="E5422">
            <v>1164.71956</v>
          </cell>
          <cell r="G5422">
            <v>125995</v>
          </cell>
        </row>
        <row r="5423">
          <cell r="A5423">
            <v>125996</v>
          </cell>
          <cell r="B5423" t="str">
            <v>CPA-6x6-B-4SMA</v>
          </cell>
          <cell r="C5423" t="str">
            <v>EA</v>
          </cell>
          <cell r="D5423" t="str">
            <v>MA100</v>
          </cell>
          <cell r="E5423">
            <v>1145.5887600000001</v>
          </cell>
          <cell r="G5423">
            <v>125996</v>
          </cell>
        </row>
        <row r="5424">
          <cell r="A5424">
            <v>126000</v>
          </cell>
          <cell r="B5424" t="str">
            <v>DKE,4X7,LH,S201-STYLE,NO MAG</v>
          </cell>
          <cell r="C5424" t="str">
            <v>EA</v>
          </cell>
          <cell r="D5424" t="str">
            <v>MA100</v>
          </cell>
          <cell r="E5424">
            <v>17613.953450000001</v>
          </cell>
          <cell r="G5424">
            <v>126000</v>
          </cell>
        </row>
        <row r="5425">
          <cell r="A5425">
            <v>126007</v>
          </cell>
          <cell r="B5425" t="str">
            <v>CP-24X24-G-BLANK PNL-IN-PNL,4" PIPE</v>
          </cell>
          <cell r="C5425" t="str">
            <v>EA</v>
          </cell>
          <cell r="D5425" t="str">
            <v>MA100</v>
          </cell>
          <cell r="E5425">
            <v>40.679400000000001</v>
          </cell>
          <cell r="G5425">
            <v>126007</v>
          </cell>
        </row>
        <row r="5426">
          <cell r="A5426">
            <v>126010</v>
          </cell>
          <cell r="B5426" t="str">
            <v>CP-24X24-G-19X19 CLEAR</v>
          </cell>
          <cell r="C5426" t="str">
            <v>EA</v>
          </cell>
          <cell r="D5426" t="str">
            <v>MA100</v>
          </cell>
          <cell r="E5426">
            <v>96.754000000000005</v>
          </cell>
          <cell r="G5426">
            <v>126010</v>
          </cell>
        </row>
        <row r="5427">
          <cell r="A5427">
            <v>126011</v>
          </cell>
          <cell r="B5427" t="str">
            <v>CPA-24X24-G-19X19 CLEAR</v>
          </cell>
          <cell r="C5427" t="str">
            <v>EA</v>
          </cell>
          <cell r="D5427" t="str">
            <v>MA100</v>
          </cell>
          <cell r="E5427">
            <v>1301.5038999999999</v>
          </cell>
          <cell r="G5427">
            <v>126011</v>
          </cell>
        </row>
        <row r="5428">
          <cell r="A5428">
            <v>126018</v>
          </cell>
          <cell r="B5428" t="str">
            <v>CVR,GUIDE BLK, TAMPER-RESISTANT, S201</v>
          </cell>
          <cell r="C5428" t="str">
            <v>EA</v>
          </cell>
          <cell r="D5428" t="str">
            <v>MA100</v>
          </cell>
          <cell r="E5428">
            <v>90.7256</v>
          </cell>
          <cell r="G5428">
            <v>126018</v>
          </cell>
        </row>
        <row r="5429">
          <cell r="A5429">
            <v>126021</v>
          </cell>
          <cell r="B5429" t="str">
            <v>CVR, LATCHROD, S201, TAMPER-RESISTANT</v>
          </cell>
          <cell r="C5429" t="str">
            <v>EA</v>
          </cell>
          <cell r="D5429" t="str">
            <v>MA100</v>
          </cell>
          <cell r="E5429">
            <v>99.398600000000002</v>
          </cell>
          <cell r="G5429">
            <v>126021</v>
          </cell>
        </row>
        <row r="5430">
          <cell r="A5430">
            <v>126022</v>
          </cell>
          <cell r="B5430" t="str">
            <v>CVR, LATCHROD, S201, TAMPER-RESISTANT</v>
          </cell>
          <cell r="C5430" t="str">
            <v>EA</v>
          </cell>
          <cell r="D5430" t="str">
            <v>MA100</v>
          </cell>
          <cell r="E5430">
            <v>99.398600000000002</v>
          </cell>
          <cell r="G5430">
            <v>126022</v>
          </cell>
        </row>
        <row r="5431">
          <cell r="A5431">
            <v>126032</v>
          </cell>
          <cell r="B5431" t="str">
            <v>FLANGE,VENT,1X1,STL,4.0</v>
          </cell>
          <cell r="C5431" t="str">
            <v>EA</v>
          </cell>
          <cell r="D5431" t="str">
            <v>MA100</v>
          </cell>
          <cell r="E5431">
            <v>1.5302100000000001</v>
          </cell>
          <cell r="G5431">
            <v>126032</v>
          </cell>
        </row>
        <row r="5432">
          <cell r="A5432">
            <v>126033</v>
          </cell>
          <cell r="B5432" t="str">
            <v>FLANGE,VENT,1X1,STL,6.0</v>
          </cell>
          <cell r="C5432" t="str">
            <v>EA</v>
          </cell>
          <cell r="D5432" t="str">
            <v>MA100</v>
          </cell>
          <cell r="E5432">
            <v>1.391E-2</v>
          </cell>
          <cell r="G5432">
            <v>126033</v>
          </cell>
        </row>
        <row r="5433">
          <cell r="A5433">
            <v>126036</v>
          </cell>
          <cell r="B5433" t="str">
            <v>FLANGE,VENT,1X1,STL,12.0</v>
          </cell>
          <cell r="C5433" t="str">
            <v>EA</v>
          </cell>
          <cell r="D5433" t="str">
            <v>MA100</v>
          </cell>
          <cell r="E5433">
            <v>4.6369999999999996</v>
          </cell>
          <cell r="G5433">
            <v>126036</v>
          </cell>
        </row>
        <row r="5434">
          <cell r="A5434">
            <v>126037</v>
          </cell>
          <cell r="B5434" t="str">
            <v>FLANGE,VENT,1X1,STL,14.0</v>
          </cell>
          <cell r="C5434" t="str">
            <v>EA</v>
          </cell>
          <cell r="D5434" t="str">
            <v>MA100</v>
          </cell>
          <cell r="E5434">
            <v>0.17644000000000001</v>
          </cell>
          <cell r="G5434">
            <v>126037</v>
          </cell>
        </row>
        <row r="5435">
          <cell r="A5435">
            <v>126038</v>
          </cell>
          <cell r="B5435" t="str">
            <v>FLANGE,VENT,1X1,STL,16.0</v>
          </cell>
          <cell r="C5435" t="str">
            <v>EA</v>
          </cell>
          <cell r="D5435" t="str">
            <v>MA100</v>
          </cell>
          <cell r="E5435">
            <v>1.8550000000000001E-2</v>
          </cell>
          <cell r="G5435">
            <v>126038</v>
          </cell>
        </row>
        <row r="5436">
          <cell r="A5436">
            <v>126039</v>
          </cell>
          <cell r="B5436" t="str">
            <v>FLANGE,VENT,1X1,STL,18.0</v>
          </cell>
          <cell r="C5436" t="str">
            <v>EA</v>
          </cell>
          <cell r="D5436" t="str">
            <v>MA100</v>
          </cell>
          <cell r="E5436">
            <v>6.9555100000000003</v>
          </cell>
          <cell r="G5436">
            <v>126039</v>
          </cell>
        </row>
        <row r="5437">
          <cell r="A5437">
            <v>126040</v>
          </cell>
          <cell r="B5437" t="str">
            <v>FLANGE,VENT,1X1,STL,20.0</v>
          </cell>
          <cell r="C5437" t="str">
            <v>EA</v>
          </cell>
          <cell r="D5437" t="str">
            <v>MA100</v>
          </cell>
          <cell r="E5437">
            <v>0.22055</v>
          </cell>
          <cell r="G5437">
            <v>126040</v>
          </cell>
        </row>
        <row r="5438">
          <cell r="A5438">
            <v>126042</v>
          </cell>
          <cell r="B5438" t="str">
            <v>FLANGE,VENT,1X1,STL,24.0</v>
          </cell>
          <cell r="C5438" t="str">
            <v>EA</v>
          </cell>
          <cell r="D5438" t="str">
            <v>MA100</v>
          </cell>
          <cell r="E5438">
            <v>9.2739999999999991</v>
          </cell>
          <cell r="G5438">
            <v>126042</v>
          </cell>
        </row>
        <row r="5439">
          <cell r="A5439">
            <v>126043</v>
          </cell>
          <cell r="B5439" t="str">
            <v>FLANGE,VENT,1X1,STL,4.0,W/NOTCH</v>
          </cell>
          <cell r="C5439" t="str">
            <v>EA</v>
          </cell>
          <cell r="D5439" t="str">
            <v>MA100</v>
          </cell>
          <cell r="E5439">
            <v>1.5302100000000001</v>
          </cell>
          <cell r="G5439">
            <v>126043</v>
          </cell>
        </row>
        <row r="5440">
          <cell r="A5440">
            <v>126045</v>
          </cell>
          <cell r="B5440" t="str">
            <v>FLANGE,VENT,1X1,STL,8.0,W/NOTCH</v>
          </cell>
          <cell r="C5440" t="str">
            <v>EA</v>
          </cell>
          <cell r="D5440" t="str">
            <v>MA100</v>
          </cell>
          <cell r="E5440">
            <v>4.6369999999999996</v>
          </cell>
          <cell r="G5440">
            <v>126045</v>
          </cell>
        </row>
        <row r="5441">
          <cell r="A5441">
            <v>126046</v>
          </cell>
          <cell r="B5441" t="str">
            <v>FLANGE,VENT,1X1,STL,10.0,W/NOTCH</v>
          </cell>
          <cell r="C5441" t="str">
            <v>EA</v>
          </cell>
          <cell r="D5441" t="str">
            <v>MA100</v>
          </cell>
          <cell r="E5441">
            <v>4.6369999999999996</v>
          </cell>
          <cell r="G5441">
            <v>126046</v>
          </cell>
        </row>
        <row r="5442">
          <cell r="A5442">
            <v>126047</v>
          </cell>
          <cell r="B5442" t="str">
            <v>FLANGE,VENT,1X1,STL,12.0,W/NOTCH</v>
          </cell>
          <cell r="C5442" t="str">
            <v>EA</v>
          </cell>
          <cell r="D5442" t="str">
            <v>MA100</v>
          </cell>
          <cell r="E5442">
            <v>5.5644</v>
          </cell>
          <cell r="G5442">
            <v>126047</v>
          </cell>
        </row>
        <row r="5443">
          <cell r="A5443">
            <v>126048</v>
          </cell>
          <cell r="B5443" t="str">
            <v>FLANGE,VENT,1X1,STL,14.0,W/NOTCH</v>
          </cell>
          <cell r="C5443" t="str">
            <v>EA</v>
          </cell>
          <cell r="D5443" t="str">
            <v>MA100</v>
          </cell>
          <cell r="E5443">
            <v>5.5644</v>
          </cell>
          <cell r="G5443">
            <v>126048</v>
          </cell>
        </row>
        <row r="5444">
          <cell r="A5444">
            <v>126049</v>
          </cell>
          <cell r="B5444" t="str">
            <v>FLANGE,VENT,1X1,STL,16.0,W/NOTCH</v>
          </cell>
          <cell r="C5444" t="str">
            <v>EA</v>
          </cell>
          <cell r="D5444" t="str">
            <v>MA100</v>
          </cell>
          <cell r="E5444">
            <v>1.8550000000000001E-2</v>
          </cell>
          <cell r="G5444">
            <v>126049</v>
          </cell>
        </row>
        <row r="5445">
          <cell r="A5445">
            <v>126050</v>
          </cell>
          <cell r="B5445" t="str">
            <v>FLANGE,VENT,1X1,STL,18.0,W/NOTCH</v>
          </cell>
          <cell r="C5445" t="str">
            <v>EA</v>
          </cell>
          <cell r="D5445" t="str">
            <v>MA100</v>
          </cell>
          <cell r="E5445">
            <v>9.2739999999999991</v>
          </cell>
          <cell r="G5445">
            <v>126050</v>
          </cell>
        </row>
        <row r="5446">
          <cell r="A5446">
            <v>126052</v>
          </cell>
          <cell r="B5446" t="str">
            <v>FLANGE,VENT,1X1,STL,22.0,W/NOTCH</v>
          </cell>
          <cell r="C5446" t="str">
            <v>EA</v>
          </cell>
          <cell r="D5446" t="str">
            <v>MA100</v>
          </cell>
          <cell r="E5446">
            <v>0.22055</v>
          </cell>
          <cell r="G5446">
            <v>126052</v>
          </cell>
        </row>
        <row r="5447">
          <cell r="A5447">
            <v>126053</v>
          </cell>
          <cell r="B5447" t="str">
            <v>FLANGE,VENT,1X1,STL,24.0,W/NOTCH</v>
          </cell>
          <cell r="C5447" t="str">
            <v>EA</v>
          </cell>
          <cell r="D5447" t="str">
            <v>MA100</v>
          </cell>
          <cell r="E5447">
            <v>9.2739999999999991</v>
          </cell>
          <cell r="G5447">
            <v>126053</v>
          </cell>
        </row>
        <row r="5448">
          <cell r="A5448" t="str">
            <v>126054CC</v>
          </cell>
          <cell r="B5448" t="str">
            <v>PLATE,BEARING,INNER,15 X 15,METRIC.CC</v>
          </cell>
          <cell r="C5448" t="str">
            <v>EA</v>
          </cell>
          <cell r="D5448" t="str">
            <v>RM100</v>
          </cell>
          <cell r="E5448">
            <v>1.0000000000000001E-5</v>
          </cell>
          <cell r="G5448" t="str">
            <v>126054CC</v>
          </cell>
        </row>
        <row r="5449">
          <cell r="A5449">
            <v>126060</v>
          </cell>
          <cell r="B5449" t="str">
            <v>VENT CORE STL,3/16",4.0 X 4.0</v>
          </cell>
          <cell r="C5449" t="str">
            <v>EA</v>
          </cell>
          <cell r="D5449" t="str">
            <v>MA100</v>
          </cell>
          <cell r="E5449">
            <v>14.6</v>
          </cell>
          <cell r="G5449">
            <v>126060</v>
          </cell>
        </row>
        <row r="5450">
          <cell r="A5450">
            <v>126061</v>
          </cell>
          <cell r="B5450" t="str">
            <v>VENT CORE STL,3/16",6.0 X 6.0</v>
          </cell>
          <cell r="C5450" t="str">
            <v>EA</v>
          </cell>
          <cell r="D5450" t="str">
            <v>MA100</v>
          </cell>
          <cell r="E5450">
            <v>36.5</v>
          </cell>
          <cell r="G5450">
            <v>126061</v>
          </cell>
        </row>
        <row r="5451">
          <cell r="A5451">
            <v>126064</v>
          </cell>
          <cell r="B5451" t="str">
            <v>VENT CORE STL,3/16",10.0 X 10.0</v>
          </cell>
          <cell r="C5451" t="str">
            <v>EA</v>
          </cell>
          <cell r="D5451" t="str">
            <v>MA100</v>
          </cell>
          <cell r="E5451">
            <v>73</v>
          </cell>
          <cell r="G5451">
            <v>126064</v>
          </cell>
        </row>
        <row r="5452">
          <cell r="A5452">
            <v>126065</v>
          </cell>
          <cell r="B5452" t="str">
            <v>VENT CORE STL,3/16",12.0 X 12.0</v>
          </cell>
          <cell r="C5452" t="str">
            <v>EA</v>
          </cell>
          <cell r="D5452" t="str">
            <v>MA100</v>
          </cell>
          <cell r="E5452">
            <v>81.096000000000004</v>
          </cell>
          <cell r="G5452">
            <v>126065</v>
          </cell>
        </row>
        <row r="5453">
          <cell r="A5453">
            <v>126066</v>
          </cell>
          <cell r="B5453" t="str">
            <v>VENT CORE STL,3/16",14.0 X 14.0</v>
          </cell>
          <cell r="C5453" t="str">
            <v>EA</v>
          </cell>
          <cell r="D5453" t="str">
            <v>MA100</v>
          </cell>
          <cell r="E5453">
            <v>188.22</v>
          </cell>
          <cell r="G5453">
            <v>126066</v>
          </cell>
        </row>
        <row r="5454">
          <cell r="A5454">
            <v>126067</v>
          </cell>
          <cell r="B5454" t="str">
            <v>VENT CORE STL,3/16",16.0 X 16.0</v>
          </cell>
          <cell r="C5454" t="str">
            <v>EA</v>
          </cell>
          <cell r="D5454" t="str">
            <v>MA100</v>
          </cell>
          <cell r="E5454">
            <v>146</v>
          </cell>
          <cell r="G5454">
            <v>126067</v>
          </cell>
        </row>
        <row r="5455">
          <cell r="A5455">
            <v>126068</v>
          </cell>
          <cell r="B5455" t="str">
            <v>VENT CORE STL,3/16",18.0 X 18.0</v>
          </cell>
          <cell r="C5455" t="str">
            <v>EA</v>
          </cell>
          <cell r="D5455" t="str">
            <v>MA100</v>
          </cell>
          <cell r="E5455">
            <v>292</v>
          </cell>
          <cell r="G5455">
            <v>126068</v>
          </cell>
        </row>
        <row r="5456">
          <cell r="A5456">
            <v>126071</v>
          </cell>
          <cell r="B5456" t="str">
            <v>VENT CORE STL,3/16",24.0 X 24.0</v>
          </cell>
          <cell r="C5456" t="str">
            <v>EA</v>
          </cell>
          <cell r="D5456" t="str">
            <v>MA100</v>
          </cell>
          <cell r="E5456">
            <v>292</v>
          </cell>
          <cell r="G5456">
            <v>126071</v>
          </cell>
        </row>
        <row r="5457">
          <cell r="A5457">
            <v>126079</v>
          </cell>
          <cell r="B5457" t="str">
            <v>WELDMENT, EBERHARD LATCH ROD</v>
          </cell>
          <cell r="C5457" t="str">
            <v>EA</v>
          </cell>
          <cell r="D5457" t="str">
            <v>MA100</v>
          </cell>
          <cell r="E5457">
            <v>448.23</v>
          </cell>
          <cell r="G5457">
            <v>126079</v>
          </cell>
        </row>
        <row r="5458">
          <cell r="A5458">
            <v>126080</v>
          </cell>
          <cell r="B5458" t="str">
            <v>FLANGE,VENT,1X1,STL,34.0</v>
          </cell>
          <cell r="C5458" t="str">
            <v>EA</v>
          </cell>
          <cell r="D5458" t="str">
            <v>MA100</v>
          </cell>
          <cell r="E5458">
            <v>0.26466000000000001</v>
          </cell>
          <cell r="G5458">
            <v>126080</v>
          </cell>
        </row>
        <row r="5459">
          <cell r="A5459">
            <v>126081</v>
          </cell>
          <cell r="B5459" t="str">
            <v>FLANGE,VENT,1X1,STL,36.0</v>
          </cell>
          <cell r="C5459" t="str">
            <v>EA</v>
          </cell>
          <cell r="D5459" t="str">
            <v>MA100</v>
          </cell>
          <cell r="E5459">
            <v>13.911</v>
          </cell>
          <cell r="G5459">
            <v>126081</v>
          </cell>
        </row>
        <row r="5460">
          <cell r="A5460">
            <v>126082</v>
          </cell>
          <cell r="B5460" t="str">
            <v>PLT, BENT FOR QUICK REL HATCH,3164-11</v>
          </cell>
          <cell r="C5460" t="str">
            <v>EA</v>
          </cell>
          <cell r="D5460" t="str">
            <v>MA100</v>
          </cell>
          <cell r="E5460">
            <v>36.640610000000002</v>
          </cell>
          <cell r="G5460">
            <v>126082</v>
          </cell>
        </row>
        <row r="5461">
          <cell r="A5461">
            <v>126083</v>
          </cell>
          <cell r="B5461" t="str">
            <v>ASSY,HATCH 21x21 FOR 3164-11</v>
          </cell>
          <cell r="C5461" t="str">
            <v>EA</v>
          </cell>
          <cell r="D5461" t="str">
            <v>MA100</v>
          </cell>
          <cell r="E5461">
            <v>2937.9798000000001</v>
          </cell>
          <cell r="G5461">
            <v>126083</v>
          </cell>
        </row>
        <row r="5462">
          <cell r="A5462">
            <v>126096</v>
          </cell>
          <cell r="B5462" t="str">
            <v>VENT CORE STL,3/16",6.0 X 24.0</v>
          </cell>
          <cell r="C5462" t="str">
            <v>EA</v>
          </cell>
          <cell r="D5462" t="str">
            <v>MA100</v>
          </cell>
          <cell r="E5462">
            <v>73</v>
          </cell>
          <cell r="G5462">
            <v>126096</v>
          </cell>
        </row>
        <row r="5463">
          <cell r="A5463">
            <v>126098</v>
          </cell>
          <cell r="B5463" t="str">
            <v>VENT CORE STL,3/16",8.0 X 20.0</v>
          </cell>
          <cell r="C5463" t="str">
            <v>EA</v>
          </cell>
          <cell r="D5463" t="str">
            <v>MA100</v>
          </cell>
          <cell r="E5463">
            <v>102.2</v>
          </cell>
          <cell r="G5463">
            <v>126098</v>
          </cell>
        </row>
        <row r="5464">
          <cell r="A5464">
            <v>126099</v>
          </cell>
          <cell r="B5464" t="str">
            <v>VENT CORE STL,3/16",12.0 X 24.0</v>
          </cell>
          <cell r="C5464" t="str">
            <v>EA</v>
          </cell>
          <cell r="D5464" t="str">
            <v>MA100</v>
          </cell>
          <cell r="E5464">
            <v>185.10400000000001</v>
          </cell>
          <cell r="G5464">
            <v>126099</v>
          </cell>
        </row>
        <row r="5465">
          <cell r="A5465">
            <v>126100</v>
          </cell>
          <cell r="B5465" t="str">
            <v>VENT CORE STL,3/16",18.0 X 36.0</v>
          </cell>
          <cell r="C5465" t="str">
            <v>EA</v>
          </cell>
          <cell r="D5465" t="str">
            <v>MA100</v>
          </cell>
          <cell r="E5465">
            <v>292</v>
          </cell>
          <cell r="G5465">
            <v>126100</v>
          </cell>
        </row>
        <row r="5466">
          <cell r="A5466">
            <v>126101</v>
          </cell>
          <cell r="B5466" t="str">
            <v>VENT CORE STL,3/16",22.0 X 34.0</v>
          </cell>
          <cell r="C5466" t="str">
            <v>EA</v>
          </cell>
          <cell r="D5466" t="str">
            <v>MA100</v>
          </cell>
          <cell r="E5466">
            <v>292</v>
          </cell>
          <cell r="G5466">
            <v>126101</v>
          </cell>
        </row>
        <row r="5467">
          <cell r="A5467">
            <v>126104</v>
          </cell>
          <cell r="B5467" t="str">
            <v>VENT CORE STL,1/8",6.0 X 6.0</v>
          </cell>
          <cell r="C5467" t="str">
            <v>EA</v>
          </cell>
          <cell r="D5467" t="str">
            <v>MA100</v>
          </cell>
          <cell r="E5467">
            <v>27.865500000000001</v>
          </cell>
          <cell r="G5467">
            <v>126104</v>
          </cell>
        </row>
        <row r="5468">
          <cell r="A5468">
            <v>126105</v>
          </cell>
          <cell r="B5468" t="str">
            <v>VENT CORE STL,1/8",12.0 X 12.0</v>
          </cell>
          <cell r="C5468" t="str">
            <v>EA</v>
          </cell>
          <cell r="D5468" t="str">
            <v>MA100</v>
          </cell>
          <cell r="E5468">
            <v>92.885000000000005</v>
          </cell>
          <cell r="G5468">
            <v>126105</v>
          </cell>
        </row>
        <row r="5469">
          <cell r="A5469">
            <v>126106</v>
          </cell>
          <cell r="B5469" t="str">
            <v>VENT CORE STL,1/8",12.0 X 24.0</v>
          </cell>
          <cell r="C5469" t="str">
            <v>EA</v>
          </cell>
          <cell r="D5469" t="str">
            <v>MA100</v>
          </cell>
          <cell r="E5469">
            <v>219.63550000000001</v>
          </cell>
          <cell r="G5469">
            <v>126106</v>
          </cell>
        </row>
        <row r="5470">
          <cell r="A5470">
            <v>126107</v>
          </cell>
          <cell r="B5470" t="str">
            <v>VENT CORE STL,1/8",18.0 X 18.0</v>
          </cell>
          <cell r="C5470" t="str">
            <v>EA</v>
          </cell>
          <cell r="D5470" t="str">
            <v>MA100</v>
          </cell>
          <cell r="E5470">
            <v>371.54</v>
          </cell>
          <cell r="G5470">
            <v>126107</v>
          </cell>
        </row>
        <row r="5471">
          <cell r="A5471">
            <v>126108</v>
          </cell>
          <cell r="B5471" t="str">
            <v>VENT CORE STL,1/8",24.0 X 24.0</v>
          </cell>
          <cell r="C5471" t="str">
            <v>EA</v>
          </cell>
          <cell r="D5471" t="str">
            <v>MA100</v>
          </cell>
          <cell r="E5471">
            <v>385.71749999999997</v>
          </cell>
          <cell r="G5471">
            <v>126108</v>
          </cell>
        </row>
        <row r="5472">
          <cell r="A5472">
            <v>126109</v>
          </cell>
          <cell r="B5472" t="str">
            <v>VENT,WG,1/8 STL,GALV FLG,6.0X6.0</v>
          </cell>
          <cell r="C5472" t="str">
            <v>EA</v>
          </cell>
          <cell r="D5472" t="str">
            <v>MA100</v>
          </cell>
          <cell r="E5472">
            <v>164.10934</v>
          </cell>
          <cell r="G5472">
            <v>126109</v>
          </cell>
        </row>
        <row r="5473">
          <cell r="A5473">
            <v>126116</v>
          </cell>
          <cell r="B5473" t="str">
            <v>VENT,WG,W/FLG (BRS) 6.0X6.0</v>
          </cell>
          <cell r="C5473" t="str">
            <v>EA</v>
          </cell>
          <cell r="D5473" t="str">
            <v>MA100</v>
          </cell>
          <cell r="E5473">
            <v>107.86202</v>
          </cell>
          <cell r="G5473">
            <v>126116</v>
          </cell>
        </row>
        <row r="5474">
          <cell r="A5474">
            <v>126117</v>
          </cell>
          <cell r="B5474" t="str">
            <v>FLANGE,VENT,.75X1.0,BRASS,6.0</v>
          </cell>
          <cell r="C5474" t="str">
            <v>EA</v>
          </cell>
          <cell r="D5474" t="str">
            <v>MA100</v>
          </cell>
          <cell r="E5474">
            <v>3.5468799999999998</v>
          </cell>
          <cell r="G5474">
            <v>126117</v>
          </cell>
        </row>
        <row r="5475">
          <cell r="A5475">
            <v>126118</v>
          </cell>
          <cell r="B5475" t="str">
            <v>FLANGE,VENT,.75X1.0,BRASS,7.0</v>
          </cell>
          <cell r="C5475" t="str">
            <v>EA</v>
          </cell>
          <cell r="D5475" t="str">
            <v>MA100</v>
          </cell>
          <cell r="E5475">
            <v>1.01688</v>
          </cell>
          <cell r="G5475">
            <v>126118</v>
          </cell>
        </row>
        <row r="5476">
          <cell r="A5476">
            <v>126119</v>
          </cell>
          <cell r="B5476" t="str">
            <v>FLANGE,VENT,.75X1.0,BRASS,8.0</v>
          </cell>
          <cell r="C5476" t="str">
            <v>EA</v>
          </cell>
          <cell r="D5476" t="str">
            <v>MA100</v>
          </cell>
          <cell r="E5476">
            <v>3.04088</v>
          </cell>
          <cell r="G5476">
            <v>126119</v>
          </cell>
        </row>
        <row r="5477">
          <cell r="A5477">
            <v>126120</v>
          </cell>
          <cell r="B5477" t="str">
            <v>FLANGE,VENT,.75X1.0,BRASS,10.0</v>
          </cell>
          <cell r="C5477" t="str">
            <v>EA</v>
          </cell>
          <cell r="D5477" t="str">
            <v>MA100</v>
          </cell>
          <cell r="E5477">
            <v>1.01688</v>
          </cell>
          <cell r="G5477">
            <v>126120</v>
          </cell>
        </row>
        <row r="5478">
          <cell r="A5478">
            <v>126121</v>
          </cell>
          <cell r="B5478" t="str">
            <v>FLANGE,VENT,.75X1.0,BRASS,12.0</v>
          </cell>
          <cell r="C5478" t="str">
            <v>EA</v>
          </cell>
          <cell r="D5478" t="str">
            <v>MA100</v>
          </cell>
          <cell r="E5478">
            <v>1.01688</v>
          </cell>
          <cell r="G5478">
            <v>126121</v>
          </cell>
        </row>
        <row r="5479">
          <cell r="A5479">
            <v>126122</v>
          </cell>
          <cell r="B5479" t="str">
            <v>FLANGE,VENT,.75X1.0,BRASS,14.0</v>
          </cell>
          <cell r="C5479" t="str">
            <v>EA</v>
          </cell>
          <cell r="D5479" t="str">
            <v>MA100</v>
          </cell>
          <cell r="E5479">
            <v>1.01688</v>
          </cell>
          <cell r="G5479">
            <v>126122</v>
          </cell>
        </row>
        <row r="5480">
          <cell r="A5480">
            <v>126123</v>
          </cell>
          <cell r="B5480" t="str">
            <v>FLANGE,VENT,.75X1.0,BRASS,16.0</v>
          </cell>
          <cell r="C5480" t="str">
            <v>EA</v>
          </cell>
          <cell r="D5480" t="str">
            <v>MA100</v>
          </cell>
          <cell r="E5480">
            <v>2.0337499999999999</v>
          </cell>
          <cell r="G5480">
            <v>126123</v>
          </cell>
        </row>
        <row r="5481">
          <cell r="A5481">
            <v>126124</v>
          </cell>
          <cell r="B5481" t="str">
            <v>FLANGE,VENT,.75X1.0,BRASS,18.0</v>
          </cell>
          <cell r="C5481" t="str">
            <v>EA</v>
          </cell>
          <cell r="D5481" t="str">
            <v>MA100</v>
          </cell>
          <cell r="E5481">
            <v>2.0337499999999999</v>
          </cell>
          <cell r="G5481">
            <v>126124</v>
          </cell>
        </row>
        <row r="5482">
          <cell r="A5482">
            <v>126125</v>
          </cell>
          <cell r="B5482" t="str">
            <v>FLANGE,VENT,.75X1.0,BRASS,20.0</v>
          </cell>
          <cell r="C5482" t="str">
            <v>EA</v>
          </cell>
          <cell r="D5482" t="str">
            <v>MA100</v>
          </cell>
          <cell r="E5482">
            <v>2.0337499999999999</v>
          </cell>
          <cell r="G5482">
            <v>126125</v>
          </cell>
        </row>
        <row r="5483">
          <cell r="A5483">
            <v>126126</v>
          </cell>
          <cell r="B5483" t="str">
            <v>FLANGE,VENT,.75X1.0,BRASS,24.0</v>
          </cell>
          <cell r="C5483" t="str">
            <v>EA</v>
          </cell>
          <cell r="D5483" t="str">
            <v>MA100</v>
          </cell>
          <cell r="E5483">
            <v>2.0337499999999999</v>
          </cell>
          <cell r="G5483">
            <v>126126</v>
          </cell>
        </row>
        <row r="5484">
          <cell r="A5484">
            <v>126127</v>
          </cell>
          <cell r="B5484" t="str">
            <v>VENT CORE BRASS,3/16",6.0 X 6.0</v>
          </cell>
          <cell r="C5484" t="str">
            <v>EA</v>
          </cell>
          <cell r="D5484" t="str">
            <v>MA100</v>
          </cell>
          <cell r="E5484">
            <v>15</v>
          </cell>
          <cell r="G5484">
            <v>126127</v>
          </cell>
        </row>
        <row r="5485">
          <cell r="A5485">
            <v>126136</v>
          </cell>
          <cell r="B5485" t="str">
            <v>VENT CORE BRASS,3/16",7.0 X 7.0</v>
          </cell>
          <cell r="C5485" t="str">
            <v>EA</v>
          </cell>
          <cell r="D5485" t="str">
            <v>MA100</v>
          </cell>
          <cell r="E5485">
            <v>20</v>
          </cell>
          <cell r="G5485">
            <v>126136</v>
          </cell>
        </row>
        <row r="5486">
          <cell r="A5486">
            <v>126137</v>
          </cell>
          <cell r="B5486" t="str">
            <v>VENT CORE BRASS,3/16",8.0 X 8.0</v>
          </cell>
          <cell r="C5486" t="str">
            <v>EA</v>
          </cell>
          <cell r="D5486" t="str">
            <v>MA100</v>
          </cell>
          <cell r="E5486">
            <v>33.095999999999997</v>
          </cell>
          <cell r="G5486">
            <v>126137</v>
          </cell>
        </row>
        <row r="5487">
          <cell r="A5487">
            <v>126138</v>
          </cell>
          <cell r="B5487" t="str">
            <v>VENT CORE BRASS,3/16",10.0 X 10.0</v>
          </cell>
          <cell r="C5487" t="str">
            <v>EA</v>
          </cell>
          <cell r="D5487" t="str">
            <v>MA100</v>
          </cell>
          <cell r="E5487">
            <v>58.095999999999997</v>
          </cell>
          <cell r="G5487">
            <v>126138</v>
          </cell>
        </row>
        <row r="5488">
          <cell r="A5488">
            <v>126139</v>
          </cell>
          <cell r="B5488" t="str">
            <v>VENT CORE BRASS,3/16",12.0 X 12.0</v>
          </cell>
          <cell r="C5488" t="str">
            <v>EA</v>
          </cell>
          <cell r="D5488" t="str">
            <v>MA100</v>
          </cell>
          <cell r="E5488">
            <v>100.6</v>
          </cell>
          <cell r="G5488">
            <v>126139</v>
          </cell>
        </row>
        <row r="5489">
          <cell r="A5489">
            <v>126140</v>
          </cell>
          <cell r="B5489" t="str">
            <v>VENT CORE BRASS,3/16",14.0 X 14.0</v>
          </cell>
          <cell r="C5489" t="str">
            <v>EA</v>
          </cell>
          <cell r="D5489" t="str">
            <v>MA100</v>
          </cell>
          <cell r="E5489">
            <v>156.02000000000001</v>
          </cell>
          <cell r="G5489">
            <v>126140</v>
          </cell>
        </row>
        <row r="5490">
          <cell r="A5490">
            <v>126141</v>
          </cell>
          <cell r="B5490" t="str">
            <v>VENT CORE BRASS,3/16",16.0 X 16.0</v>
          </cell>
          <cell r="C5490" t="str">
            <v>EA</v>
          </cell>
          <cell r="D5490" t="str">
            <v>MA100</v>
          </cell>
          <cell r="E5490">
            <v>90</v>
          </cell>
          <cell r="G5490">
            <v>126141</v>
          </cell>
        </row>
        <row r="5491">
          <cell r="A5491">
            <v>126142</v>
          </cell>
          <cell r="B5491" t="str">
            <v>VENT CORE BRASS,3/16",18.0 X 18.0</v>
          </cell>
          <cell r="C5491" t="str">
            <v>EA</v>
          </cell>
          <cell r="D5491" t="str">
            <v>MA100</v>
          </cell>
          <cell r="E5491">
            <v>165.6</v>
          </cell>
          <cell r="G5491">
            <v>126142</v>
          </cell>
        </row>
        <row r="5492">
          <cell r="A5492">
            <v>126143</v>
          </cell>
          <cell r="B5492" t="str">
            <v>VENT CORE BRASS,3/16",20.0 X 20.0</v>
          </cell>
          <cell r="C5492" t="str">
            <v>EA</v>
          </cell>
          <cell r="D5492" t="str">
            <v>MA100</v>
          </cell>
          <cell r="E5492">
            <v>148.096</v>
          </cell>
          <cell r="G5492">
            <v>126143</v>
          </cell>
        </row>
        <row r="5493">
          <cell r="A5493">
            <v>126144</v>
          </cell>
          <cell r="B5493" t="str">
            <v>VENT CORE BRASS,3/16",24.0 X 24.0</v>
          </cell>
          <cell r="C5493" t="str">
            <v>EA</v>
          </cell>
          <cell r="D5493" t="str">
            <v>MA100</v>
          </cell>
          <cell r="E5493">
            <v>208.096</v>
          </cell>
          <cell r="G5493">
            <v>126144</v>
          </cell>
        </row>
        <row r="5494">
          <cell r="A5494">
            <v>126145</v>
          </cell>
          <cell r="B5494" t="str">
            <v>VENT CORE BRASS,3/16",12.0 X 24.0</v>
          </cell>
          <cell r="C5494" t="str">
            <v>EA</v>
          </cell>
          <cell r="D5494" t="str">
            <v>MA100</v>
          </cell>
          <cell r="E5494">
            <v>50</v>
          </cell>
          <cell r="G5494">
            <v>126145</v>
          </cell>
        </row>
        <row r="5495">
          <cell r="A5495">
            <v>126148</v>
          </cell>
          <cell r="B5495" t="str">
            <v>J FRAME,48-3/4",12 GA STEEL</v>
          </cell>
          <cell r="C5495" t="str">
            <v>EA</v>
          </cell>
          <cell r="D5495" t="str">
            <v>MA100</v>
          </cell>
          <cell r="E5495">
            <v>60.934800000000003</v>
          </cell>
          <cell r="G5495">
            <v>126148</v>
          </cell>
        </row>
        <row r="5496">
          <cell r="A5496">
            <v>126149</v>
          </cell>
          <cell r="B5496" t="str">
            <v>J FRAME,36",12 GA STEEL</v>
          </cell>
          <cell r="C5496" t="str">
            <v>EA</v>
          </cell>
          <cell r="D5496" t="str">
            <v>MA100</v>
          </cell>
          <cell r="E5496">
            <v>60.072099999999999</v>
          </cell>
          <cell r="G5496">
            <v>126149</v>
          </cell>
        </row>
        <row r="5497">
          <cell r="A5497">
            <v>126150</v>
          </cell>
          <cell r="B5497" t="str">
            <v>ASSEMBLY,J FRAME,48-3/4"x36",12 GA STEEL</v>
          </cell>
          <cell r="C5497" t="str">
            <v>EA</v>
          </cell>
          <cell r="D5497" t="str">
            <v>MA100</v>
          </cell>
          <cell r="E5497">
            <v>242.91980000000001</v>
          </cell>
          <cell r="G5497">
            <v>126150</v>
          </cell>
        </row>
        <row r="5498">
          <cell r="A5498">
            <v>1261821</v>
          </cell>
          <cell r="B5498" t="str">
            <v>MIL-T-10727C ELECTRICAL TIN PLATE</v>
          </cell>
          <cell r="C5498" t="str">
            <v>EA</v>
          </cell>
          <cell r="D5498" t="str">
            <v>RM100</v>
          </cell>
          <cell r="E5498">
            <v>0</v>
          </cell>
          <cell r="G5498">
            <v>1261821</v>
          </cell>
        </row>
        <row r="5499">
          <cell r="A5499">
            <v>126185</v>
          </cell>
          <cell r="B5499" t="str">
            <v>VENT,WG,W/FLG (BRS) 10.0X12.0</v>
          </cell>
          <cell r="C5499" t="str">
            <v>EA</v>
          </cell>
          <cell r="D5499" t="str">
            <v>MA100</v>
          </cell>
          <cell r="E5499">
            <v>205.94651999999999</v>
          </cell>
          <cell r="G5499">
            <v>126185</v>
          </cell>
        </row>
        <row r="5500">
          <cell r="A5500">
            <v>126186</v>
          </cell>
          <cell r="B5500" t="str">
            <v>VENT,WG,W/FLG (BRS) 10.0X14.0</v>
          </cell>
          <cell r="C5500" t="str">
            <v>EA</v>
          </cell>
          <cell r="D5500" t="str">
            <v>MA100</v>
          </cell>
          <cell r="E5500">
            <v>122.84251999999999</v>
          </cell>
          <cell r="G5500">
            <v>126186</v>
          </cell>
        </row>
        <row r="5501">
          <cell r="A5501">
            <v>126187</v>
          </cell>
          <cell r="B5501" t="str">
            <v>VENT,WG,W/FLG (BRS) 12.0X16.0</v>
          </cell>
          <cell r="C5501" t="str">
            <v>EA</v>
          </cell>
          <cell r="D5501" t="str">
            <v>MA100</v>
          </cell>
          <cell r="E5501">
            <v>430.50826000000001</v>
          </cell>
          <cell r="G5501">
            <v>126187</v>
          </cell>
        </row>
        <row r="5502">
          <cell r="A5502">
            <v>126188</v>
          </cell>
          <cell r="B5502" t="str">
            <v>VENT,WG,W/FLG (BRS) 14.0X16.0</v>
          </cell>
          <cell r="C5502" t="str">
            <v>EA</v>
          </cell>
          <cell r="D5502" t="str">
            <v>MA100</v>
          </cell>
          <cell r="E5502">
            <v>414.90206000000001</v>
          </cell>
          <cell r="G5502">
            <v>126188</v>
          </cell>
        </row>
        <row r="5503">
          <cell r="A5503">
            <v>126189</v>
          </cell>
          <cell r="B5503" t="str">
            <v>VENT,WG,W/FLG (BRS) 16.0X20.0</v>
          </cell>
          <cell r="C5503" t="str">
            <v>EA</v>
          </cell>
          <cell r="D5503" t="str">
            <v>MA100</v>
          </cell>
          <cell r="E5503">
            <v>610.12</v>
          </cell>
          <cell r="G5503">
            <v>126189</v>
          </cell>
        </row>
        <row r="5504">
          <cell r="A5504">
            <v>126190</v>
          </cell>
          <cell r="B5504" t="str">
            <v>VENT,WG,W/FLG (BRS) 20.0X20.0</v>
          </cell>
          <cell r="C5504" t="str">
            <v>EA</v>
          </cell>
          <cell r="D5504" t="str">
            <v>MA100</v>
          </cell>
          <cell r="E5504">
            <v>365.02</v>
          </cell>
          <cell r="G5504">
            <v>126190</v>
          </cell>
        </row>
        <row r="5505">
          <cell r="A5505">
            <v>126191</v>
          </cell>
          <cell r="B5505" t="str">
            <v>VENT CORE BRASS,3/16",10.0 X 12.0</v>
          </cell>
          <cell r="C5505" t="str">
            <v>EA</v>
          </cell>
          <cell r="D5505" t="str">
            <v>MA100</v>
          </cell>
          <cell r="E5505">
            <v>45</v>
          </cell>
          <cell r="G5505">
            <v>126191</v>
          </cell>
        </row>
        <row r="5506">
          <cell r="A5506">
            <v>126192</v>
          </cell>
          <cell r="B5506" t="str">
            <v>VENT CORE BRASS,3/16",10.0 X 14.0</v>
          </cell>
          <cell r="C5506" t="str">
            <v>EA</v>
          </cell>
          <cell r="D5506" t="str">
            <v>MA100</v>
          </cell>
          <cell r="E5506">
            <v>63.095999999999997</v>
          </cell>
          <cell r="G5506">
            <v>126192</v>
          </cell>
        </row>
        <row r="5507">
          <cell r="A5507">
            <v>126193</v>
          </cell>
          <cell r="B5507" t="str">
            <v>VENT CORE BRASS,3/16",12.0 X 16.0</v>
          </cell>
          <cell r="C5507" t="str">
            <v>EA</v>
          </cell>
          <cell r="D5507" t="str">
            <v>MA100</v>
          </cell>
          <cell r="E5507">
            <v>90.24</v>
          </cell>
          <cell r="G5507">
            <v>126193</v>
          </cell>
        </row>
        <row r="5508">
          <cell r="A5508">
            <v>126194</v>
          </cell>
          <cell r="B5508" t="str">
            <v>VENT CORE BRASS,3/16",14.0 X 16.0</v>
          </cell>
          <cell r="C5508" t="str">
            <v>EA</v>
          </cell>
          <cell r="D5508" t="str">
            <v>MA100</v>
          </cell>
          <cell r="E5508">
            <v>88.096000000000004</v>
          </cell>
          <cell r="G5508">
            <v>126194</v>
          </cell>
        </row>
        <row r="5509">
          <cell r="A5509">
            <v>126195</v>
          </cell>
          <cell r="B5509" t="str">
            <v>VENT CORE BRASS,3/16",16.0 X 20.0</v>
          </cell>
          <cell r="C5509" t="str">
            <v>EA</v>
          </cell>
          <cell r="D5509" t="str">
            <v>MA100</v>
          </cell>
          <cell r="E5509">
            <v>110</v>
          </cell>
          <cell r="G5509">
            <v>126195</v>
          </cell>
        </row>
        <row r="5510">
          <cell r="A5510">
            <v>126196</v>
          </cell>
          <cell r="B5510" t="str">
            <v>VENT CORE BRASS,3/16",12.0 X 14.0</v>
          </cell>
          <cell r="C5510" t="str">
            <v>EA</v>
          </cell>
          <cell r="D5510" t="str">
            <v>MA100</v>
          </cell>
          <cell r="E5510">
            <v>50</v>
          </cell>
          <cell r="G5510">
            <v>126196</v>
          </cell>
        </row>
        <row r="5511">
          <cell r="A5511">
            <v>126197</v>
          </cell>
          <cell r="B5511" t="str">
            <v>VENT,WG,W/FLG (BRS) 12.0X14.0</v>
          </cell>
          <cell r="C5511" t="str">
            <v>EA</v>
          </cell>
          <cell r="D5511" t="str">
            <v>MA100</v>
          </cell>
          <cell r="E5511">
            <v>265.05052000000001</v>
          </cell>
          <cell r="G5511">
            <v>126197</v>
          </cell>
        </row>
        <row r="5512">
          <cell r="A5512">
            <v>126201</v>
          </cell>
          <cell r="B5512" t="str">
            <v>FLANGE,VENT,1.0X1.0,BRASS,4.0</v>
          </cell>
          <cell r="C5512" t="str">
            <v>EA</v>
          </cell>
          <cell r="D5512" t="str">
            <v>MA100</v>
          </cell>
          <cell r="E5512">
            <v>1.01688</v>
          </cell>
          <cell r="G5512">
            <v>126201</v>
          </cell>
        </row>
        <row r="5513">
          <cell r="A5513">
            <v>126202</v>
          </cell>
          <cell r="B5513" t="str">
            <v>FLANGE,VENT,1.0X1.0,BRASS,6.0</v>
          </cell>
          <cell r="C5513" t="str">
            <v>EA</v>
          </cell>
          <cell r="D5513" t="str">
            <v>MA100</v>
          </cell>
          <cell r="E5513">
            <v>1.01688</v>
          </cell>
          <cell r="G5513">
            <v>126202</v>
          </cell>
        </row>
        <row r="5514">
          <cell r="A5514">
            <v>126203</v>
          </cell>
          <cell r="B5514" t="str">
            <v>FLANGE,VENT,1.0X1.0,BRASS,12.0</v>
          </cell>
          <cell r="C5514" t="str">
            <v>EA</v>
          </cell>
          <cell r="D5514" t="str">
            <v>MA100</v>
          </cell>
          <cell r="E5514">
            <v>1.01688</v>
          </cell>
          <cell r="G5514">
            <v>126203</v>
          </cell>
        </row>
        <row r="5515">
          <cell r="A5515">
            <v>126255</v>
          </cell>
          <cell r="B5515" t="str">
            <v>TUNNEL,18"18"X4.5"</v>
          </cell>
          <cell r="C5515" t="str">
            <v>EA</v>
          </cell>
          <cell r="D5515" t="str">
            <v>MA100</v>
          </cell>
          <cell r="E5515">
            <v>1136.45</v>
          </cell>
          <cell r="G5515">
            <v>126255</v>
          </cell>
        </row>
        <row r="5516">
          <cell r="A5516">
            <v>126262</v>
          </cell>
          <cell r="B5516" t="str">
            <v>SPACER, MAG LOCK, 1" W/ CLEARANCE HOLES</v>
          </cell>
          <cell r="C5516" t="str">
            <v>EA</v>
          </cell>
          <cell r="D5516" t="str">
            <v>MA100</v>
          </cell>
          <cell r="E5516">
            <v>113.19</v>
          </cell>
          <cell r="G5516">
            <v>126262</v>
          </cell>
        </row>
        <row r="5517">
          <cell r="A5517">
            <v>126263</v>
          </cell>
          <cell r="B5517" t="str">
            <v>CP-6x18-G-4N,4S,4 3.5MM</v>
          </cell>
          <cell r="C5517" t="str">
            <v>EA</v>
          </cell>
          <cell r="D5517" t="str">
            <v>MA100</v>
          </cell>
          <cell r="E5517">
            <v>40.404800000000002</v>
          </cell>
          <cell r="G5517">
            <v>126263</v>
          </cell>
        </row>
        <row r="5518">
          <cell r="A5518">
            <v>126264</v>
          </cell>
          <cell r="B5518" t="str">
            <v>CPA-6x18-G-4N,4S,4 3.5MM</v>
          </cell>
          <cell r="C5518" t="str">
            <v>EA</v>
          </cell>
          <cell r="D5518" t="str">
            <v>MA100</v>
          </cell>
          <cell r="E5518">
            <v>982.94579999999996</v>
          </cell>
          <cell r="G5518">
            <v>126264</v>
          </cell>
        </row>
        <row r="5519">
          <cell r="A5519">
            <v>126265</v>
          </cell>
          <cell r="B5519" t="str">
            <v>FLANGE,VENT,.75X1.0,BRASS,22.0</v>
          </cell>
          <cell r="C5519" t="str">
            <v>EA</v>
          </cell>
          <cell r="D5519" t="str">
            <v>MA100</v>
          </cell>
          <cell r="E5519">
            <v>41.040750000000003</v>
          </cell>
          <cell r="G5519">
            <v>126265</v>
          </cell>
        </row>
        <row r="5520">
          <cell r="A5520">
            <v>126266</v>
          </cell>
          <cell r="B5520" t="str">
            <v>FLANGE,VENT,.75X1.0,BRASS,30.0</v>
          </cell>
          <cell r="C5520" t="str">
            <v>EA</v>
          </cell>
          <cell r="D5520" t="str">
            <v>MA100</v>
          </cell>
          <cell r="E5520">
            <v>5.07463</v>
          </cell>
          <cell r="G5520">
            <v>126266</v>
          </cell>
        </row>
        <row r="5521">
          <cell r="A5521">
            <v>126267</v>
          </cell>
          <cell r="B5521" t="str">
            <v>VENT CORE BRASS,3/16",8.0 X 22.0</v>
          </cell>
          <cell r="C5521" t="str">
            <v>EA</v>
          </cell>
          <cell r="D5521" t="str">
            <v>MA100</v>
          </cell>
          <cell r="E5521">
            <v>120.72</v>
          </cell>
          <cell r="G5521">
            <v>126267</v>
          </cell>
        </row>
        <row r="5522">
          <cell r="A5522">
            <v>126268</v>
          </cell>
          <cell r="B5522" t="str">
            <v>VENT CORE BRASS,3/16",10.0 X 30.0</v>
          </cell>
          <cell r="C5522" t="str">
            <v>EA</v>
          </cell>
          <cell r="D5522" t="str">
            <v>MA100</v>
          </cell>
          <cell r="E5522">
            <v>216.32</v>
          </cell>
          <cell r="G5522">
            <v>126268</v>
          </cell>
        </row>
        <row r="5523">
          <cell r="A5523">
            <v>126269</v>
          </cell>
          <cell r="B5523" t="str">
            <v>VENT,WG,W/FLG (BRS) 8.0X22.0</v>
          </cell>
          <cell r="C5523" t="str">
            <v>EA</v>
          </cell>
          <cell r="D5523" t="str">
            <v>MA100</v>
          </cell>
          <cell r="E5523">
            <v>471.11756000000003</v>
          </cell>
          <cell r="G5523">
            <v>126269</v>
          </cell>
        </row>
        <row r="5524">
          <cell r="A5524">
            <v>126270</v>
          </cell>
          <cell r="B5524" t="str">
            <v>VENT,WG,W/FLG (BRS) 10.0X30.0</v>
          </cell>
          <cell r="C5524" t="str">
            <v>EA</v>
          </cell>
          <cell r="D5524" t="str">
            <v>MA100</v>
          </cell>
          <cell r="E5524">
            <v>824.72303999999997</v>
          </cell>
          <cell r="G5524">
            <v>126270</v>
          </cell>
        </row>
        <row r="5525">
          <cell r="A5525">
            <v>126276</v>
          </cell>
          <cell r="B5525" t="str">
            <v>DKE 4X7, DOOR SLAB LH</v>
          </cell>
          <cell r="C5525" t="str">
            <v>EA</v>
          </cell>
          <cell r="D5525" t="str">
            <v>MA100</v>
          </cell>
          <cell r="E5525">
            <v>6655.8395799999998</v>
          </cell>
          <cell r="G5525">
            <v>126276</v>
          </cell>
        </row>
        <row r="5526">
          <cell r="A5526">
            <v>126279</v>
          </cell>
          <cell r="B5526" t="str">
            <v>DKE HANDLE BRACKET FOR MAGLOCK</v>
          </cell>
          <cell r="C5526" t="str">
            <v>EA</v>
          </cell>
          <cell r="D5526" t="str">
            <v>MA100</v>
          </cell>
          <cell r="E5526">
            <v>60</v>
          </cell>
          <cell r="G5526">
            <v>126279</v>
          </cell>
        </row>
        <row r="5527">
          <cell r="A5527">
            <v>126280</v>
          </cell>
          <cell r="B5527" t="str">
            <v>DKE LATCH SYSTEM COVER, PT 1</v>
          </cell>
          <cell r="C5527" t="str">
            <v>EA</v>
          </cell>
          <cell r="D5527" t="str">
            <v>MA100</v>
          </cell>
          <cell r="E5527">
            <v>283.791</v>
          </cell>
          <cell r="G5527">
            <v>126280</v>
          </cell>
        </row>
        <row r="5528">
          <cell r="A5528">
            <v>126281</v>
          </cell>
          <cell r="B5528" t="str">
            <v>DKE LATCH SYSTEM COVER, PT 2</v>
          </cell>
          <cell r="C5528" t="str">
            <v>EA</v>
          </cell>
          <cell r="D5528" t="str">
            <v>MA100</v>
          </cell>
          <cell r="E5528">
            <v>211.50399999999999</v>
          </cell>
          <cell r="G5528">
            <v>126281</v>
          </cell>
        </row>
        <row r="5529">
          <cell r="A5529">
            <v>126284</v>
          </cell>
          <cell r="B5529" t="str">
            <v>DR,DKE,MAN,4X7,LH</v>
          </cell>
          <cell r="C5529" t="str">
            <v>EA</v>
          </cell>
          <cell r="D5529" t="str">
            <v>MA100</v>
          </cell>
          <cell r="E5529">
            <v>18250.218000000001</v>
          </cell>
          <cell r="G5529">
            <v>126284</v>
          </cell>
        </row>
        <row r="5530">
          <cell r="A5530">
            <v>126287</v>
          </cell>
          <cell r="B5530" t="str">
            <v>EMBED, DKE DOOR LATCH</v>
          </cell>
          <cell r="C5530" t="str">
            <v>EA</v>
          </cell>
          <cell r="D5530" t="str">
            <v>MA100</v>
          </cell>
          <cell r="E5530">
            <v>143.49260000000001</v>
          </cell>
          <cell r="G5530">
            <v>126287</v>
          </cell>
        </row>
        <row r="5531">
          <cell r="A5531">
            <v>126288</v>
          </cell>
          <cell r="B5531" t="str">
            <v>CP-24X24-G-48N</v>
          </cell>
          <cell r="C5531" t="str">
            <v>EA</v>
          </cell>
          <cell r="D5531" t="str">
            <v>MA100</v>
          </cell>
          <cell r="E5531">
            <v>50.757199999999997</v>
          </cell>
          <cell r="G5531">
            <v>126288</v>
          </cell>
        </row>
        <row r="5532">
          <cell r="A5532">
            <v>126289</v>
          </cell>
          <cell r="B5532" t="str">
            <v>CPA-24X24-G-48N</v>
          </cell>
          <cell r="C5532" t="str">
            <v>EA</v>
          </cell>
          <cell r="D5532" t="str">
            <v>MA100</v>
          </cell>
          <cell r="E5532">
            <v>802.06200000000001</v>
          </cell>
          <cell r="G5532">
            <v>126289</v>
          </cell>
        </row>
        <row r="5533">
          <cell r="A5533">
            <v>126290</v>
          </cell>
          <cell r="B5533" t="str">
            <v>CPA-24X24-G-48N,W/CONNECTORS</v>
          </cell>
          <cell r="C5533" t="str">
            <v>EA</v>
          </cell>
          <cell r="D5533" t="str">
            <v>MA100</v>
          </cell>
          <cell r="E5533">
            <v>1498.9994999999999</v>
          </cell>
          <cell r="G5533">
            <v>126290</v>
          </cell>
        </row>
        <row r="5534">
          <cell r="A5534">
            <v>126300</v>
          </cell>
          <cell r="B5534" t="str">
            <v>DEC DOOR LEAF ASSY, 18X36, CU</v>
          </cell>
          <cell r="C5534" t="str">
            <v>EA</v>
          </cell>
          <cell r="D5534" t="str">
            <v>MA100</v>
          </cell>
          <cell r="E5534">
            <v>2765.6594599999999</v>
          </cell>
          <cell r="G5534">
            <v>126300</v>
          </cell>
        </row>
        <row r="5535">
          <cell r="A5535">
            <v>126302</v>
          </cell>
          <cell r="B5535" t="str">
            <v>CPA-12X12-G-4N,4S</v>
          </cell>
          <cell r="C5535" t="str">
            <v>EA</v>
          </cell>
          <cell r="D5535" t="str">
            <v>MA100</v>
          </cell>
          <cell r="E5535">
            <v>1480.5476200000001</v>
          </cell>
          <cell r="G5535">
            <v>126302</v>
          </cell>
        </row>
        <row r="5536">
          <cell r="A5536">
            <v>126329</v>
          </cell>
          <cell r="B5536" t="str">
            <v>LATCH BAR, DR MECK DKE FOR 84" DOOR</v>
          </cell>
          <cell r="C5536" t="str">
            <v>EA</v>
          </cell>
          <cell r="D5536" t="str">
            <v>MA100</v>
          </cell>
          <cell r="E5536">
            <v>459.87277</v>
          </cell>
          <cell r="G5536">
            <v>126329</v>
          </cell>
        </row>
        <row r="5537">
          <cell r="A5537">
            <v>126341</v>
          </cell>
          <cell r="B5537" t="str">
            <v>WELDMENT,HAT &amp; FLAT FRAME,6"X18",OPEN</v>
          </cell>
          <cell r="C5537" t="str">
            <v>EA</v>
          </cell>
          <cell r="D5537" t="str">
            <v>MA100</v>
          </cell>
          <cell r="E5537">
            <v>240.65899999999999</v>
          </cell>
          <cell r="G5537">
            <v>126341</v>
          </cell>
        </row>
        <row r="5538">
          <cell r="A5538">
            <v>126354</v>
          </cell>
          <cell r="B5538" t="str">
            <v>J FRAM,12",MALE,TUNNEL 8.5</v>
          </cell>
          <cell r="C5538" t="str">
            <v>EA</v>
          </cell>
          <cell r="D5538" t="str">
            <v>MA100</v>
          </cell>
          <cell r="E5538">
            <v>0.86270000000000002</v>
          </cell>
          <cell r="G5538">
            <v>126354</v>
          </cell>
        </row>
        <row r="5539">
          <cell r="A5539">
            <v>126355</v>
          </cell>
          <cell r="B5539" t="str">
            <v>J FRAM,12",FEMALE,TUNNEL 8.5</v>
          </cell>
          <cell r="C5539" t="str">
            <v>EA</v>
          </cell>
          <cell r="D5539" t="str">
            <v>MA100</v>
          </cell>
          <cell r="E5539">
            <v>0.86270000000000002</v>
          </cell>
          <cell r="G5539">
            <v>126355</v>
          </cell>
        </row>
        <row r="5540">
          <cell r="A5540">
            <v>126364</v>
          </cell>
          <cell r="B5540" t="str">
            <v>WELDMENT,TUNNEL,12"X12"X8.5"</v>
          </cell>
          <cell r="C5540" t="str">
            <v>EA</v>
          </cell>
          <cell r="D5540" t="str">
            <v>MA100</v>
          </cell>
          <cell r="E5540">
            <v>1524.9022600000001</v>
          </cell>
          <cell r="G5540">
            <v>126364</v>
          </cell>
        </row>
        <row r="5541">
          <cell r="A5541">
            <v>126366</v>
          </cell>
          <cell r="B5541" t="str">
            <v>TUNNEL,12"X12"X8.5",PJ2424</v>
          </cell>
          <cell r="C5541" t="str">
            <v>EA</v>
          </cell>
          <cell r="D5541" t="str">
            <v>MA100</v>
          </cell>
          <cell r="E5541">
            <v>2073.0017600000001</v>
          </cell>
          <cell r="G5541">
            <v>126366</v>
          </cell>
        </row>
        <row r="5542">
          <cell r="A5542">
            <v>126383</v>
          </cell>
          <cell r="B5542" t="str">
            <v>CPA-6x18-G-2N,2B</v>
          </cell>
          <cell r="C5542" t="str">
            <v>EA</v>
          </cell>
          <cell r="D5542" t="str">
            <v>MA100</v>
          </cell>
          <cell r="E5542">
            <v>814.06380000000001</v>
          </cell>
          <cell r="G5542">
            <v>126383</v>
          </cell>
        </row>
        <row r="5543">
          <cell r="A5543">
            <v>126384</v>
          </cell>
          <cell r="B5543" t="str">
            <v>CP-6x18-G-2N,2B</v>
          </cell>
          <cell r="C5543" t="str">
            <v>EA</v>
          </cell>
          <cell r="D5543" t="str">
            <v>MA100</v>
          </cell>
          <cell r="E5543">
            <v>65.364800000000002</v>
          </cell>
          <cell r="G5543">
            <v>126384</v>
          </cell>
        </row>
        <row r="5544">
          <cell r="A5544">
            <v>126385</v>
          </cell>
          <cell r="B5544" t="str">
            <v>CPA-12X12-G-4S,2B,D9,D25</v>
          </cell>
          <cell r="C5544" t="str">
            <v>EA</v>
          </cell>
          <cell r="D5544" t="str">
            <v>MA100</v>
          </cell>
          <cell r="E5544">
            <v>1182.7605599999999</v>
          </cell>
          <cell r="G5544">
            <v>126385</v>
          </cell>
        </row>
        <row r="5545">
          <cell r="A5545">
            <v>126386</v>
          </cell>
          <cell r="B5545" t="str">
            <v>CP-12X12-G-4S,2B,D9,D25</v>
          </cell>
          <cell r="C5545" t="str">
            <v>EA</v>
          </cell>
          <cell r="D5545" t="str">
            <v>MA100</v>
          </cell>
          <cell r="E5545">
            <v>24.843499999999999</v>
          </cell>
          <cell r="G5545">
            <v>126386</v>
          </cell>
        </row>
        <row r="5546">
          <cell r="A5546">
            <v>126392</v>
          </cell>
          <cell r="B5546" t="str">
            <v>KIT, CONTACT SWITCH, DOORS</v>
          </cell>
          <cell r="C5546" t="str">
            <v>EA</v>
          </cell>
          <cell r="D5546" t="str">
            <v>MA100</v>
          </cell>
          <cell r="E5546">
            <v>267.25970000000001</v>
          </cell>
          <cell r="G5546">
            <v>126392</v>
          </cell>
        </row>
        <row r="5547">
          <cell r="A5547">
            <v>126403</v>
          </cell>
          <cell r="B5547" t="str">
            <v>CPA-8x8-B-4S,1D9,1D25,3U</v>
          </cell>
          <cell r="C5547" t="str">
            <v>EA</v>
          </cell>
          <cell r="D5547" t="str">
            <v>MA100</v>
          </cell>
          <cell r="E5547">
            <v>1118.0999899999999</v>
          </cell>
          <cell r="G5547">
            <v>126403</v>
          </cell>
        </row>
        <row r="5548">
          <cell r="A5548">
            <v>126433</v>
          </cell>
          <cell r="B5548" t="str">
            <v>SHELF,33.13 X 48.75</v>
          </cell>
          <cell r="C5548" t="str">
            <v>EA</v>
          </cell>
          <cell r="D5548" t="str">
            <v>MA100</v>
          </cell>
          <cell r="E5548">
            <v>114.4975</v>
          </cell>
          <cell r="G5548">
            <v>126433</v>
          </cell>
        </row>
        <row r="5549">
          <cell r="A5549">
            <v>126442</v>
          </cell>
          <cell r="B5549" t="str">
            <v>VENT,WG,W/FLG (BRS) 6.0X30.0</v>
          </cell>
          <cell r="C5549" t="str">
            <v>EA</v>
          </cell>
          <cell r="D5549" t="str">
            <v>MA100</v>
          </cell>
          <cell r="E5549">
            <v>337.92982000000001</v>
          </cell>
          <cell r="G5549">
            <v>126442</v>
          </cell>
        </row>
        <row r="5550">
          <cell r="A5550">
            <v>126443</v>
          </cell>
          <cell r="B5550" t="str">
            <v>VENT CORE BRASS,3/16",6.0 X 30.0</v>
          </cell>
          <cell r="C5550" t="str">
            <v>EA</v>
          </cell>
          <cell r="D5550" t="str">
            <v>MA100</v>
          </cell>
          <cell r="E5550">
            <v>216.32</v>
          </cell>
          <cell r="G5550">
            <v>126443</v>
          </cell>
        </row>
        <row r="5551">
          <cell r="A5551">
            <v>126444</v>
          </cell>
          <cell r="B5551" t="str">
            <v>CPA-24X24-G-50N,4USB2.0,1WGF6,6LAN-1/POE</v>
          </cell>
          <cell r="C5551" t="str">
            <v>EA</v>
          </cell>
          <cell r="D5551" t="str">
            <v>MA100</v>
          </cell>
          <cell r="E5551">
            <v>1078.7655</v>
          </cell>
          <cell r="G5551">
            <v>126444</v>
          </cell>
        </row>
        <row r="5552">
          <cell r="A5552">
            <v>126445</v>
          </cell>
          <cell r="B5552" t="str">
            <v>CP-24X24-G-50N,4USB2.0,1WGF6,6LAN-1/POE</v>
          </cell>
          <cell r="C5552" t="str">
            <v>EA</v>
          </cell>
          <cell r="D5552" t="str">
            <v>MA100</v>
          </cell>
          <cell r="E5552">
            <v>75.717200000000005</v>
          </cell>
          <cell r="G5552">
            <v>126445</v>
          </cell>
        </row>
        <row r="5553">
          <cell r="A5553">
            <v>126473</v>
          </cell>
          <cell r="B5553" t="str">
            <v>VENT,WG,W/FLG (BRS) 8.0X50.0</v>
          </cell>
          <cell r="C5553" t="str">
            <v>EA</v>
          </cell>
          <cell r="D5553" t="str">
            <v>MA100</v>
          </cell>
          <cell r="E5553">
            <v>1012.0693199999999</v>
          </cell>
          <cell r="G5553">
            <v>126473</v>
          </cell>
        </row>
        <row r="5554">
          <cell r="A5554">
            <v>126474</v>
          </cell>
          <cell r="B5554" t="str">
            <v>VENT CORE BRASS,3/16",8.0 X 50.0</v>
          </cell>
          <cell r="C5554" t="str">
            <v>EA</v>
          </cell>
          <cell r="D5554" t="str">
            <v>MA100</v>
          </cell>
          <cell r="E5554">
            <v>0</v>
          </cell>
          <cell r="G5554">
            <v>126474</v>
          </cell>
        </row>
        <row r="5555">
          <cell r="A5555">
            <v>126480</v>
          </cell>
          <cell r="B5555" t="str">
            <v>ANGLE,3"x3"x3/16",33-1/8" LONG,STEEL</v>
          </cell>
          <cell r="C5555" t="str">
            <v>EA</v>
          </cell>
          <cell r="D5555" t="str">
            <v>MA100</v>
          </cell>
          <cell r="E5555">
            <v>14.68286</v>
          </cell>
          <cell r="G5555">
            <v>126480</v>
          </cell>
        </row>
        <row r="5556">
          <cell r="A5556">
            <v>126481</v>
          </cell>
          <cell r="B5556" t="str">
            <v>ANGLE,3"x3"x3/16",49-1/8" LONG,STEEL</v>
          </cell>
          <cell r="C5556" t="str">
            <v>EA</v>
          </cell>
          <cell r="D5556" t="str">
            <v>MA100</v>
          </cell>
          <cell r="E5556">
            <v>17.607859999999999</v>
          </cell>
          <cell r="G5556">
            <v>126481</v>
          </cell>
        </row>
        <row r="5557">
          <cell r="A5557">
            <v>126482</v>
          </cell>
          <cell r="B5557" t="str">
            <v>CART,WELD FRAME,33-1/8"x49-1/8",STEEL</v>
          </cell>
          <cell r="C5557" t="str">
            <v>EA</v>
          </cell>
          <cell r="D5557" t="str">
            <v>MA100</v>
          </cell>
          <cell r="E5557">
            <v>865.18035999999995</v>
          </cell>
          <cell r="G5557">
            <v>126482</v>
          </cell>
        </row>
        <row r="5558">
          <cell r="A5558">
            <v>126483</v>
          </cell>
          <cell r="B5558" t="str">
            <v>CART,ASSEMBLY,33-1/8"x49-1/8",STEEL</v>
          </cell>
          <cell r="C5558" t="str">
            <v>EA</v>
          </cell>
          <cell r="D5558" t="str">
            <v>MA100</v>
          </cell>
          <cell r="E5558">
            <v>1078.69336</v>
          </cell>
          <cell r="G5558">
            <v>126483</v>
          </cell>
        </row>
        <row r="5559">
          <cell r="A5559">
            <v>126484</v>
          </cell>
          <cell r="B5559" t="str">
            <v>VENT COVER,6"x24",UQFP-4D FAN MOUNT</v>
          </cell>
          <cell r="C5559" t="str">
            <v>EA</v>
          </cell>
          <cell r="D5559" t="str">
            <v>MA100</v>
          </cell>
          <cell r="E5559">
            <v>87.877600000000001</v>
          </cell>
          <cell r="G5559">
            <v>126484</v>
          </cell>
        </row>
        <row r="5560">
          <cell r="A5560">
            <v>126510</v>
          </cell>
          <cell r="B5560" t="str">
            <v>ASSY,  S201, DOOR, PNEUMATIC DAMPER</v>
          </cell>
          <cell r="C5560" t="str">
            <v>EA</v>
          </cell>
          <cell r="D5560" t="str">
            <v>MA100</v>
          </cell>
          <cell r="E5560">
            <v>566.49099999999999</v>
          </cell>
          <cell r="G5560">
            <v>126510</v>
          </cell>
        </row>
        <row r="5561">
          <cell r="A5561">
            <v>126512</v>
          </cell>
          <cell r="B5561" t="str">
            <v>BRKT, CYLINDER MTG, S201 DOOR DAMPER</v>
          </cell>
          <cell r="C5561" t="str">
            <v>EA</v>
          </cell>
          <cell r="D5561" t="str">
            <v>MA100</v>
          </cell>
          <cell r="E5561">
            <v>19.060199999999998</v>
          </cell>
          <cell r="G5561">
            <v>126512</v>
          </cell>
        </row>
        <row r="5562">
          <cell r="A5562">
            <v>126518</v>
          </cell>
          <cell r="B5562" t="str">
            <v>DOOR TRIM, STD, T/B, 25.125"X2"</v>
          </cell>
          <cell r="C5562" t="str">
            <v>EA</v>
          </cell>
          <cell r="D5562" t="str">
            <v>MA100</v>
          </cell>
          <cell r="E5562">
            <v>55.295200000000001</v>
          </cell>
          <cell r="G5562">
            <v>126518</v>
          </cell>
        </row>
        <row r="5563">
          <cell r="A5563">
            <v>126519</v>
          </cell>
          <cell r="B5563" t="str">
            <v>DOOR TRIM, STD, L/H, 75.125"X2"</v>
          </cell>
          <cell r="C5563" t="str">
            <v>EA</v>
          </cell>
          <cell r="D5563" t="str">
            <v>MA100</v>
          </cell>
          <cell r="E5563">
            <v>101.54546000000001</v>
          </cell>
          <cell r="G5563">
            <v>126519</v>
          </cell>
        </row>
        <row r="5564">
          <cell r="A5564">
            <v>126528</v>
          </cell>
          <cell r="B5564" t="str">
            <v>WELD ANGLE,PSD</v>
          </cell>
          <cell r="C5564" t="str">
            <v>EA</v>
          </cell>
          <cell r="D5564" t="str">
            <v>MA100</v>
          </cell>
          <cell r="E5564">
            <v>15.368600000000001</v>
          </cell>
          <cell r="G5564">
            <v>126528</v>
          </cell>
        </row>
        <row r="5565">
          <cell r="A5565">
            <v>126551</v>
          </cell>
          <cell r="B5565" t="str">
            <v>ANGLE,2"x2"x16",3/16" STL,MITER,W/HOLES</v>
          </cell>
          <cell r="C5565" t="str">
            <v>EA</v>
          </cell>
          <cell r="D5565" t="str">
            <v>MA100</v>
          </cell>
          <cell r="E5565">
            <v>80.572999999999993</v>
          </cell>
          <cell r="G5565">
            <v>126551</v>
          </cell>
        </row>
        <row r="5566">
          <cell r="A5566">
            <v>126552</v>
          </cell>
          <cell r="B5566" t="str">
            <v>ANGLE,2"x2"x18",3/16" STL,MITER,W/HOLES</v>
          </cell>
          <cell r="C5566" t="str">
            <v>EA</v>
          </cell>
          <cell r="D5566" t="str">
            <v>MA100</v>
          </cell>
          <cell r="E5566">
            <v>198.34200000000001</v>
          </cell>
          <cell r="G5566">
            <v>126552</v>
          </cell>
        </row>
        <row r="5567">
          <cell r="A5567">
            <v>126554</v>
          </cell>
          <cell r="B5567" t="str">
            <v>TEMPLATE FOR MFG FABRICATED PARTS</v>
          </cell>
          <cell r="C5567" t="str">
            <v>EA</v>
          </cell>
          <cell r="D5567" t="str">
            <v>MA100</v>
          </cell>
          <cell r="E5567">
            <v>0</v>
          </cell>
          <cell r="G5567">
            <v>126554</v>
          </cell>
        </row>
        <row r="5568">
          <cell r="A5568">
            <v>126555</v>
          </cell>
          <cell r="B5568" t="str">
            <v>VENT,12"x14"CO,2" STL ANG,W/HOLES</v>
          </cell>
          <cell r="C5568" t="str">
            <v>EA</v>
          </cell>
          <cell r="D5568" t="str">
            <v>MA100</v>
          </cell>
          <cell r="E5568">
            <v>891.85850000000005</v>
          </cell>
          <cell r="G5568">
            <v>126555</v>
          </cell>
        </row>
        <row r="5569">
          <cell r="A5569">
            <v>126556</v>
          </cell>
          <cell r="B5569" t="str">
            <v>FRAME,12"x14"CO,2" STL ANG,W/HOLES</v>
          </cell>
          <cell r="C5569" t="str">
            <v>EA</v>
          </cell>
          <cell r="D5569" t="str">
            <v>MA100</v>
          </cell>
          <cell r="E5569">
            <v>706.07600000000002</v>
          </cell>
          <cell r="G5569">
            <v>126556</v>
          </cell>
        </row>
        <row r="5570">
          <cell r="A5570">
            <v>126557</v>
          </cell>
          <cell r="B5570" t="str">
            <v>S201 3X6 JAMB COVER,FRONT</v>
          </cell>
          <cell r="C5570" t="str">
            <v>EA</v>
          </cell>
          <cell r="D5570" t="str">
            <v>MA100</v>
          </cell>
          <cell r="E5570">
            <v>8.3339999999999996</v>
          </cell>
          <cell r="G5570">
            <v>126557</v>
          </cell>
        </row>
        <row r="5571">
          <cell r="A5571">
            <v>126558</v>
          </cell>
          <cell r="B5571" t="str">
            <v>S201 3X6 JAMB COVER,REAR</v>
          </cell>
          <cell r="C5571" t="str">
            <v>EA</v>
          </cell>
          <cell r="D5571" t="str">
            <v>MA100</v>
          </cell>
          <cell r="E5571">
            <v>8.3339999999999996</v>
          </cell>
          <cell r="G5571">
            <v>126558</v>
          </cell>
        </row>
        <row r="5572">
          <cell r="A5572">
            <v>126559</v>
          </cell>
          <cell r="B5572" t="str">
            <v>S201 3X6 DOOR CORE</v>
          </cell>
          <cell r="C5572" t="str">
            <v>EA</v>
          </cell>
          <cell r="D5572" t="str">
            <v>MA100</v>
          </cell>
          <cell r="E5572">
            <v>54.316000000000003</v>
          </cell>
          <cell r="G5572">
            <v>126559</v>
          </cell>
        </row>
        <row r="5573">
          <cell r="A5573">
            <v>126561</v>
          </cell>
          <cell r="B5573" t="str">
            <v>S201 3X6 JAMB CORE,LH</v>
          </cell>
          <cell r="C5573" t="str">
            <v>EA</v>
          </cell>
          <cell r="D5573" t="str">
            <v>MA100</v>
          </cell>
          <cell r="E5573">
            <v>9.984</v>
          </cell>
          <cell r="G5573">
            <v>126561</v>
          </cell>
        </row>
        <row r="5574">
          <cell r="A5574">
            <v>126562</v>
          </cell>
          <cell r="B5574" t="str">
            <v>S201 3X6 JAMB,LH</v>
          </cell>
          <cell r="C5574" t="str">
            <v>EA</v>
          </cell>
          <cell r="D5574" t="str">
            <v>MA100</v>
          </cell>
          <cell r="E5574">
            <v>765.76394000000005</v>
          </cell>
          <cell r="G5574">
            <v>126562</v>
          </cell>
        </row>
        <row r="5575">
          <cell r="A5575">
            <v>126563</v>
          </cell>
          <cell r="B5575" t="str">
            <v>FEMALE BRASS EXTRU,SIDE,S201,3X6</v>
          </cell>
          <cell r="C5575" t="str">
            <v>EA</v>
          </cell>
          <cell r="D5575" t="str">
            <v>MA100</v>
          </cell>
          <cell r="E5575">
            <v>149.53912</v>
          </cell>
          <cell r="G5575">
            <v>126563</v>
          </cell>
        </row>
        <row r="5576">
          <cell r="A5576">
            <v>126564</v>
          </cell>
          <cell r="B5576" t="str">
            <v>LATCH ROD,S201,6'</v>
          </cell>
          <cell r="C5576" t="str">
            <v>EA</v>
          </cell>
          <cell r="D5576" t="str">
            <v>MA100</v>
          </cell>
          <cell r="E5576">
            <v>21.4</v>
          </cell>
          <cell r="G5576">
            <v>126564</v>
          </cell>
        </row>
        <row r="5577">
          <cell r="A5577">
            <v>126565</v>
          </cell>
          <cell r="B5577" t="str">
            <v>LATCH ROD,S201,6' HDL</v>
          </cell>
          <cell r="C5577" t="str">
            <v>EA</v>
          </cell>
          <cell r="D5577" t="str">
            <v>MA100</v>
          </cell>
          <cell r="E5577">
            <v>121.15513</v>
          </cell>
          <cell r="G5577">
            <v>126565</v>
          </cell>
        </row>
        <row r="5578">
          <cell r="A5578">
            <v>126566</v>
          </cell>
          <cell r="B5578" t="str">
            <v>LATCH ROD,S201,6' WELD</v>
          </cell>
          <cell r="C5578" t="str">
            <v>EA</v>
          </cell>
          <cell r="D5578" t="str">
            <v>MA100</v>
          </cell>
          <cell r="E5578">
            <v>195.50013000000001</v>
          </cell>
          <cell r="G5578">
            <v>126566</v>
          </cell>
        </row>
        <row r="5579">
          <cell r="A5579">
            <v>126567</v>
          </cell>
          <cell r="B5579" t="str">
            <v>S201 3X6 DOOR COVER,FRONT</v>
          </cell>
          <cell r="C5579" t="str">
            <v>EA</v>
          </cell>
          <cell r="D5579" t="str">
            <v>MA100</v>
          </cell>
          <cell r="E5579">
            <v>16.667999999999999</v>
          </cell>
          <cell r="G5579">
            <v>126567</v>
          </cell>
        </row>
        <row r="5580">
          <cell r="A5580">
            <v>126568</v>
          </cell>
          <cell r="B5580" t="str">
            <v>S201 3X6 DOOR COVER,REAR</v>
          </cell>
          <cell r="C5580" t="str">
            <v>EA</v>
          </cell>
          <cell r="D5580" t="str">
            <v>MA100</v>
          </cell>
          <cell r="E5580">
            <v>16.667999999999999</v>
          </cell>
          <cell r="G5580">
            <v>126568</v>
          </cell>
        </row>
        <row r="5581">
          <cell r="A5581">
            <v>126569</v>
          </cell>
          <cell r="B5581" t="str">
            <v>S201 3X6 DOOR</v>
          </cell>
          <cell r="C5581" t="str">
            <v>EA</v>
          </cell>
          <cell r="D5581" t="str">
            <v>MA100</v>
          </cell>
          <cell r="E5581">
            <v>5307.2949600000002</v>
          </cell>
          <cell r="G5581">
            <v>126569</v>
          </cell>
        </row>
        <row r="5582">
          <cell r="A5582">
            <v>126571</v>
          </cell>
          <cell r="B5582" t="str">
            <v>S201 3X6 JAMB CORE,RH</v>
          </cell>
          <cell r="C5582" t="str">
            <v>EA</v>
          </cell>
          <cell r="D5582" t="str">
            <v>MA100</v>
          </cell>
          <cell r="E5582">
            <v>9.984</v>
          </cell>
          <cell r="G5582">
            <v>126571</v>
          </cell>
        </row>
        <row r="5583">
          <cell r="A5583">
            <v>126572</v>
          </cell>
          <cell r="B5583" t="str">
            <v>S201 3X6 JAMB,RH</v>
          </cell>
          <cell r="C5583" t="str">
            <v>EA</v>
          </cell>
          <cell r="D5583" t="str">
            <v>MA100</v>
          </cell>
          <cell r="E5583">
            <v>765.76394000000005</v>
          </cell>
          <cell r="G5583">
            <v>126572</v>
          </cell>
        </row>
        <row r="5584">
          <cell r="A5584">
            <v>126573</v>
          </cell>
          <cell r="B5584" t="str">
            <v>MALE BRASS EXTRU,SIDE,S201,3X6</v>
          </cell>
          <cell r="C5584" t="str">
            <v>EA</v>
          </cell>
          <cell r="D5584" t="str">
            <v>MA100</v>
          </cell>
          <cell r="E5584">
            <v>95.573089999999993</v>
          </cell>
          <cell r="G5584">
            <v>126573</v>
          </cell>
        </row>
        <row r="5585">
          <cell r="A5585">
            <v>126576</v>
          </cell>
          <cell r="B5585" t="str">
            <v>S201 3X6 DOOR SLAB</v>
          </cell>
          <cell r="C5585" t="str">
            <v>EA</v>
          </cell>
          <cell r="D5585" t="str">
            <v>MA100</v>
          </cell>
          <cell r="E5585">
            <v>0</v>
          </cell>
          <cell r="G5585">
            <v>126576</v>
          </cell>
        </row>
        <row r="5586">
          <cell r="A5586">
            <v>126577</v>
          </cell>
          <cell r="B5586" t="str">
            <v>VENT CORE STL,1/8",330MM x 330MM</v>
          </cell>
          <cell r="C5586" t="str">
            <v>EA</v>
          </cell>
          <cell r="D5586" t="str">
            <v>MA100</v>
          </cell>
          <cell r="E5586">
            <v>213.6799</v>
          </cell>
          <cell r="G5586">
            <v>126577</v>
          </cell>
        </row>
        <row r="5587">
          <cell r="A5587">
            <v>126578</v>
          </cell>
          <cell r="B5587" t="str">
            <v>VENT CORE STL,1/8",530MM x 530MM</v>
          </cell>
          <cell r="C5587" t="str">
            <v>EA</v>
          </cell>
          <cell r="D5587" t="str">
            <v>MA100</v>
          </cell>
          <cell r="E5587">
            <v>473.75790000000001</v>
          </cell>
          <cell r="G5587">
            <v>126578</v>
          </cell>
        </row>
        <row r="5588">
          <cell r="A5588">
            <v>126579</v>
          </cell>
          <cell r="B5588" t="str">
            <v>DOOR SHIM,SIDE,S201,3X6</v>
          </cell>
          <cell r="C5588" t="str">
            <v>EA</v>
          </cell>
          <cell r="D5588" t="str">
            <v>MA100</v>
          </cell>
          <cell r="E5588">
            <v>15.102399999999999</v>
          </cell>
          <cell r="G5588">
            <v>126579</v>
          </cell>
        </row>
        <row r="5589">
          <cell r="A5589">
            <v>126611</v>
          </cell>
          <cell r="B5589" t="str">
            <v>DEC DOOR,24"x78" C.O. ASSY</v>
          </cell>
          <cell r="C5589" t="str">
            <v>EA</v>
          </cell>
          <cell r="D5589" t="str">
            <v>MA100</v>
          </cell>
          <cell r="E5589">
            <v>6188.1902</v>
          </cell>
          <cell r="G5589">
            <v>126611</v>
          </cell>
        </row>
        <row r="5590">
          <cell r="A5590">
            <v>126640</v>
          </cell>
          <cell r="B5590" t="str">
            <v>PANEL,S81,4'x8'</v>
          </cell>
          <cell r="C5590" t="str">
            <v>EA</v>
          </cell>
          <cell r="D5590" t="str">
            <v>MA100</v>
          </cell>
          <cell r="E5590">
            <v>90.393500000000003</v>
          </cell>
          <cell r="G5590">
            <v>126640</v>
          </cell>
        </row>
        <row r="5591">
          <cell r="A5591">
            <v>126641</v>
          </cell>
          <cell r="B5591" t="str">
            <v>PANEL,S81,4'x8',CUT</v>
          </cell>
          <cell r="C5591" t="str">
            <v>EA</v>
          </cell>
          <cell r="D5591" t="str">
            <v>MA100</v>
          </cell>
          <cell r="E5591">
            <v>113.9395</v>
          </cell>
          <cell r="G5591">
            <v>126641</v>
          </cell>
        </row>
        <row r="5592">
          <cell r="A5592">
            <v>126642</v>
          </cell>
          <cell r="B5592" t="str">
            <v>PANEL,S81,4'x8',WITH VENT</v>
          </cell>
          <cell r="C5592" t="str">
            <v>EA</v>
          </cell>
          <cell r="D5592" t="str">
            <v>MA100</v>
          </cell>
          <cell r="E5592">
            <v>149.2585</v>
          </cell>
          <cell r="G5592">
            <v>126642</v>
          </cell>
        </row>
        <row r="5593">
          <cell r="A5593">
            <v>126643</v>
          </cell>
          <cell r="B5593" t="str">
            <v>PANEL,S81,4'x10'</v>
          </cell>
          <cell r="C5593" t="str">
            <v>EA</v>
          </cell>
          <cell r="D5593" t="str">
            <v>MA100</v>
          </cell>
          <cell r="E5593">
            <v>103.8535</v>
          </cell>
          <cell r="G5593">
            <v>126643</v>
          </cell>
        </row>
        <row r="5594">
          <cell r="A5594">
            <v>126644</v>
          </cell>
          <cell r="B5594" t="str">
            <v>PANEL,S81,4'x10',CUT</v>
          </cell>
          <cell r="C5594" t="str">
            <v>EA</v>
          </cell>
          <cell r="D5594" t="str">
            <v>MA100</v>
          </cell>
          <cell r="E5594">
            <v>127.3995</v>
          </cell>
          <cell r="G5594">
            <v>126644</v>
          </cell>
        </row>
        <row r="5595">
          <cell r="A5595">
            <v>126645</v>
          </cell>
          <cell r="B5595" t="str">
            <v>PANEL,S81,4'x10',WITH VENT</v>
          </cell>
          <cell r="C5595" t="str">
            <v>EA</v>
          </cell>
          <cell r="D5595" t="str">
            <v>MA100</v>
          </cell>
          <cell r="E5595">
            <v>162.71850000000001</v>
          </cell>
          <cell r="G5595">
            <v>126645</v>
          </cell>
        </row>
        <row r="5596">
          <cell r="A5596">
            <v>126728</v>
          </cell>
          <cell r="B5596" t="str">
            <v>PANEL,S81,FIRE TREATED,4'x8'</v>
          </cell>
          <cell r="C5596" t="str">
            <v>EA</v>
          </cell>
          <cell r="D5596" t="str">
            <v>MA100</v>
          </cell>
          <cell r="E5596">
            <v>123.3185</v>
          </cell>
          <cell r="G5596">
            <v>126728</v>
          </cell>
        </row>
        <row r="5597">
          <cell r="A5597">
            <v>126729</v>
          </cell>
          <cell r="B5597" t="str">
            <v>PANEL,S81,FIRE TREATED,4'x8',CUT</v>
          </cell>
          <cell r="C5597" t="str">
            <v>EA</v>
          </cell>
          <cell r="D5597" t="str">
            <v>MA100</v>
          </cell>
          <cell r="E5597">
            <v>123.3185</v>
          </cell>
          <cell r="G5597">
            <v>126729</v>
          </cell>
        </row>
        <row r="5598">
          <cell r="A5598">
            <v>126730</v>
          </cell>
          <cell r="B5598" t="str">
            <v>PANEL,S81,FIRE TREATED,4'x8',WITH VENT</v>
          </cell>
          <cell r="C5598" t="str">
            <v>EA</v>
          </cell>
          <cell r="D5598" t="str">
            <v>MA100</v>
          </cell>
          <cell r="E5598">
            <v>123.3185</v>
          </cell>
          <cell r="G5598">
            <v>126730</v>
          </cell>
        </row>
        <row r="5599">
          <cell r="A5599">
            <v>126731</v>
          </cell>
          <cell r="B5599" t="str">
            <v>PANEL,S81,FIRE TREATED,4'x10'</v>
          </cell>
          <cell r="C5599" t="str">
            <v>EA</v>
          </cell>
          <cell r="D5599" t="str">
            <v>MA100</v>
          </cell>
          <cell r="E5599">
            <v>145.17850000000001</v>
          </cell>
          <cell r="G5599">
            <v>126731</v>
          </cell>
        </row>
        <row r="5600">
          <cell r="A5600">
            <v>126732</v>
          </cell>
          <cell r="B5600" t="str">
            <v>PANEL,S81,FIRE TREATED,4'x10',CUT</v>
          </cell>
          <cell r="C5600" t="str">
            <v>EA</v>
          </cell>
          <cell r="D5600" t="str">
            <v>MA100</v>
          </cell>
          <cell r="E5600">
            <v>145.17850000000001</v>
          </cell>
          <cell r="G5600">
            <v>126732</v>
          </cell>
        </row>
        <row r="5601">
          <cell r="A5601">
            <v>126733</v>
          </cell>
          <cell r="B5601" t="str">
            <v>PANEL,S81,FIRE TREATED,4'x10',WITH VENT</v>
          </cell>
          <cell r="C5601" t="str">
            <v>EA</v>
          </cell>
          <cell r="D5601" t="str">
            <v>MA100</v>
          </cell>
          <cell r="E5601">
            <v>164.524</v>
          </cell>
          <cell r="G5601">
            <v>126733</v>
          </cell>
        </row>
        <row r="5602">
          <cell r="A5602">
            <v>126744</v>
          </cell>
          <cell r="B5602" t="str">
            <v>PLUNGER TUBE,S201,E-LATCH, DBL DR</v>
          </cell>
          <cell r="C5602" t="str">
            <v>EA</v>
          </cell>
          <cell r="D5602" t="str">
            <v>MA100</v>
          </cell>
          <cell r="E5602">
            <v>169.49010000000001</v>
          </cell>
          <cell r="G5602">
            <v>126744</v>
          </cell>
        </row>
        <row r="5603">
          <cell r="A5603">
            <v>126754</v>
          </cell>
          <cell r="B5603" t="str">
            <v>ASSY,SEISMIC ANCH 5"x3"x3/8"x15" w/ 3/8*</v>
          </cell>
          <cell r="C5603" t="str">
            <v>EA</v>
          </cell>
          <cell r="D5603" t="str">
            <v>MA100</v>
          </cell>
          <cell r="E5603">
            <v>39</v>
          </cell>
          <cell r="G5603">
            <v>126754</v>
          </cell>
        </row>
        <row r="5604">
          <cell r="A5604">
            <v>126755</v>
          </cell>
          <cell r="B5604" t="str">
            <v>FG,SEISMIC ANCH 3"x1/4"x15"</v>
          </cell>
          <cell r="C5604" t="str">
            <v>EA</v>
          </cell>
          <cell r="D5604" t="str">
            <v>MA100</v>
          </cell>
          <cell r="E5604">
            <v>0</v>
          </cell>
          <cell r="G5604">
            <v>126755</v>
          </cell>
        </row>
        <row r="5605">
          <cell r="A5605">
            <v>126756</v>
          </cell>
          <cell r="B5605" t="str">
            <v>ANGLE,SEISMIC 5"x3"x3/8"x15",3/8</v>
          </cell>
          <cell r="C5605" t="str">
            <v>EA</v>
          </cell>
          <cell r="D5605" t="str">
            <v>MA100</v>
          </cell>
          <cell r="E5605">
            <v>0</v>
          </cell>
          <cell r="G5605">
            <v>126756</v>
          </cell>
        </row>
        <row r="5606">
          <cell r="A5606">
            <v>126787</v>
          </cell>
          <cell r="B5606" t="str">
            <v>INTERLOCK SWITCH KIT</v>
          </cell>
          <cell r="C5606" t="str">
            <v>EA</v>
          </cell>
          <cell r="D5606" t="str">
            <v>MA100</v>
          </cell>
          <cell r="E5606">
            <v>315.44009999999997</v>
          </cell>
          <cell r="G5606">
            <v>126787</v>
          </cell>
        </row>
        <row r="5607">
          <cell r="A5607">
            <v>126791</v>
          </cell>
          <cell r="B5607" t="str">
            <v>CP-24X24-G-40N,4WGF-6</v>
          </cell>
          <cell r="C5607" t="str">
            <v>EA</v>
          </cell>
          <cell r="D5607" t="str">
            <v>MA100</v>
          </cell>
          <cell r="E5607">
            <v>50.757199999999997</v>
          </cell>
          <cell r="G5607">
            <v>126791</v>
          </cell>
        </row>
        <row r="5608">
          <cell r="A5608">
            <v>126792</v>
          </cell>
          <cell r="B5608" t="str">
            <v>CPA-24X24-G-40N,4WGF-6</v>
          </cell>
          <cell r="C5608" t="str">
            <v>EA</v>
          </cell>
          <cell r="D5608" t="str">
            <v>MA100</v>
          </cell>
          <cell r="E5608">
            <v>1041.0515</v>
          </cell>
          <cell r="G5608">
            <v>126792</v>
          </cell>
        </row>
        <row r="5609">
          <cell r="A5609">
            <v>126793</v>
          </cell>
          <cell r="B5609" t="str">
            <v>SEISMIC BRACE WELDMNT,T,4x3x1/4,5/8ANCH</v>
          </cell>
          <cell r="C5609" t="str">
            <v>EA</v>
          </cell>
          <cell r="D5609" t="str">
            <v>MA100</v>
          </cell>
          <cell r="E5609">
            <v>59</v>
          </cell>
          <cell r="G5609">
            <v>126793</v>
          </cell>
        </row>
        <row r="5610">
          <cell r="A5610">
            <v>126794</v>
          </cell>
          <cell r="B5610" t="str">
            <v>SEISMIC BRACE,ANGLE,4x3x1/4x12LONG</v>
          </cell>
          <cell r="C5610" t="str">
            <v>EA</v>
          </cell>
          <cell r="D5610" t="str">
            <v>MA100</v>
          </cell>
          <cell r="E5610">
            <v>18.3246</v>
          </cell>
          <cell r="G5610">
            <v>126794</v>
          </cell>
        </row>
        <row r="5611">
          <cell r="A5611">
            <v>126795</v>
          </cell>
          <cell r="B5611" t="str">
            <v>SEISMIC BRACE,ANGLE,2x2x3/8x13-3/4LONG</v>
          </cell>
          <cell r="C5611" t="str">
            <v>EA</v>
          </cell>
          <cell r="D5611" t="str">
            <v>MA100</v>
          </cell>
          <cell r="E5611">
            <v>16.838349999999998</v>
          </cell>
          <cell r="G5611">
            <v>126795</v>
          </cell>
        </row>
        <row r="5612">
          <cell r="A5612">
            <v>126798</v>
          </cell>
          <cell r="B5612" t="str">
            <v>PANEL,NRF,DOOR 4FT,EVO W/ WINDOW</v>
          </cell>
          <cell r="C5612" t="str">
            <v>EA</v>
          </cell>
          <cell r="D5612" t="str">
            <v>RM100</v>
          </cell>
          <cell r="E5612">
            <v>0</v>
          </cell>
          <cell r="G5612">
            <v>126798</v>
          </cell>
        </row>
        <row r="5613">
          <cell r="A5613">
            <v>126799</v>
          </cell>
          <cell r="B5613" t="str">
            <v>PANEL,RF,DOOR 4FT,EVO W/ WINDOW</v>
          </cell>
          <cell r="C5613" t="str">
            <v>EA</v>
          </cell>
          <cell r="D5613" t="str">
            <v>RM100</v>
          </cell>
          <cell r="E5613">
            <v>0</v>
          </cell>
          <cell r="G5613">
            <v>126799</v>
          </cell>
        </row>
        <row r="5614">
          <cell r="A5614">
            <v>126800</v>
          </cell>
          <cell r="B5614" t="str">
            <v>CLAMP,S81,STD,142-3/4</v>
          </cell>
          <cell r="C5614" t="str">
            <v>EA</v>
          </cell>
          <cell r="D5614" t="str">
            <v>MA100</v>
          </cell>
          <cell r="E5614">
            <v>36.186500000000002</v>
          </cell>
          <cell r="G5614">
            <v>126800</v>
          </cell>
        </row>
        <row r="5615">
          <cell r="A5615">
            <v>126801</v>
          </cell>
          <cell r="B5615" t="str">
            <v>CLAMP,S81,STD,142-3/4,CUT</v>
          </cell>
          <cell r="C5615" t="str">
            <v>EA</v>
          </cell>
          <cell r="D5615" t="str">
            <v>MA100</v>
          </cell>
          <cell r="E5615">
            <v>47.959499999999998</v>
          </cell>
          <cell r="G5615">
            <v>126801</v>
          </cell>
        </row>
        <row r="5616">
          <cell r="A5616">
            <v>126802</v>
          </cell>
          <cell r="B5616" t="str">
            <v>CLAMP,S81,STD,142-3/4,3-1/4STRT,TPT</v>
          </cell>
          <cell r="C5616" t="str">
            <v>EA</v>
          </cell>
          <cell r="D5616" t="str">
            <v>MA100</v>
          </cell>
          <cell r="E5616">
            <v>79.986500000000007</v>
          </cell>
          <cell r="G5616">
            <v>126802</v>
          </cell>
        </row>
        <row r="5617">
          <cell r="A5617">
            <v>126803</v>
          </cell>
          <cell r="B5617" t="str">
            <v>CLAMP,S81,STD,142-3/4,2-7/16STRT,TPT</v>
          </cell>
          <cell r="C5617" t="str">
            <v>EA</v>
          </cell>
          <cell r="D5617" t="str">
            <v>MA100</v>
          </cell>
          <cell r="E5617">
            <v>80.4465</v>
          </cell>
          <cell r="G5617">
            <v>126803</v>
          </cell>
        </row>
        <row r="5618">
          <cell r="A5618">
            <v>126804</v>
          </cell>
          <cell r="B5618" t="str">
            <v>CLAMP,S81,STD,142-3/4,1-5/8STRT,TPT</v>
          </cell>
          <cell r="C5618" t="str">
            <v>EA</v>
          </cell>
          <cell r="D5618" t="str">
            <v>MA100</v>
          </cell>
          <cell r="E5618">
            <v>64.4465</v>
          </cell>
          <cell r="G5618">
            <v>126804</v>
          </cell>
        </row>
        <row r="5619">
          <cell r="A5619">
            <v>126805</v>
          </cell>
          <cell r="B5619" t="str">
            <v>CLAMP,S81,STD,142-3/4,3-1/4STRT,WLD</v>
          </cell>
          <cell r="C5619" t="str">
            <v>EA</v>
          </cell>
          <cell r="D5619" t="str">
            <v>MA100</v>
          </cell>
          <cell r="E5619">
            <v>108.9815</v>
          </cell>
          <cell r="G5619">
            <v>126805</v>
          </cell>
        </row>
        <row r="5620">
          <cell r="A5620">
            <v>126806</v>
          </cell>
          <cell r="B5620" t="str">
            <v>CLAMP,S81,STD,142-3/4,2-7/16STRT,WLD</v>
          </cell>
          <cell r="C5620" t="str">
            <v>EA</v>
          </cell>
          <cell r="D5620" t="str">
            <v>MA100</v>
          </cell>
          <cell r="E5620">
            <v>109.9815</v>
          </cell>
          <cell r="G5620">
            <v>126806</v>
          </cell>
        </row>
        <row r="5621">
          <cell r="A5621">
            <v>126807</v>
          </cell>
          <cell r="B5621" t="str">
            <v>CLAMP,S81,STD,142-3/4,1-5/8STRT,WLD</v>
          </cell>
          <cell r="C5621" t="str">
            <v>EA</v>
          </cell>
          <cell r="D5621" t="str">
            <v>MA100</v>
          </cell>
          <cell r="E5621">
            <v>93.981499999999997</v>
          </cell>
          <cell r="G5621">
            <v>126807</v>
          </cell>
        </row>
        <row r="5622">
          <cell r="A5622">
            <v>126808</v>
          </cell>
          <cell r="B5622" t="str">
            <v>CLAMP,S81,STD,142-3/4,3-1/4STRT,TPT,CUT</v>
          </cell>
          <cell r="C5622" t="str">
            <v>EA</v>
          </cell>
          <cell r="D5622" t="str">
            <v>MA100</v>
          </cell>
          <cell r="E5622">
            <v>91.759500000000003</v>
          </cell>
          <cell r="G5622">
            <v>126808</v>
          </cell>
        </row>
        <row r="5623">
          <cell r="A5623">
            <v>126809</v>
          </cell>
          <cell r="B5623" t="str">
            <v>CLAMP,S81,STD,142-3/4,2-7/16STRT,TPT,CUT</v>
          </cell>
          <cell r="C5623" t="str">
            <v>EA</v>
          </cell>
          <cell r="D5623" t="str">
            <v>MA100</v>
          </cell>
          <cell r="E5623">
            <v>10.595700000000001</v>
          </cell>
          <cell r="G5623">
            <v>126809</v>
          </cell>
        </row>
        <row r="5624">
          <cell r="A5624">
            <v>126810</v>
          </cell>
          <cell r="B5624" t="str">
            <v>CLAMP,S81,STD,142-3/4,1-5/8STRT,TPT,CUT</v>
          </cell>
          <cell r="C5624" t="str">
            <v>EA</v>
          </cell>
          <cell r="D5624" t="str">
            <v>MA100</v>
          </cell>
          <cell r="E5624">
            <v>10.595700000000001</v>
          </cell>
          <cell r="G5624">
            <v>126810</v>
          </cell>
        </row>
        <row r="5625">
          <cell r="A5625">
            <v>126811</v>
          </cell>
          <cell r="B5625" t="str">
            <v>CLAMP,S81,STD,142-3/4,3-1/4STRT,WLD,CUT</v>
          </cell>
          <cell r="C5625" t="str">
            <v>EA</v>
          </cell>
          <cell r="D5625" t="str">
            <v>MA100</v>
          </cell>
          <cell r="E5625">
            <v>200.62569999999999</v>
          </cell>
          <cell r="G5625">
            <v>126811</v>
          </cell>
        </row>
        <row r="5626">
          <cell r="A5626">
            <v>126812</v>
          </cell>
          <cell r="B5626" t="str">
            <v>CLAMP,S81,STD,142-3/4,2-7/16STRT,WLD,CUT</v>
          </cell>
          <cell r="C5626" t="str">
            <v>EA</v>
          </cell>
          <cell r="D5626" t="str">
            <v>MA100</v>
          </cell>
          <cell r="E5626">
            <v>10.595700000000001</v>
          </cell>
          <cell r="G5626">
            <v>126812</v>
          </cell>
        </row>
        <row r="5627">
          <cell r="A5627">
            <v>126813</v>
          </cell>
          <cell r="B5627" t="str">
            <v>CLAMP,S81,STD,142-3/4,1-5/8STRT,WLD,CUT</v>
          </cell>
          <cell r="C5627" t="str">
            <v>EA</v>
          </cell>
          <cell r="D5627" t="str">
            <v>MA100</v>
          </cell>
          <cell r="E5627">
            <v>10.595700000000001</v>
          </cell>
          <cell r="G5627">
            <v>126813</v>
          </cell>
        </row>
        <row r="5628">
          <cell r="A5628">
            <v>126814</v>
          </cell>
          <cell r="B5628" t="str">
            <v>CLAMP,S81,STD,118-3/4</v>
          </cell>
          <cell r="C5628" t="str">
            <v>EA</v>
          </cell>
          <cell r="D5628" t="str">
            <v>MA100</v>
          </cell>
          <cell r="E5628">
            <v>31.4465</v>
          </cell>
          <cell r="G5628">
            <v>126814</v>
          </cell>
        </row>
        <row r="5629">
          <cell r="A5629">
            <v>126815</v>
          </cell>
          <cell r="B5629" t="str">
            <v>CLAMP,S81,STD,118-3/4,CUT</v>
          </cell>
          <cell r="C5629" t="str">
            <v>EA</v>
          </cell>
          <cell r="D5629" t="str">
            <v>MA100</v>
          </cell>
          <cell r="E5629">
            <v>43.219499999999996</v>
          </cell>
          <cell r="G5629">
            <v>126815</v>
          </cell>
        </row>
        <row r="5630">
          <cell r="A5630">
            <v>126816</v>
          </cell>
          <cell r="B5630" t="str">
            <v>CLAMP,S81,STD,118-3/4,3-1/4STRT,TPT</v>
          </cell>
          <cell r="C5630" t="str">
            <v>EA</v>
          </cell>
          <cell r="D5630" t="str">
            <v>MA100</v>
          </cell>
          <cell r="E5630">
            <v>5.8864999999999998</v>
          </cell>
          <cell r="G5630">
            <v>126816</v>
          </cell>
        </row>
        <row r="5631">
          <cell r="A5631">
            <v>126817</v>
          </cell>
          <cell r="B5631" t="str">
            <v>CLAMP,S81,STD,118-3/4,2-7/16STRT,TPT</v>
          </cell>
          <cell r="C5631" t="str">
            <v>EA</v>
          </cell>
          <cell r="D5631" t="str">
            <v>MA100</v>
          </cell>
          <cell r="E5631">
            <v>74.899820000000005</v>
          </cell>
          <cell r="G5631">
            <v>126817</v>
          </cell>
        </row>
        <row r="5632">
          <cell r="A5632">
            <v>126818</v>
          </cell>
          <cell r="B5632" t="str">
            <v>CLAMP,S81,STD,118-3/4,1-5/8STRT,TPT</v>
          </cell>
          <cell r="C5632" t="str">
            <v>EA</v>
          </cell>
          <cell r="D5632" t="str">
            <v>MA100</v>
          </cell>
          <cell r="E5632">
            <v>5.8864999999999998</v>
          </cell>
          <cell r="G5632">
            <v>126818</v>
          </cell>
        </row>
        <row r="5633">
          <cell r="A5633">
            <v>126819</v>
          </cell>
          <cell r="B5633" t="str">
            <v>CLAMP,S81,STD,118-3/4,3-1/4STRT,WLD</v>
          </cell>
          <cell r="C5633" t="str">
            <v>EA</v>
          </cell>
          <cell r="D5633" t="str">
            <v>MA100</v>
          </cell>
          <cell r="E5633">
            <v>104.2415</v>
          </cell>
          <cell r="G5633">
            <v>126819</v>
          </cell>
        </row>
        <row r="5634">
          <cell r="A5634">
            <v>126820</v>
          </cell>
          <cell r="B5634" t="str">
            <v>CLAMP,S81,STD,118-3/4,2-7/16STRT,WLD</v>
          </cell>
          <cell r="C5634" t="str">
            <v>EA</v>
          </cell>
          <cell r="D5634" t="str">
            <v>MA100</v>
          </cell>
          <cell r="E5634">
            <v>104.43482</v>
          </cell>
          <cell r="G5634">
            <v>126820</v>
          </cell>
        </row>
        <row r="5635">
          <cell r="A5635">
            <v>126821</v>
          </cell>
          <cell r="B5635" t="str">
            <v>CLAMP,S81,STD,118-3/4,1-5/8STRT,WLD</v>
          </cell>
          <cell r="C5635" t="str">
            <v>EA</v>
          </cell>
          <cell r="D5635" t="str">
            <v>MA100</v>
          </cell>
          <cell r="E5635">
            <v>89.241500000000002</v>
          </cell>
          <cell r="G5635">
            <v>126821</v>
          </cell>
        </row>
        <row r="5636">
          <cell r="A5636">
            <v>126822</v>
          </cell>
          <cell r="B5636" t="str">
            <v>CLAMP,S81,STD,118-3/4,3-1/4STRT,TPT,CUT</v>
          </cell>
          <cell r="C5636" t="str">
            <v>EA</v>
          </cell>
          <cell r="D5636" t="str">
            <v>MA100</v>
          </cell>
          <cell r="E5636">
            <v>85.691580000000002</v>
          </cell>
          <cell r="G5636">
            <v>126822</v>
          </cell>
        </row>
        <row r="5637">
          <cell r="A5637">
            <v>126823</v>
          </cell>
          <cell r="B5637" t="str">
            <v>CLAMP,S81,STD,118-3/4,2-7/16STRT,TPT,CUT</v>
          </cell>
          <cell r="C5637" t="str">
            <v>EA</v>
          </cell>
          <cell r="D5637" t="str">
            <v>MA100</v>
          </cell>
          <cell r="E5637">
            <v>79.609020000000001</v>
          </cell>
          <cell r="G5637">
            <v>126823</v>
          </cell>
        </row>
        <row r="5638">
          <cell r="A5638">
            <v>126824</v>
          </cell>
          <cell r="B5638" t="str">
            <v>CLAMP,S81,STD,118-3/4,1-5/8STRT,TPT,CUT</v>
          </cell>
          <cell r="C5638" t="str">
            <v>EA</v>
          </cell>
          <cell r="D5638" t="str">
            <v>MA100</v>
          </cell>
          <cell r="E5638">
            <v>10.595700000000001</v>
          </cell>
          <cell r="G5638">
            <v>126824</v>
          </cell>
        </row>
        <row r="5639">
          <cell r="A5639">
            <v>126825</v>
          </cell>
          <cell r="B5639" t="str">
            <v>CLAMP,S81,STD,118-3/4,3-1/4STRT,WLD,CUT</v>
          </cell>
          <cell r="C5639" t="str">
            <v>EA</v>
          </cell>
          <cell r="D5639" t="str">
            <v>MA100</v>
          </cell>
          <cell r="E5639">
            <v>0</v>
          </cell>
          <cell r="G5639">
            <v>126825</v>
          </cell>
        </row>
        <row r="5640">
          <cell r="A5640">
            <v>126826</v>
          </cell>
          <cell r="B5640" t="str">
            <v>CLAMP,S81,STD,118-3/4,2-7/16STRT,WLD,CUT</v>
          </cell>
          <cell r="C5640" t="str">
            <v>EA</v>
          </cell>
          <cell r="D5640" t="str">
            <v>MA100</v>
          </cell>
          <cell r="E5640">
            <v>78.349019999999996</v>
          </cell>
          <cell r="G5640">
            <v>126826</v>
          </cell>
        </row>
        <row r="5641">
          <cell r="A5641">
            <v>126827</v>
          </cell>
          <cell r="B5641" t="str">
            <v>CLAMP,S81,STD,118-3/4,1-5/8STRT,WLD,CUT</v>
          </cell>
          <cell r="C5641" t="str">
            <v>EA</v>
          </cell>
          <cell r="D5641" t="str">
            <v>MA100</v>
          </cell>
          <cell r="E5641">
            <v>10.595700000000001</v>
          </cell>
          <cell r="G5641">
            <v>126827</v>
          </cell>
        </row>
        <row r="5642">
          <cell r="A5642">
            <v>126828</v>
          </cell>
          <cell r="B5642" t="str">
            <v>CLAMP,S81,STD,94-3/4</v>
          </cell>
          <cell r="C5642" t="str">
            <v>EA</v>
          </cell>
          <cell r="D5642" t="str">
            <v>MA100</v>
          </cell>
          <cell r="E5642">
            <v>26.906500000000001</v>
          </cell>
          <cell r="G5642">
            <v>126828</v>
          </cell>
        </row>
        <row r="5643">
          <cell r="A5643">
            <v>126829</v>
          </cell>
          <cell r="B5643" t="str">
            <v>CLAMP,S81,STD,94-3/4,CUT</v>
          </cell>
          <cell r="C5643" t="str">
            <v>EA</v>
          </cell>
          <cell r="D5643" t="str">
            <v>MA100</v>
          </cell>
          <cell r="E5643">
            <v>38.679499999999997</v>
          </cell>
          <cell r="G5643">
            <v>126829</v>
          </cell>
        </row>
        <row r="5644">
          <cell r="A5644">
            <v>126830</v>
          </cell>
          <cell r="B5644" t="str">
            <v>CLAMP,S81,STD,94-3/4,3-1/4STRT,TPT</v>
          </cell>
          <cell r="C5644" t="str">
            <v>EA</v>
          </cell>
          <cell r="D5644" t="str">
            <v>MA100</v>
          </cell>
          <cell r="E5644">
            <v>60.746499999999997</v>
          </cell>
          <cell r="G5644">
            <v>126830</v>
          </cell>
        </row>
        <row r="5645">
          <cell r="A5645">
            <v>126831</v>
          </cell>
          <cell r="B5645" t="str">
            <v>CLAMP,S81,STD,94-3/4,2-7/16STRT,TPT</v>
          </cell>
          <cell r="C5645" t="str">
            <v>EA</v>
          </cell>
          <cell r="D5645" t="str">
            <v>MA100</v>
          </cell>
          <cell r="E5645">
            <v>61.526499999999999</v>
          </cell>
          <cell r="G5645">
            <v>126831</v>
          </cell>
        </row>
        <row r="5646">
          <cell r="A5646">
            <v>126832</v>
          </cell>
          <cell r="B5646" t="str">
            <v>CLAMP,S81,STD,94-3/4,1-5/8STRT,TPT</v>
          </cell>
          <cell r="C5646" t="str">
            <v>EA</v>
          </cell>
          <cell r="D5646" t="str">
            <v>MA100</v>
          </cell>
          <cell r="E5646">
            <v>49.226500000000001</v>
          </cell>
          <cell r="G5646">
            <v>126832</v>
          </cell>
        </row>
        <row r="5647">
          <cell r="A5647">
            <v>126833</v>
          </cell>
          <cell r="B5647" t="str">
            <v>CLAMP,S81,STD,94-3/4,3-1/4STRT,WLD</v>
          </cell>
          <cell r="C5647" t="str">
            <v>EA</v>
          </cell>
          <cell r="D5647" t="str">
            <v>MA100</v>
          </cell>
          <cell r="E5647">
            <v>90.513580000000005</v>
          </cell>
          <cell r="G5647">
            <v>126833</v>
          </cell>
        </row>
        <row r="5648">
          <cell r="A5648">
            <v>126834</v>
          </cell>
          <cell r="B5648" t="str">
            <v>CLAMP,S81,STD,94-3/4,2-7/16STRT,WLD</v>
          </cell>
          <cell r="C5648" t="str">
            <v>EA</v>
          </cell>
          <cell r="D5648" t="str">
            <v>MA100</v>
          </cell>
          <cell r="E5648">
            <v>91.294820000000001</v>
          </cell>
          <cell r="G5648">
            <v>126834</v>
          </cell>
        </row>
        <row r="5649">
          <cell r="A5649">
            <v>126835</v>
          </cell>
          <cell r="B5649" t="str">
            <v>CLAMP,S81,STD,94-3/4,1-5/8STRT,WLD</v>
          </cell>
          <cell r="C5649" t="str">
            <v>EA</v>
          </cell>
          <cell r="D5649" t="str">
            <v>MA100</v>
          </cell>
          <cell r="E5649">
            <v>47.966500000000003</v>
          </cell>
          <cell r="G5649">
            <v>126835</v>
          </cell>
        </row>
        <row r="5650">
          <cell r="A5650">
            <v>126836</v>
          </cell>
          <cell r="B5650" t="str">
            <v>CLAMP,S81,STD,94-3/4,3-1/4STRT,TPT,CUT</v>
          </cell>
          <cell r="C5650" t="str">
            <v>EA</v>
          </cell>
          <cell r="D5650" t="str">
            <v>MA100</v>
          </cell>
          <cell r="E5650">
            <v>65.6357</v>
          </cell>
          <cell r="G5650">
            <v>126836</v>
          </cell>
        </row>
        <row r="5651">
          <cell r="A5651">
            <v>126837</v>
          </cell>
          <cell r="B5651" t="str">
            <v>CLAMP,S81,STD,94-3/4,2-7/16STRT,TPT,CUT</v>
          </cell>
          <cell r="C5651" t="str">
            <v>EA</v>
          </cell>
          <cell r="D5651" t="str">
            <v>MA100</v>
          </cell>
          <cell r="E5651">
            <v>58.495699999999999</v>
          </cell>
          <cell r="G5651">
            <v>126837</v>
          </cell>
        </row>
        <row r="5652">
          <cell r="A5652">
            <v>126838</v>
          </cell>
          <cell r="B5652" t="str">
            <v>CLAMP,S81,STD,94-3/4,1-5/8STRT,TPT,CUT</v>
          </cell>
          <cell r="C5652" t="str">
            <v>EA</v>
          </cell>
          <cell r="D5652" t="str">
            <v>MA100</v>
          </cell>
          <cell r="E5652">
            <v>53.755699999999997</v>
          </cell>
          <cell r="G5652">
            <v>126838</v>
          </cell>
        </row>
        <row r="5653">
          <cell r="A5653">
            <v>126839</v>
          </cell>
          <cell r="B5653" t="str">
            <v>CLAMP,S81,STD,94-3/4,3-1/4STRT,WLD,CUT</v>
          </cell>
          <cell r="C5653" t="str">
            <v>EA</v>
          </cell>
          <cell r="D5653" t="str">
            <v>MA100</v>
          </cell>
          <cell r="E5653">
            <v>64.375699999999995</v>
          </cell>
          <cell r="G5653">
            <v>126839</v>
          </cell>
        </row>
        <row r="5654">
          <cell r="A5654">
            <v>126840</v>
          </cell>
          <cell r="B5654" t="str">
            <v>CLAMP,S81,STD,94-3/4,2-7/16STRT,WLD,CUT</v>
          </cell>
          <cell r="C5654" t="str">
            <v>EA</v>
          </cell>
          <cell r="D5654" t="str">
            <v>MA100</v>
          </cell>
          <cell r="E5654">
            <v>65.155699999999996</v>
          </cell>
          <cell r="G5654">
            <v>126840</v>
          </cell>
        </row>
        <row r="5655">
          <cell r="A5655">
            <v>126841</v>
          </cell>
          <cell r="B5655" t="str">
            <v>CLAMP,S81,STD,94-3/4,1-5/8STRT,WLD,CUT</v>
          </cell>
          <cell r="C5655" t="str">
            <v>EA</v>
          </cell>
          <cell r="D5655" t="str">
            <v>MA100</v>
          </cell>
          <cell r="E5655">
            <v>52.675699999999999</v>
          </cell>
          <cell r="G5655">
            <v>126841</v>
          </cell>
        </row>
        <row r="5656">
          <cell r="A5656">
            <v>126842</v>
          </cell>
          <cell r="B5656" t="str">
            <v>CLAMP,S81,STD,46-3/4</v>
          </cell>
          <cell r="C5656" t="str">
            <v>EA</v>
          </cell>
          <cell r="D5656" t="str">
            <v>MA100</v>
          </cell>
          <cell r="E5656">
            <v>18.156500000000001</v>
          </cell>
          <cell r="G5656">
            <v>126842</v>
          </cell>
        </row>
        <row r="5657">
          <cell r="A5657">
            <v>126843</v>
          </cell>
          <cell r="B5657" t="str">
            <v>CLAMP,S81,STD,46-3/4,CUT</v>
          </cell>
          <cell r="C5657" t="str">
            <v>EA</v>
          </cell>
          <cell r="D5657" t="str">
            <v>MA100</v>
          </cell>
          <cell r="E5657">
            <v>29.929500000000001</v>
          </cell>
          <cell r="G5657">
            <v>126843</v>
          </cell>
        </row>
        <row r="5658">
          <cell r="A5658">
            <v>126844</v>
          </cell>
          <cell r="B5658" t="str">
            <v>CLAMP,S81,STD,46-3/4,3-1/4STRT,TPT</v>
          </cell>
          <cell r="C5658" t="str">
            <v>EA</v>
          </cell>
          <cell r="D5658" t="str">
            <v>MA100</v>
          </cell>
          <cell r="E5658">
            <v>5.8864999999999998</v>
          </cell>
          <cell r="G5658">
            <v>126844</v>
          </cell>
        </row>
        <row r="5659">
          <cell r="A5659">
            <v>126845</v>
          </cell>
          <cell r="B5659" t="str">
            <v>CLAMP,S81,STD,46-3/4,2-7/16STRT,TPT</v>
          </cell>
          <cell r="C5659" t="str">
            <v>EA</v>
          </cell>
          <cell r="D5659" t="str">
            <v>MA100</v>
          </cell>
          <cell r="E5659">
            <v>5.8864999999999998</v>
          </cell>
          <cell r="G5659">
            <v>126845</v>
          </cell>
        </row>
        <row r="5660">
          <cell r="A5660">
            <v>126846</v>
          </cell>
          <cell r="B5660" t="str">
            <v>CLAMP,S81,STD,46-3/4,1-5/8STRT,TPT</v>
          </cell>
          <cell r="C5660" t="str">
            <v>EA</v>
          </cell>
          <cell r="D5660" t="str">
            <v>MA100</v>
          </cell>
          <cell r="E5660">
            <v>5.8864999999999998</v>
          </cell>
          <cell r="G5660">
            <v>126846</v>
          </cell>
        </row>
        <row r="5661">
          <cell r="A5661">
            <v>126847</v>
          </cell>
          <cell r="B5661" t="str">
            <v>CLAMP,S81,STD,46-3/4,3-1/4STRT,WLD</v>
          </cell>
          <cell r="C5661" t="str">
            <v>EA</v>
          </cell>
          <cell r="D5661" t="str">
            <v>MA100</v>
          </cell>
          <cell r="E5661">
            <v>36.6815</v>
          </cell>
          <cell r="G5661">
            <v>126847</v>
          </cell>
        </row>
        <row r="5662">
          <cell r="A5662">
            <v>126848</v>
          </cell>
          <cell r="B5662" t="str">
            <v>CLAMP,S81,STD,46-3/4,2-7/16STRT,WLD</v>
          </cell>
          <cell r="C5662" t="str">
            <v>EA</v>
          </cell>
          <cell r="D5662" t="str">
            <v>MA100</v>
          </cell>
          <cell r="E5662">
            <v>36.6815</v>
          </cell>
          <cell r="G5662">
            <v>126848</v>
          </cell>
        </row>
        <row r="5663">
          <cell r="A5663">
            <v>126849</v>
          </cell>
          <cell r="B5663" t="str">
            <v>CLAMP,S81,STD,46-3/4,1-5/8STRT,WLD</v>
          </cell>
          <cell r="C5663" t="str">
            <v>EA</v>
          </cell>
          <cell r="D5663" t="str">
            <v>MA100</v>
          </cell>
          <cell r="E5663">
            <v>36.6815</v>
          </cell>
          <cell r="G5663">
            <v>126849</v>
          </cell>
        </row>
        <row r="5664">
          <cell r="A5664">
            <v>126850</v>
          </cell>
          <cell r="B5664" t="str">
            <v>CLAMP,S81,STD,46-3/4,3-1/4STRT,TPT,CUT</v>
          </cell>
          <cell r="C5664" t="str">
            <v>EA</v>
          </cell>
          <cell r="D5664" t="str">
            <v>MA100</v>
          </cell>
          <cell r="E5664">
            <v>10.595700000000001</v>
          </cell>
          <cell r="G5664">
            <v>126850</v>
          </cell>
        </row>
        <row r="5665">
          <cell r="A5665">
            <v>126851</v>
          </cell>
          <cell r="B5665" t="str">
            <v>CLAMP,S81,STD,46-3/4,2-7/16STRT,TPT,CUT</v>
          </cell>
          <cell r="C5665" t="str">
            <v>EA</v>
          </cell>
          <cell r="D5665" t="str">
            <v>MA100</v>
          </cell>
          <cell r="E5665">
            <v>10.595700000000001</v>
          </cell>
          <cell r="G5665">
            <v>126851</v>
          </cell>
        </row>
        <row r="5666">
          <cell r="A5666">
            <v>126852</v>
          </cell>
          <cell r="B5666" t="str">
            <v>CLAMP,S81,STD,46-3/4,1-5/8STRT,TPT,CUT</v>
          </cell>
          <cell r="C5666" t="str">
            <v>EA</v>
          </cell>
          <cell r="D5666" t="str">
            <v>MA100</v>
          </cell>
          <cell r="E5666">
            <v>10.595700000000001</v>
          </cell>
          <cell r="G5666">
            <v>126852</v>
          </cell>
        </row>
        <row r="5667">
          <cell r="A5667">
            <v>126853</v>
          </cell>
          <cell r="B5667" t="str">
            <v>CLAMP,S81,STD,46-3/4,3-1/4STRT,WLD,CUT</v>
          </cell>
          <cell r="C5667" t="str">
            <v>EA</v>
          </cell>
          <cell r="D5667" t="str">
            <v>MA100</v>
          </cell>
          <cell r="E5667">
            <v>42.362699999999997</v>
          </cell>
          <cell r="G5667">
            <v>126853</v>
          </cell>
        </row>
        <row r="5668">
          <cell r="A5668">
            <v>126854</v>
          </cell>
          <cell r="B5668" t="str">
            <v>CLAMP,S81,STD,46-3/4,2-7/16STRT,WLD,CUT</v>
          </cell>
          <cell r="C5668" t="str">
            <v>EA</v>
          </cell>
          <cell r="D5668" t="str">
            <v>MA100</v>
          </cell>
          <cell r="E5668">
            <v>42.362699999999997</v>
          </cell>
          <cell r="G5668">
            <v>126854</v>
          </cell>
        </row>
        <row r="5669">
          <cell r="A5669">
            <v>126855</v>
          </cell>
          <cell r="B5669" t="str">
            <v>CLAMP,S81,STD,46-3/4,1-5/8STRT,WLD,CUT</v>
          </cell>
          <cell r="C5669" t="str">
            <v>EA</v>
          </cell>
          <cell r="D5669" t="str">
            <v>MA100</v>
          </cell>
          <cell r="E5669">
            <v>42.362699999999997</v>
          </cell>
          <cell r="G5669">
            <v>126855</v>
          </cell>
        </row>
        <row r="5670">
          <cell r="A5670">
            <v>126856</v>
          </cell>
          <cell r="B5670" t="str">
            <v>CLAMP,S81,CSK,142-3/4</v>
          </cell>
          <cell r="C5670" t="str">
            <v>EA</v>
          </cell>
          <cell r="D5670" t="str">
            <v>MA100</v>
          </cell>
          <cell r="E5670">
            <v>38.686500000000002</v>
          </cell>
          <cell r="G5670">
            <v>126856</v>
          </cell>
        </row>
        <row r="5671">
          <cell r="A5671">
            <v>126857</v>
          </cell>
          <cell r="B5671" t="str">
            <v>CLAMP,S81,CSK,142-3/4,CUT</v>
          </cell>
          <cell r="C5671" t="str">
            <v>EA</v>
          </cell>
          <cell r="D5671" t="str">
            <v>MA100</v>
          </cell>
          <cell r="E5671">
            <v>50.459499999999998</v>
          </cell>
          <cell r="G5671">
            <v>126857</v>
          </cell>
        </row>
        <row r="5672">
          <cell r="A5672">
            <v>126858</v>
          </cell>
          <cell r="B5672" t="str">
            <v>CLAMP,S81,CSK,142-3/4,3-1/4STRT,TPT</v>
          </cell>
          <cell r="C5672" t="str">
            <v>EA</v>
          </cell>
          <cell r="D5672" t="str">
            <v>MA100</v>
          </cell>
          <cell r="E5672">
            <v>5.8864999999999998</v>
          </cell>
          <cell r="G5672">
            <v>126858</v>
          </cell>
        </row>
        <row r="5673">
          <cell r="A5673">
            <v>126859</v>
          </cell>
          <cell r="B5673" t="str">
            <v>CLAMP,S81,CSK,142-3/4,2-7/16STRT,TPT</v>
          </cell>
          <cell r="C5673" t="str">
            <v>EA</v>
          </cell>
          <cell r="D5673" t="str">
            <v>MA100</v>
          </cell>
          <cell r="E5673">
            <v>5.8864999999999998</v>
          </cell>
          <cell r="G5673">
            <v>126859</v>
          </cell>
        </row>
        <row r="5674">
          <cell r="A5674">
            <v>126860</v>
          </cell>
          <cell r="B5674" t="str">
            <v>CLAMP,S81,CSK,142-3/4,1-5/8STRT,TPT</v>
          </cell>
          <cell r="C5674" t="str">
            <v>EA</v>
          </cell>
          <cell r="D5674" t="str">
            <v>MA100</v>
          </cell>
          <cell r="E5674">
            <v>5.8864999999999998</v>
          </cell>
          <cell r="G5674">
            <v>126860</v>
          </cell>
        </row>
        <row r="5675">
          <cell r="A5675">
            <v>126861</v>
          </cell>
          <cell r="B5675" t="str">
            <v>CLAMP,S81,CSK,142-3/4,3-1/4STRT,WLD</v>
          </cell>
          <cell r="C5675" t="str">
            <v>EA</v>
          </cell>
          <cell r="D5675" t="str">
            <v>MA100</v>
          </cell>
          <cell r="E5675">
            <v>36.6815</v>
          </cell>
          <cell r="G5675">
            <v>126861</v>
          </cell>
        </row>
        <row r="5676">
          <cell r="A5676">
            <v>126862</v>
          </cell>
          <cell r="B5676" t="str">
            <v>CLAMP,S81,CSK,142-3/4,2-7/16STRT,WLD</v>
          </cell>
          <cell r="C5676" t="str">
            <v>EA</v>
          </cell>
          <cell r="D5676" t="str">
            <v>MA100</v>
          </cell>
          <cell r="E5676">
            <v>36.6815</v>
          </cell>
          <cell r="G5676">
            <v>126862</v>
          </cell>
        </row>
        <row r="5677">
          <cell r="A5677">
            <v>126863</v>
          </cell>
          <cell r="B5677" t="str">
            <v>CLAMP,S81,CSK,142-3/4,1-5/8STRT,WLD</v>
          </cell>
          <cell r="C5677" t="str">
            <v>EA</v>
          </cell>
          <cell r="D5677" t="str">
            <v>MA100</v>
          </cell>
          <cell r="E5677">
            <v>36.6815</v>
          </cell>
          <cell r="G5677">
            <v>126863</v>
          </cell>
        </row>
        <row r="5678">
          <cell r="A5678">
            <v>126864</v>
          </cell>
          <cell r="B5678" t="str">
            <v>CLAMP,S81,CSK,142-3/4,3-1/4STRT,TPT,CUT</v>
          </cell>
          <cell r="C5678" t="str">
            <v>EA</v>
          </cell>
          <cell r="D5678" t="str">
            <v>MA100</v>
          </cell>
          <cell r="E5678">
            <v>10.595700000000001</v>
          </cell>
          <cell r="G5678">
            <v>126864</v>
          </cell>
        </row>
        <row r="5679">
          <cell r="A5679">
            <v>126865</v>
          </cell>
          <cell r="B5679" t="str">
            <v>CLAMP,S81,CSK,142-3/4,2-7/16STRT,TPT,CUT</v>
          </cell>
          <cell r="C5679" t="str">
            <v>EA</v>
          </cell>
          <cell r="D5679" t="str">
            <v>MA100</v>
          </cell>
          <cell r="E5679">
            <v>10.595700000000001</v>
          </cell>
          <cell r="G5679">
            <v>126865</v>
          </cell>
        </row>
        <row r="5680">
          <cell r="A5680">
            <v>126866</v>
          </cell>
          <cell r="B5680" t="str">
            <v>CLAMP,S81,CSK,142-3/4,1-5/8STRT,TPT,CUT</v>
          </cell>
          <cell r="C5680" t="str">
            <v>EA</v>
          </cell>
          <cell r="D5680" t="str">
            <v>MA100</v>
          </cell>
          <cell r="E5680">
            <v>10.595700000000001</v>
          </cell>
          <cell r="G5680">
            <v>126866</v>
          </cell>
        </row>
        <row r="5681">
          <cell r="A5681">
            <v>126867</v>
          </cell>
          <cell r="B5681" t="str">
            <v>CLAMP,S81,CSK,142-3/4,3-1/4STRT,WLD,CUT</v>
          </cell>
          <cell r="C5681" t="str">
            <v>EA</v>
          </cell>
          <cell r="D5681" t="str">
            <v>MA100</v>
          </cell>
          <cell r="E5681">
            <v>42.362699999999997</v>
          </cell>
          <cell r="G5681">
            <v>126867</v>
          </cell>
        </row>
        <row r="5682">
          <cell r="A5682">
            <v>126868</v>
          </cell>
          <cell r="B5682" t="str">
            <v>CLAMP,S81,CSK,142-3/4,2-7/16STRT,WLD,CUT</v>
          </cell>
          <cell r="C5682" t="str">
            <v>EA</v>
          </cell>
          <cell r="D5682" t="str">
            <v>MA100</v>
          </cell>
          <cell r="E5682">
            <v>42.362699999999997</v>
          </cell>
          <cell r="G5682">
            <v>126868</v>
          </cell>
        </row>
        <row r="5683">
          <cell r="A5683">
            <v>126869</v>
          </cell>
          <cell r="B5683" t="str">
            <v>CLAMP,S81,CSK,142-3/4,1-5/8STRT,WLD,CUT</v>
          </cell>
          <cell r="C5683" t="str">
            <v>EA</v>
          </cell>
          <cell r="D5683" t="str">
            <v>MA100</v>
          </cell>
          <cell r="E5683">
            <v>42.362699999999997</v>
          </cell>
          <cell r="G5683">
            <v>126869</v>
          </cell>
        </row>
        <row r="5684">
          <cell r="A5684">
            <v>126870</v>
          </cell>
          <cell r="B5684" t="str">
            <v>CLAMP,S81,CSK,118-3/4</v>
          </cell>
          <cell r="C5684" t="str">
            <v>EA</v>
          </cell>
          <cell r="D5684" t="str">
            <v>MA100</v>
          </cell>
          <cell r="E5684">
            <v>33.516500000000001</v>
          </cell>
          <cell r="G5684">
            <v>126870</v>
          </cell>
        </row>
        <row r="5685">
          <cell r="A5685">
            <v>126871</v>
          </cell>
          <cell r="B5685" t="str">
            <v>CLAMP,S81,CSK,118-3/4,CUT</v>
          </cell>
          <cell r="C5685" t="str">
            <v>EA</v>
          </cell>
          <cell r="D5685" t="str">
            <v>MA100</v>
          </cell>
          <cell r="E5685">
            <v>38.225700000000003</v>
          </cell>
          <cell r="G5685">
            <v>126871</v>
          </cell>
        </row>
        <row r="5686">
          <cell r="A5686">
            <v>126872</v>
          </cell>
          <cell r="B5686" t="str">
            <v>CLAMP,S81,CSK,118-3/4,3-1/4STRT,TPT</v>
          </cell>
          <cell r="C5686" t="str">
            <v>EA</v>
          </cell>
          <cell r="D5686" t="str">
            <v>MA100</v>
          </cell>
          <cell r="E5686">
            <v>5.8864999999999998</v>
          </cell>
          <cell r="G5686">
            <v>126872</v>
          </cell>
        </row>
        <row r="5687">
          <cell r="A5687">
            <v>126873</v>
          </cell>
          <cell r="B5687" t="str">
            <v>CLAMP,S81,CSK,118-3/4,2-7/16STRT,TPT</v>
          </cell>
          <cell r="C5687" t="str">
            <v>EA</v>
          </cell>
          <cell r="D5687" t="str">
            <v>MA100</v>
          </cell>
          <cell r="E5687">
            <v>5.8864999999999998</v>
          </cell>
          <cell r="G5687">
            <v>126873</v>
          </cell>
        </row>
        <row r="5688">
          <cell r="A5688">
            <v>126874</v>
          </cell>
          <cell r="B5688" t="str">
            <v>CLAMP,S81,CSK,118-3/4,1-5/8STRT,TPT</v>
          </cell>
          <cell r="C5688" t="str">
            <v>EA</v>
          </cell>
          <cell r="D5688" t="str">
            <v>MA100</v>
          </cell>
          <cell r="E5688">
            <v>5.8864999999999998</v>
          </cell>
          <cell r="G5688">
            <v>126874</v>
          </cell>
        </row>
        <row r="5689">
          <cell r="A5689">
            <v>126875</v>
          </cell>
          <cell r="B5689" t="str">
            <v>CLAMP,S81,CSK,118-3/4,3-1/4STRT,WLD</v>
          </cell>
          <cell r="C5689" t="str">
            <v>EA</v>
          </cell>
          <cell r="D5689" t="str">
            <v>MA100</v>
          </cell>
          <cell r="E5689">
            <v>36.6815</v>
          </cell>
          <cell r="G5689">
            <v>126875</v>
          </cell>
        </row>
        <row r="5690">
          <cell r="A5690">
            <v>126876</v>
          </cell>
          <cell r="B5690" t="str">
            <v>CLAMP,S81,CSK,118-3/4,2-7/16STRT,WLD</v>
          </cell>
          <cell r="C5690" t="str">
            <v>EA</v>
          </cell>
          <cell r="D5690" t="str">
            <v>MA100</v>
          </cell>
          <cell r="E5690">
            <v>36.6815</v>
          </cell>
          <cell r="G5690">
            <v>126876</v>
          </cell>
        </row>
        <row r="5691">
          <cell r="A5691">
            <v>126877</v>
          </cell>
          <cell r="B5691" t="str">
            <v>CLAMP,S81,CSK,118-3/4,1-5/8STRT,WLD</v>
          </cell>
          <cell r="C5691" t="str">
            <v>EA</v>
          </cell>
          <cell r="D5691" t="str">
            <v>MA100</v>
          </cell>
          <cell r="E5691">
            <v>36.6815</v>
          </cell>
          <cell r="G5691">
            <v>126877</v>
          </cell>
        </row>
        <row r="5692">
          <cell r="A5692">
            <v>126878</v>
          </cell>
          <cell r="B5692" t="str">
            <v>CLAMP,S81,CSK,118-3/4,3-1/4STRT,TPT,CUT</v>
          </cell>
          <cell r="C5692" t="str">
            <v>EA</v>
          </cell>
          <cell r="D5692" t="str">
            <v>MA100</v>
          </cell>
          <cell r="E5692">
            <v>17.659500000000001</v>
          </cell>
          <cell r="G5692">
            <v>126878</v>
          </cell>
        </row>
        <row r="5693">
          <cell r="A5693">
            <v>126879</v>
          </cell>
          <cell r="B5693" t="str">
            <v>CLAMP,S81,CSK,118-3/4,2-7/16STRT,TPT,CUT</v>
          </cell>
          <cell r="C5693" t="str">
            <v>EA</v>
          </cell>
          <cell r="D5693" t="str">
            <v>MA100</v>
          </cell>
          <cell r="E5693">
            <v>10.595700000000001</v>
          </cell>
          <cell r="G5693">
            <v>126879</v>
          </cell>
        </row>
        <row r="5694">
          <cell r="A5694">
            <v>126880</v>
          </cell>
          <cell r="B5694" t="str">
            <v>CLAMP,S81,CSK,118-3/4,1-5/8STRT,TPT,CUT</v>
          </cell>
          <cell r="C5694" t="str">
            <v>EA</v>
          </cell>
          <cell r="D5694" t="str">
            <v>MA100</v>
          </cell>
          <cell r="E5694">
            <v>10.595700000000001</v>
          </cell>
          <cell r="G5694">
            <v>126880</v>
          </cell>
        </row>
        <row r="5695">
          <cell r="A5695">
            <v>126881</v>
          </cell>
          <cell r="B5695" t="str">
            <v>CLAMP,S81,CSK,118-3/4,3-1/4STRT,WLD,CUT</v>
          </cell>
          <cell r="C5695" t="str">
            <v>EA</v>
          </cell>
          <cell r="D5695" t="str">
            <v>MA100</v>
          </cell>
          <cell r="E5695">
            <v>42.362699999999997</v>
          </cell>
          <cell r="G5695">
            <v>126881</v>
          </cell>
        </row>
        <row r="5696">
          <cell r="A5696">
            <v>126882</v>
          </cell>
          <cell r="B5696" t="str">
            <v>CLAMP,S81,CSK,118-3/4,2-7/16STRT,WLD,CUT</v>
          </cell>
          <cell r="C5696" t="str">
            <v>EA</v>
          </cell>
          <cell r="D5696" t="str">
            <v>MA100</v>
          </cell>
          <cell r="E5696">
            <v>42.362699999999997</v>
          </cell>
          <cell r="G5696">
            <v>126882</v>
          </cell>
        </row>
        <row r="5697">
          <cell r="A5697">
            <v>126883</v>
          </cell>
          <cell r="B5697" t="str">
            <v>CLAMP,S81,CSK,118-3/4,1-5/8STRT,WLD,CUT</v>
          </cell>
          <cell r="C5697" t="str">
            <v>EA</v>
          </cell>
          <cell r="D5697" t="str">
            <v>MA100</v>
          </cell>
          <cell r="E5697">
            <v>42.362699999999997</v>
          </cell>
          <cell r="G5697">
            <v>126883</v>
          </cell>
        </row>
        <row r="5698">
          <cell r="A5698">
            <v>126884</v>
          </cell>
          <cell r="B5698" t="str">
            <v>CLAMP,S81,CSK,94-3/4</v>
          </cell>
          <cell r="C5698" t="str">
            <v>EA</v>
          </cell>
          <cell r="D5698" t="str">
            <v>MA100</v>
          </cell>
          <cell r="E5698">
            <v>28.566500000000001</v>
          </cell>
          <cell r="G5698">
            <v>126884</v>
          </cell>
        </row>
        <row r="5699">
          <cell r="A5699">
            <v>126885</v>
          </cell>
          <cell r="B5699" t="str">
            <v>CLAMP,S81,CSK,94-3/4,CUT</v>
          </cell>
          <cell r="C5699" t="str">
            <v>EA</v>
          </cell>
          <cell r="D5699" t="str">
            <v>MA100</v>
          </cell>
          <cell r="E5699">
            <v>40.339500000000001</v>
          </cell>
          <cell r="G5699">
            <v>126885</v>
          </cell>
        </row>
        <row r="5700">
          <cell r="A5700">
            <v>126886</v>
          </cell>
          <cell r="B5700" t="str">
            <v>CLAMP,S81,CSK,94-3/4,3-1/4STRT,TPT</v>
          </cell>
          <cell r="C5700" t="str">
            <v>EA</v>
          </cell>
          <cell r="D5700" t="str">
            <v>MA100</v>
          </cell>
          <cell r="E5700">
            <v>62.406500000000001</v>
          </cell>
          <cell r="G5700">
            <v>126886</v>
          </cell>
        </row>
        <row r="5701">
          <cell r="A5701">
            <v>126887</v>
          </cell>
          <cell r="B5701" t="str">
            <v>CLAMP,S81,CSK,94-3/4,2-7/16STRT,TPT</v>
          </cell>
          <cell r="C5701" t="str">
            <v>EA</v>
          </cell>
          <cell r="D5701" t="str">
            <v>MA100</v>
          </cell>
          <cell r="E5701">
            <v>61.526499999999999</v>
          </cell>
          <cell r="G5701">
            <v>126887</v>
          </cell>
        </row>
        <row r="5702">
          <cell r="A5702">
            <v>126888</v>
          </cell>
          <cell r="B5702" t="str">
            <v>CLAMP,S81,CSK,94-3/4,1-5/8STRT,TPT</v>
          </cell>
          <cell r="C5702" t="str">
            <v>EA</v>
          </cell>
          <cell r="D5702" t="str">
            <v>MA100</v>
          </cell>
          <cell r="E5702">
            <v>49.046500000000002</v>
          </cell>
          <cell r="G5702">
            <v>126888</v>
          </cell>
        </row>
        <row r="5703">
          <cell r="A5703">
            <v>126889</v>
          </cell>
          <cell r="B5703" t="str">
            <v>CLAMP,S81,CSK,94-3/4,3-1/4STRT,WLD</v>
          </cell>
          <cell r="C5703" t="str">
            <v>EA</v>
          </cell>
          <cell r="D5703" t="str">
            <v>MA100</v>
          </cell>
          <cell r="E5703">
            <v>92.121499999999997</v>
          </cell>
          <cell r="G5703">
            <v>126889</v>
          </cell>
        </row>
        <row r="5704">
          <cell r="A5704">
            <v>126890</v>
          </cell>
          <cell r="B5704" t="str">
            <v>CLAMP,S81,CSK,94-3/4,2-7/16STRT,WLD</v>
          </cell>
          <cell r="C5704" t="str">
            <v>EA</v>
          </cell>
          <cell r="D5704" t="str">
            <v>MA100</v>
          </cell>
          <cell r="E5704">
            <v>91.241500000000002</v>
          </cell>
          <cell r="G5704">
            <v>126890</v>
          </cell>
        </row>
        <row r="5705">
          <cell r="A5705">
            <v>126891</v>
          </cell>
          <cell r="B5705" t="str">
            <v>CLAMP,S81,CSK,94-3/4,1-5/8STRT,WLD</v>
          </cell>
          <cell r="C5705" t="str">
            <v>EA</v>
          </cell>
          <cell r="D5705" t="str">
            <v>MA100</v>
          </cell>
          <cell r="E5705">
            <v>78.761499999999998</v>
          </cell>
          <cell r="G5705">
            <v>126891</v>
          </cell>
        </row>
        <row r="5706">
          <cell r="A5706">
            <v>126892</v>
          </cell>
          <cell r="B5706" t="str">
            <v>CLAMP,S81,CSK,94-3/4,3-1/4STRT,TPT,CUT</v>
          </cell>
          <cell r="C5706" t="str">
            <v>EA</v>
          </cell>
          <cell r="D5706" t="str">
            <v>MA100</v>
          </cell>
          <cell r="E5706">
            <v>10.595700000000001</v>
          </cell>
          <cell r="G5706">
            <v>126892</v>
          </cell>
        </row>
        <row r="5707">
          <cell r="A5707">
            <v>126893</v>
          </cell>
          <cell r="B5707" t="str">
            <v>CLAMP,S81,CSK,94-3/4,2-7/16STRT,TPT,CUT</v>
          </cell>
          <cell r="C5707" t="str">
            <v>EA</v>
          </cell>
          <cell r="D5707" t="str">
            <v>MA100</v>
          </cell>
          <cell r="E5707">
            <v>10.595700000000001</v>
          </cell>
          <cell r="G5707">
            <v>126893</v>
          </cell>
        </row>
        <row r="5708">
          <cell r="A5708">
            <v>126894</v>
          </cell>
          <cell r="B5708" t="str">
            <v>CLAMP,S81,CSK,94-3/4,1-5/8STRT,TPT,CUT</v>
          </cell>
          <cell r="C5708" t="str">
            <v>EA</v>
          </cell>
          <cell r="D5708" t="str">
            <v>MA100</v>
          </cell>
          <cell r="E5708">
            <v>10.595700000000001</v>
          </cell>
          <cell r="G5708">
            <v>126894</v>
          </cell>
        </row>
        <row r="5709">
          <cell r="A5709">
            <v>126895</v>
          </cell>
          <cell r="B5709" t="str">
            <v>CLAMP,S81,CSK,94-3/4,3-1/4STRT,WLD,CUT</v>
          </cell>
          <cell r="C5709" t="str">
            <v>EA</v>
          </cell>
          <cell r="D5709" t="str">
            <v>MA100</v>
          </cell>
          <cell r="E5709">
            <v>42.362699999999997</v>
          </cell>
          <cell r="G5709">
            <v>126895</v>
          </cell>
        </row>
        <row r="5710">
          <cell r="A5710">
            <v>126896</v>
          </cell>
          <cell r="B5710" t="str">
            <v>CLAMP,S81,CSK,94-3/4,2-7/16STRT,WLD,CUT</v>
          </cell>
          <cell r="C5710" t="str">
            <v>EA</v>
          </cell>
          <cell r="D5710" t="str">
            <v>MA100</v>
          </cell>
          <cell r="E5710">
            <v>42.362699999999997</v>
          </cell>
          <cell r="G5710">
            <v>126896</v>
          </cell>
        </row>
        <row r="5711">
          <cell r="A5711">
            <v>126897</v>
          </cell>
          <cell r="B5711" t="str">
            <v>CLAMP,S81,CSK,94-3/4,1-5/8STRT,WLD,CUT</v>
          </cell>
          <cell r="C5711" t="str">
            <v>EA</v>
          </cell>
          <cell r="D5711" t="str">
            <v>MA100</v>
          </cell>
          <cell r="E5711">
            <v>42.362699999999997</v>
          </cell>
          <cell r="G5711">
            <v>126897</v>
          </cell>
        </row>
        <row r="5712">
          <cell r="A5712">
            <v>126898</v>
          </cell>
          <cell r="B5712" t="str">
            <v>CLAMP,S81,CSK,46-3/4</v>
          </cell>
          <cell r="C5712" t="str">
            <v>EA</v>
          </cell>
          <cell r="D5712" t="str">
            <v>MA100</v>
          </cell>
          <cell r="E5712">
            <v>18.976500000000001</v>
          </cell>
          <cell r="G5712">
            <v>126898</v>
          </cell>
        </row>
        <row r="5713">
          <cell r="A5713">
            <v>126899</v>
          </cell>
          <cell r="B5713" t="str">
            <v>CLAMP,S81,CSK,46-3/4,CUT</v>
          </cell>
          <cell r="C5713" t="str">
            <v>EA</v>
          </cell>
          <cell r="D5713" t="str">
            <v>MA100</v>
          </cell>
          <cell r="E5713">
            <v>30.749500000000001</v>
          </cell>
          <cell r="G5713">
            <v>126899</v>
          </cell>
        </row>
        <row r="5714">
          <cell r="A5714">
            <v>126900</v>
          </cell>
          <cell r="B5714" t="str">
            <v>CLAMP,S81,CSK,46-3/4,3-1/4STRT,TPT</v>
          </cell>
          <cell r="C5714" t="str">
            <v>EA</v>
          </cell>
          <cell r="D5714" t="str">
            <v>MA100</v>
          </cell>
          <cell r="E5714">
            <v>47.966500000000003</v>
          </cell>
          <cell r="G5714">
            <v>126900</v>
          </cell>
        </row>
        <row r="5715">
          <cell r="A5715">
            <v>126901</v>
          </cell>
          <cell r="B5715" t="str">
            <v>CLAMP,S81,CSK,46-3/4,2-7/16STRT,TPT</v>
          </cell>
          <cell r="C5715" t="str">
            <v>EA</v>
          </cell>
          <cell r="D5715" t="str">
            <v>MA100</v>
          </cell>
          <cell r="E5715">
            <v>5.8864999999999998</v>
          </cell>
          <cell r="G5715">
            <v>126901</v>
          </cell>
        </row>
        <row r="5716">
          <cell r="A5716">
            <v>126902</v>
          </cell>
          <cell r="B5716" t="str">
            <v>CLAMP,S81,CSK,46-3/4,1-5/8STRT,TPT</v>
          </cell>
          <cell r="C5716" t="str">
            <v>EA</v>
          </cell>
          <cell r="D5716" t="str">
            <v>MA100</v>
          </cell>
          <cell r="E5716">
            <v>5.8864999999999998</v>
          </cell>
          <cell r="G5716">
            <v>126902</v>
          </cell>
        </row>
        <row r="5717">
          <cell r="A5717">
            <v>126903</v>
          </cell>
          <cell r="B5717" t="str">
            <v>CLAMP,S81,CSK,46-3/4,3-1/4STRT,WLD</v>
          </cell>
          <cell r="C5717" t="str">
            <v>EA</v>
          </cell>
          <cell r="D5717" t="str">
            <v>MA100</v>
          </cell>
          <cell r="E5717">
            <v>36.6815</v>
          </cell>
          <cell r="G5717">
            <v>126903</v>
          </cell>
        </row>
        <row r="5718">
          <cell r="A5718">
            <v>126904</v>
          </cell>
          <cell r="B5718" t="str">
            <v>CLAMP,S81,CSK,46-3/4,2-7/16STRT,WLD</v>
          </cell>
          <cell r="C5718" t="str">
            <v>EA</v>
          </cell>
          <cell r="D5718" t="str">
            <v>MA100</v>
          </cell>
          <cell r="E5718">
            <v>36.6815</v>
          </cell>
          <cell r="G5718">
            <v>126904</v>
          </cell>
        </row>
        <row r="5719">
          <cell r="A5719">
            <v>126905</v>
          </cell>
          <cell r="B5719" t="str">
            <v>CLAMP,S81,CSK,46-3/4,1-5/8STRT,WLD</v>
          </cell>
          <cell r="C5719" t="str">
            <v>EA</v>
          </cell>
          <cell r="D5719" t="str">
            <v>MA100</v>
          </cell>
          <cell r="E5719">
            <v>36.6815</v>
          </cell>
          <cell r="G5719">
            <v>126905</v>
          </cell>
        </row>
        <row r="5720">
          <cell r="A5720">
            <v>126906</v>
          </cell>
          <cell r="B5720" t="str">
            <v>CLAMP,S81,CSK,46-3/4,3-1/4STRT,TPT,CUT</v>
          </cell>
          <cell r="C5720" t="str">
            <v>EA</v>
          </cell>
          <cell r="D5720" t="str">
            <v>MA100</v>
          </cell>
          <cell r="E5720">
            <v>10.595700000000001</v>
          </cell>
          <cell r="G5720">
            <v>126906</v>
          </cell>
        </row>
        <row r="5721">
          <cell r="A5721">
            <v>126907</v>
          </cell>
          <cell r="B5721" t="str">
            <v>CLAMP,S81CSK,46-3/4,2-7/16STRT,TPT,CUT</v>
          </cell>
          <cell r="C5721" t="str">
            <v>EA</v>
          </cell>
          <cell r="D5721" t="str">
            <v>MA100</v>
          </cell>
          <cell r="E5721">
            <v>10.595700000000001</v>
          </cell>
          <cell r="G5721">
            <v>126907</v>
          </cell>
        </row>
        <row r="5722">
          <cell r="A5722">
            <v>126908</v>
          </cell>
          <cell r="B5722" t="str">
            <v>CLAMP,S81,CSK,46-3/4,1-5/8STRT,TPT,CUT</v>
          </cell>
          <cell r="C5722" t="str">
            <v>EA</v>
          </cell>
          <cell r="D5722" t="str">
            <v>MA100</v>
          </cell>
          <cell r="E5722">
            <v>10.595700000000001</v>
          </cell>
          <cell r="G5722">
            <v>126908</v>
          </cell>
        </row>
        <row r="5723">
          <cell r="A5723">
            <v>126909</v>
          </cell>
          <cell r="B5723" t="str">
            <v>CLAMP,S81,CSK,46-3/4,3-1/4STRT,WLD,CUT</v>
          </cell>
          <cell r="C5723" t="str">
            <v>EA</v>
          </cell>
          <cell r="D5723" t="str">
            <v>MA100</v>
          </cell>
          <cell r="E5723">
            <v>42.362699999999997</v>
          </cell>
          <cell r="G5723">
            <v>126909</v>
          </cell>
        </row>
        <row r="5724">
          <cell r="A5724">
            <v>126910</v>
          </cell>
          <cell r="B5724" t="str">
            <v>CLAMP,S81,CSK,46-3/4,2-7/16STRT,WLD,CUT</v>
          </cell>
          <cell r="C5724" t="str">
            <v>EA</v>
          </cell>
          <cell r="D5724" t="str">
            <v>MA100</v>
          </cell>
          <cell r="E5724">
            <v>42.362699999999997</v>
          </cell>
          <cell r="G5724">
            <v>126910</v>
          </cell>
        </row>
        <row r="5725">
          <cell r="A5725">
            <v>126911</v>
          </cell>
          <cell r="B5725" t="str">
            <v>CLAMP,S81,CSK,46-3/4,1-5/8STRT,WLD,CUT</v>
          </cell>
          <cell r="C5725" t="str">
            <v>EA</v>
          </cell>
          <cell r="D5725" t="str">
            <v>MA100</v>
          </cell>
          <cell r="E5725">
            <v>42.362699999999997</v>
          </cell>
          <cell r="G5725">
            <v>126911</v>
          </cell>
        </row>
        <row r="5726">
          <cell r="A5726">
            <v>126912</v>
          </cell>
          <cell r="B5726" t="str">
            <v>CLAMP,S81,CORNER,142-3/4</v>
          </cell>
          <cell r="C5726" t="str">
            <v>EA</v>
          </cell>
          <cell r="D5726" t="str">
            <v>MA100</v>
          </cell>
          <cell r="E5726">
            <v>37.116500000000002</v>
          </cell>
          <cell r="G5726">
            <v>126912</v>
          </cell>
        </row>
        <row r="5727">
          <cell r="A5727">
            <v>126913</v>
          </cell>
          <cell r="B5727" t="str">
            <v>CLAMP,S81,CORNER,142-3/4,CUT</v>
          </cell>
          <cell r="C5727" t="str">
            <v>EA</v>
          </cell>
          <cell r="D5727" t="str">
            <v>MA100</v>
          </cell>
          <cell r="E5727">
            <v>48.889499999999998</v>
          </cell>
          <cell r="G5727">
            <v>126913</v>
          </cell>
        </row>
        <row r="5728">
          <cell r="A5728">
            <v>126914</v>
          </cell>
          <cell r="B5728" t="str">
            <v>CLAMP,S81,CORNER,118-3/4</v>
          </cell>
          <cell r="C5728" t="str">
            <v>EA</v>
          </cell>
          <cell r="D5728" t="str">
            <v>MA100</v>
          </cell>
          <cell r="E5728">
            <v>37.0657</v>
          </cell>
          <cell r="G5728">
            <v>126914</v>
          </cell>
        </row>
        <row r="5729">
          <cell r="A5729">
            <v>126915</v>
          </cell>
          <cell r="B5729" t="str">
            <v>CLAMP,S81,CORNER,118-3/4,CUT</v>
          </cell>
          <cell r="C5729" t="str">
            <v>EA</v>
          </cell>
          <cell r="D5729" t="str">
            <v>MA100</v>
          </cell>
          <cell r="E5729">
            <v>44.1295</v>
          </cell>
          <cell r="G5729">
            <v>126915</v>
          </cell>
        </row>
        <row r="5730">
          <cell r="A5730">
            <v>126916</v>
          </cell>
          <cell r="B5730" t="str">
            <v>CLAMP,S81,CORNER,94-3/4</v>
          </cell>
          <cell r="C5730" t="str">
            <v>EA</v>
          </cell>
          <cell r="D5730" t="str">
            <v>MA100</v>
          </cell>
          <cell r="E5730">
            <v>27.8065</v>
          </cell>
          <cell r="G5730">
            <v>126916</v>
          </cell>
        </row>
        <row r="5731">
          <cell r="A5731">
            <v>126917</v>
          </cell>
          <cell r="B5731" t="str">
            <v>CLAMP,S81,CORNER,94-3/4,CUT</v>
          </cell>
          <cell r="C5731" t="str">
            <v>EA</v>
          </cell>
          <cell r="D5731" t="str">
            <v>MA100</v>
          </cell>
          <cell r="E5731">
            <v>39.579500000000003</v>
          </cell>
          <cell r="G5731">
            <v>126917</v>
          </cell>
        </row>
        <row r="5732">
          <cell r="A5732">
            <v>126918</v>
          </cell>
          <cell r="B5732" t="str">
            <v>EVO 4' AIR FRAME W/ 40MMx80MM PROFILE</v>
          </cell>
          <cell r="C5732" t="str">
            <v>EA</v>
          </cell>
          <cell r="D5732" t="str">
            <v>RM100</v>
          </cell>
          <cell r="E5732">
            <v>402.22</v>
          </cell>
          <cell r="G5732">
            <v>126918</v>
          </cell>
        </row>
        <row r="5733">
          <cell r="A5733">
            <v>126925</v>
          </cell>
          <cell r="B5733" t="str">
            <v>EXTRUSION,AL 6063T6,EVO NUT BAR</v>
          </cell>
          <cell r="C5733" t="str">
            <v>EA</v>
          </cell>
          <cell r="D5733" t="str">
            <v>RM100</v>
          </cell>
          <cell r="E5733">
            <v>0</v>
          </cell>
          <cell r="G5733">
            <v>126925</v>
          </cell>
        </row>
        <row r="5734">
          <cell r="A5734">
            <v>126945</v>
          </cell>
          <cell r="B5734" t="str">
            <v>EVO NUT BAR, HINGE SIDE</v>
          </cell>
          <cell r="C5734" t="str">
            <v>EA</v>
          </cell>
          <cell r="D5734" t="str">
            <v>RM100</v>
          </cell>
          <cell r="E5734">
            <v>0</v>
          </cell>
          <cell r="G5734">
            <v>126945</v>
          </cell>
        </row>
        <row r="5735">
          <cell r="A5735">
            <v>126946</v>
          </cell>
          <cell r="B5735" t="str">
            <v>EVO NUT BAR, LATCH SIDE</v>
          </cell>
          <cell r="C5735" t="str">
            <v>EA</v>
          </cell>
          <cell r="D5735" t="str">
            <v>RM100</v>
          </cell>
          <cell r="E5735">
            <v>0</v>
          </cell>
          <cell r="G5735">
            <v>126946</v>
          </cell>
        </row>
        <row r="5736">
          <cell r="A5736">
            <v>126947</v>
          </cell>
          <cell r="B5736" t="str">
            <v>EVO NUT BAR, PNEUMATIC SIDE, 4' NOM</v>
          </cell>
          <cell r="C5736" t="str">
            <v>EA</v>
          </cell>
          <cell r="D5736" t="str">
            <v>RM100</v>
          </cell>
          <cell r="E5736">
            <v>0</v>
          </cell>
          <cell r="G5736">
            <v>126947</v>
          </cell>
        </row>
        <row r="5737">
          <cell r="A5737">
            <v>126948</v>
          </cell>
          <cell r="B5737" t="str">
            <v>EVO NUT BAR, FRONT SIDE, 4' NOM</v>
          </cell>
          <cell r="C5737" t="str">
            <v>EA</v>
          </cell>
          <cell r="D5737" t="str">
            <v>RM100</v>
          </cell>
          <cell r="E5737">
            <v>0</v>
          </cell>
          <cell r="G5737">
            <v>126948</v>
          </cell>
        </row>
        <row r="5738">
          <cell r="A5738">
            <v>126949</v>
          </cell>
          <cell r="B5738" t="str">
            <v>CART,45.63 x 49.87 x 95,LIFTABLE</v>
          </cell>
          <cell r="C5738" t="str">
            <v>EA</v>
          </cell>
          <cell r="D5738" t="str">
            <v>MA100</v>
          </cell>
          <cell r="E5738">
            <v>2976.1352400000001</v>
          </cell>
          <cell r="G5738">
            <v>126949</v>
          </cell>
        </row>
        <row r="5739">
          <cell r="A5739">
            <v>126951</v>
          </cell>
          <cell r="B5739" t="str">
            <v>ANGLE,3"x3"x3/16",92-5/8"LONG,STEEL</v>
          </cell>
          <cell r="C5739" t="str">
            <v>EA</v>
          </cell>
          <cell r="D5739" t="str">
            <v>MA100</v>
          </cell>
          <cell r="E5739">
            <v>34.974600000000002</v>
          </cell>
          <cell r="G5739">
            <v>126951</v>
          </cell>
        </row>
        <row r="5740">
          <cell r="A5740">
            <v>126952</v>
          </cell>
          <cell r="B5740" t="str">
            <v>ANGLE,3"x3"x3/16",46"LONG,STEEL,W/HOLES</v>
          </cell>
          <cell r="C5740" t="str">
            <v>EA</v>
          </cell>
          <cell r="D5740" t="str">
            <v>MA100</v>
          </cell>
          <cell r="E5740">
            <v>97.229799999999997</v>
          </cell>
          <cell r="G5740">
            <v>126952</v>
          </cell>
        </row>
        <row r="5741">
          <cell r="A5741">
            <v>126953</v>
          </cell>
          <cell r="B5741" t="str">
            <v>ANGLE,6x3.5x3/8,5" LONG,CASTER MOUNT</v>
          </cell>
          <cell r="C5741" t="str">
            <v>EA</v>
          </cell>
          <cell r="D5741" t="str">
            <v>MA100</v>
          </cell>
          <cell r="E5741">
            <v>91.029799999999994</v>
          </cell>
          <cell r="G5741">
            <v>126953</v>
          </cell>
        </row>
        <row r="5742">
          <cell r="A5742">
            <v>126954</v>
          </cell>
          <cell r="B5742" t="str">
            <v>PLATE,8x8x1/4,STEEL,CASTER CART BRACE</v>
          </cell>
          <cell r="C5742" t="str">
            <v>EA</v>
          </cell>
          <cell r="D5742" t="str">
            <v>MA100</v>
          </cell>
          <cell r="E5742">
            <v>91.161050000000003</v>
          </cell>
          <cell r="G5742">
            <v>126954</v>
          </cell>
        </row>
        <row r="5743">
          <cell r="A5743">
            <v>126955</v>
          </cell>
          <cell r="B5743" t="str">
            <v>PLATE,8x5.5x1/4,STEEL,CASTER CART BRACE</v>
          </cell>
          <cell r="C5743" t="str">
            <v>EA</v>
          </cell>
          <cell r="D5743" t="str">
            <v>MA100</v>
          </cell>
          <cell r="E5743">
            <v>208.47816</v>
          </cell>
          <cell r="G5743">
            <v>126955</v>
          </cell>
        </row>
        <row r="5744">
          <cell r="A5744">
            <v>126964</v>
          </cell>
          <cell r="B5744" t="str">
            <v>WINDOW COPPER FRAME CAP</v>
          </cell>
          <cell r="C5744" t="str">
            <v>EA</v>
          </cell>
          <cell r="D5744" t="str">
            <v>RM100</v>
          </cell>
          <cell r="E5744">
            <v>0</v>
          </cell>
          <cell r="G5744">
            <v>126964</v>
          </cell>
        </row>
        <row r="5745">
          <cell r="A5745">
            <v>126965</v>
          </cell>
          <cell r="B5745" t="str">
            <v>EVO AIR WINDOW TRIM</v>
          </cell>
          <cell r="C5745" t="str">
            <v>FT</v>
          </cell>
          <cell r="D5745" t="str">
            <v>RM100</v>
          </cell>
          <cell r="E5745">
            <v>0</v>
          </cell>
          <cell r="G5745">
            <v>126965</v>
          </cell>
        </row>
        <row r="5746">
          <cell r="A5746">
            <v>126966</v>
          </cell>
          <cell r="B5746" t="str">
            <v>EVO, LATCH SUPPORT BLOCK</v>
          </cell>
          <cell r="C5746" t="str">
            <v>EA</v>
          </cell>
          <cell r="D5746" t="str">
            <v>RM100</v>
          </cell>
          <cell r="E5746">
            <v>20.505400000000002</v>
          </cell>
          <cell r="G5746">
            <v>126966</v>
          </cell>
        </row>
        <row r="5747">
          <cell r="A5747">
            <v>126967</v>
          </cell>
          <cell r="B5747" t="str">
            <v>PUSH-TO-CONNECT FITTING,ELBOW, #10-32</v>
          </cell>
          <cell r="C5747" t="str">
            <v>EA</v>
          </cell>
          <cell r="D5747" t="str">
            <v>RM100</v>
          </cell>
          <cell r="E5747">
            <v>0</v>
          </cell>
          <cell r="G5747">
            <v>126967</v>
          </cell>
        </row>
        <row r="5748">
          <cell r="A5748">
            <v>126970</v>
          </cell>
          <cell r="B5748" t="str">
            <v>EVO44 DOOR SLAB,48",OS,RH,WI</v>
          </cell>
          <cell r="C5748" t="str">
            <v>EA</v>
          </cell>
          <cell r="D5748" t="str">
            <v>MA100</v>
          </cell>
          <cell r="E5748">
            <v>2393.6318999999999</v>
          </cell>
          <cell r="G5748">
            <v>126970</v>
          </cell>
        </row>
        <row r="5749">
          <cell r="A5749">
            <v>126984</v>
          </cell>
          <cell r="B5749" t="str">
            <v>ANGLE,2"x2"x13 5/8",3/16" STL,MITER</v>
          </cell>
          <cell r="C5749" t="str">
            <v>EA</v>
          </cell>
          <cell r="D5749" t="str">
            <v>MA100</v>
          </cell>
          <cell r="E5749">
            <v>31.498000000000001</v>
          </cell>
          <cell r="G5749">
            <v>126984</v>
          </cell>
        </row>
        <row r="5750">
          <cell r="A5750">
            <v>126985</v>
          </cell>
          <cell r="B5750" t="str">
            <v>ANGLE,2"x2"x15 5/8",3/16" STL,MITER</v>
          </cell>
          <cell r="C5750" t="str">
            <v>EA</v>
          </cell>
          <cell r="D5750" t="str">
            <v>MA100</v>
          </cell>
          <cell r="E5750">
            <v>31.498000000000001</v>
          </cell>
          <cell r="G5750">
            <v>126985</v>
          </cell>
        </row>
        <row r="5751">
          <cell r="A5751">
            <v>126986</v>
          </cell>
          <cell r="B5751" t="str">
            <v>ANGLE,2"x2"x29 5/8",3/16" STL,MITER</v>
          </cell>
          <cell r="C5751" t="str">
            <v>EA</v>
          </cell>
          <cell r="D5751" t="str">
            <v>MA100</v>
          </cell>
          <cell r="E5751">
            <v>36.658000000000001</v>
          </cell>
          <cell r="G5751">
            <v>126986</v>
          </cell>
        </row>
        <row r="5752">
          <cell r="A5752">
            <v>126987</v>
          </cell>
          <cell r="B5752" t="str">
            <v>ANGLE,2"x2"x39 5/8",3/16" STL,MITER</v>
          </cell>
          <cell r="C5752" t="str">
            <v>EA</v>
          </cell>
          <cell r="D5752" t="str">
            <v>MA100</v>
          </cell>
          <cell r="E5752">
            <v>41.817999999999998</v>
          </cell>
          <cell r="G5752">
            <v>126987</v>
          </cell>
        </row>
        <row r="5753">
          <cell r="A5753">
            <v>126988</v>
          </cell>
          <cell r="B5753" t="str">
            <v>FRAME,13 5/8" X 39 5/8"CO,2" STL ANG</v>
          </cell>
          <cell r="C5753" t="str">
            <v>EA</v>
          </cell>
          <cell r="D5753" t="str">
            <v>MA100</v>
          </cell>
          <cell r="E5753">
            <v>263.11099999999999</v>
          </cell>
          <cell r="G5753">
            <v>126988</v>
          </cell>
        </row>
        <row r="5754">
          <cell r="A5754">
            <v>126989</v>
          </cell>
          <cell r="B5754" t="str">
            <v>FRAME,15 5/8" X 29 5/8"CO,2" STL ANG</v>
          </cell>
          <cell r="C5754" t="str">
            <v>EA</v>
          </cell>
          <cell r="D5754" t="str">
            <v>MA100</v>
          </cell>
          <cell r="E5754">
            <v>252.791</v>
          </cell>
          <cell r="G5754">
            <v>126989</v>
          </cell>
        </row>
        <row r="5755">
          <cell r="A5755">
            <v>126990</v>
          </cell>
          <cell r="B5755" t="str">
            <v>CORE,WGAV,STL,3/16"CELL,13 5/8" X39 5/8"</v>
          </cell>
          <cell r="C5755" t="str">
            <v>EA</v>
          </cell>
          <cell r="D5755" t="str">
            <v>MA100</v>
          </cell>
          <cell r="E5755">
            <v>292</v>
          </cell>
          <cell r="G5755">
            <v>126990</v>
          </cell>
        </row>
        <row r="5756">
          <cell r="A5756">
            <v>126991</v>
          </cell>
          <cell r="B5756" t="str">
            <v>CORE,WGAV,STL,3/16"CELL,15 5/8" X29 5/8"</v>
          </cell>
          <cell r="C5756" t="str">
            <v>EA</v>
          </cell>
          <cell r="D5756" t="str">
            <v>MA100</v>
          </cell>
          <cell r="E5756">
            <v>255.5</v>
          </cell>
          <cell r="G5756">
            <v>126991</v>
          </cell>
        </row>
        <row r="5757">
          <cell r="A5757">
            <v>126992</v>
          </cell>
          <cell r="B5757" t="str">
            <v>VENT,13 5/8" X 39 5/8"CO,2" STL ANG</v>
          </cell>
          <cell r="C5757" t="str">
            <v>EA</v>
          </cell>
          <cell r="D5757" t="str">
            <v>MA100</v>
          </cell>
          <cell r="E5757">
            <v>728.90099999999995</v>
          </cell>
          <cell r="G5757">
            <v>126992</v>
          </cell>
        </row>
        <row r="5758">
          <cell r="A5758">
            <v>126993</v>
          </cell>
          <cell r="B5758" t="str">
            <v>VENT,15 5/8" X 29 5/8"CO,2" STL ANG</v>
          </cell>
          <cell r="C5758" t="str">
            <v>EA</v>
          </cell>
          <cell r="D5758" t="str">
            <v>MA100</v>
          </cell>
          <cell r="E5758">
            <v>656.78099999999995</v>
          </cell>
          <cell r="G5758">
            <v>126993</v>
          </cell>
        </row>
        <row r="5759">
          <cell r="A5759">
            <v>126996</v>
          </cell>
          <cell r="B5759" t="str">
            <v>EVO WINDOW SUPPORT ANGLE</v>
          </cell>
          <cell r="C5759" t="str">
            <v>EA</v>
          </cell>
          <cell r="D5759" t="str">
            <v>RM100</v>
          </cell>
          <cell r="E5759">
            <v>0</v>
          </cell>
          <cell r="G5759">
            <v>126996</v>
          </cell>
        </row>
        <row r="5760">
          <cell r="A5760">
            <v>126997</v>
          </cell>
          <cell r="B5760" t="str">
            <v>VENT CORE BRASS,3/16",12.0 X 18.0</v>
          </cell>
          <cell r="C5760" t="str">
            <v>EA</v>
          </cell>
          <cell r="D5760" t="str">
            <v>MA100</v>
          </cell>
          <cell r="E5760">
            <v>93.215999999999994</v>
          </cell>
          <cell r="G5760">
            <v>126997</v>
          </cell>
        </row>
        <row r="5761">
          <cell r="A5761">
            <v>126998</v>
          </cell>
          <cell r="B5761" t="str">
            <v>VENT CORE BRASS,3/16",12.0 X 20.0</v>
          </cell>
          <cell r="C5761" t="str">
            <v>EA</v>
          </cell>
          <cell r="D5761" t="str">
            <v>MA100</v>
          </cell>
          <cell r="E5761">
            <v>100.24</v>
          </cell>
          <cell r="G5761">
            <v>126998</v>
          </cell>
        </row>
        <row r="5762">
          <cell r="A5762">
            <v>126999</v>
          </cell>
          <cell r="B5762" t="str">
            <v>VENT,WG,W/FLG (BRS) 12.0X18.0</v>
          </cell>
          <cell r="C5762" t="str">
            <v>EA</v>
          </cell>
          <cell r="D5762" t="str">
            <v>MA100</v>
          </cell>
          <cell r="E5762">
            <v>404.36205999999999</v>
          </cell>
          <cell r="G5762">
            <v>126999</v>
          </cell>
        </row>
        <row r="5763">
          <cell r="A5763">
            <v>127000</v>
          </cell>
          <cell r="B5763" t="str">
            <v>VENT,WG,W/FLG (BRS) 12.0X20.0</v>
          </cell>
          <cell r="C5763" t="str">
            <v>EA</v>
          </cell>
          <cell r="D5763" t="str">
            <v>MA100</v>
          </cell>
          <cell r="E5763">
            <v>171.80925999999999</v>
          </cell>
          <cell r="G5763">
            <v>127000</v>
          </cell>
        </row>
        <row r="5764">
          <cell r="A5764">
            <v>127003</v>
          </cell>
          <cell r="B5764" t="str">
            <v>TEMPLATE FOR MFG FABRICATED PARTS</v>
          </cell>
          <cell r="C5764" t="str">
            <v>EA</v>
          </cell>
          <cell r="D5764" t="str">
            <v>MA100</v>
          </cell>
          <cell r="E5764">
            <v>0</v>
          </cell>
          <cell r="G5764">
            <v>127003</v>
          </cell>
        </row>
        <row r="5765">
          <cell r="A5765">
            <v>127010</v>
          </cell>
          <cell r="B5765" t="str">
            <v>DR,RFD60 4X7,LH,PHEN HDL</v>
          </cell>
          <cell r="C5765" t="str">
            <v>EA</v>
          </cell>
          <cell r="D5765" t="str">
            <v>MA100</v>
          </cell>
          <cell r="E5765">
            <v>11210.80215</v>
          </cell>
          <cell r="G5765">
            <v>127010</v>
          </cell>
        </row>
        <row r="5766">
          <cell r="A5766">
            <v>127011</v>
          </cell>
          <cell r="B5766" t="str">
            <v>ASSY,DOOR,RFD60,4X7,RH,MAN,PHEN HDL</v>
          </cell>
          <cell r="C5766" t="str">
            <v>EA</v>
          </cell>
          <cell r="D5766" t="str">
            <v>MA100</v>
          </cell>
          <cell r="E5766">
            <v>4578.78485</v>
          </cell>
          <cell r="G5766">
            <v>127011</v>
          </cell>
        </row>
        <row r="5767">
          <cell r="A5767">
            <v>127012</v>
          </cell>
          <cell r="B5767" t="str">
            <v>DR,RFD60,4X7,RH,PHEN HDL</v>
          </cell>
          <cell r="C5767" t="str">
            <v>EA</v>
          </cell>
          <cell r="D5767" t="str">
            <v>MA100</v>
          </cell>
          <cell r="E5767">
            <v>10570.828149999999</v>
          </cell>
          <cell r="G5767">
            <v>127012</v>
          </cell>
        </row>
        <row r="5768">
          <cell r="A5768">
            <v>127020</v>
          </cell>
          <cell r="B5768" t="str">
            <v>DR,DKE,MAN,3X7,RH,ALUM HNDL</v>
          </cell>
          <cell r="C5768" t="str">
            <v>EA</v>
          </cell>
          <cell r="D5768" t="str">
            <v>MA100</v>
          </cell>
          <cell r="E5768">
            <v>18391.274239999999</v>
          </cell>
          <cell r="G5768">
            <v>127020</v>
          </cell>
        </row>
        <row r="5769">
          <cell r="A5769">
            <v>127025</v>
          </cell>
          <cell r="B5769" t="str">
            <v>DKE 3X7,JAMB CORE RH</v>
          </cell>
          <cell r="C5769" t="str">
            <v>EA</v>
          </cell>
          <cell r="D5769" t="str">
            <v>MA100</v>
          </cell>
          <cell r="E5769">
            <v>133.99639999999999</v>
          </cell>
          <cell r="G5769">
            <v>127025</v>
          </cell>
        </row>
        <row r="5770">
          <cell r="A5770">
            <v>127035</v>
          </cell>
          <cell r="B5770" t="str">
            <v>BAR,STABILIZER,4-TR 1M TRIPOD,CABLE TRAY</v>
          </cell>
          <cell r="C5770" t="str">
            <v>EA</v>
          </cell>
          <cell r="D5770" t="str">
            <v>RM100</v>
          </cell>
          <cell r="E5770">
            <v>100</v>
          </cell>
          <cell r="G5770">
            <v>127035</v>
          </cell>
        </row>
        <row r="5771">
          <cell r="A5771">
            <v>127038</v>
          </cell>
          <cell r="B5771" t="str">
            <v>ASSY,DOOR LEAF,DEC,19-1/4x53,10GHz,2WGAV</v>
          </cell>
          <cell r="C5771" t="str">
            <v>EA</v>
          </cell>
          <cell r="D5771" t="str">
            <v>MA100</v>
          </cell>
          <cell r="E5771">
            <v>3784.9594099999999</v>
          </cell>
          <cell r="G5771">
            <v>127038</v>
          </cell>
        </row>
        <row r="5772">
          <cell r="A5772">
            <v>127041</v>
          </cell>
          <cell r="B5772" t="str">
            <v>SPACER,DEC DOOR STRAP HINGE</v>
          </cell>
          <cell r="C5772" t="str">
            <v>EA</v>
          </cell>
          <cell r="D5772" t="str">
            <v>MA100</v>
          </cell>
          <cell r="E5772">
            <v>86.779250000000005</v>
          </cell>
          <cell r="G5772">
            <v>127041</v>
          </cell>
        </row>
        <row r="5773">
          <cell r="A5773">
            <v>127042</v>
          </cell>
          <cell r="B5773" t="str">
            <v>VENT,WG,3/16 STL,GALV FLG,8.5X14.0</v>
          </cell>
          <cell r="C5773" t="str">
            <v>EA</v>
          </cell>
          <cell r="D5773" t="str">
            <v>MA100</v>
          </cell>
          <cell r="E5773">
            <v>117.44704</v>
          </cell>
          <cell r="G5773">
            <v>127042</v>
          </cell>
        </row>
        <row r="5774">
          <cell r="A5774">
            <v>127043</v>
          </cell>
          <cell r="B5774" t="str">
            <v>VENT CORE STL,3/16",8.5 X 14.0</v>
          </cell>
          <cell r="C5774" t="str">
            <v>EA</v>
          </cell>
          <cell r="D5774" t="str">
            <v>MA100</v>
          </cell>
          <cell r="E5774">
            <v>60.59</v>
          </cell>
          <cell r="G5774">
            <v>127043</v>
          </cell>
        </row>
        <row r="5775">
          <cell r="A5775">
            <v>127044</v>
          </cell>
          <cell r="B5775" t="str">
            <v>FLANGE,VENT,1X1,STL,14.0</v>
          </cell>
          <cell r="C5775" t="str">
            <v>EA</v>
          </cell>
          <cell r="D5775" t="str">
            <v>MA100</v>
          </cell>
          <cell r="E5775">
            <v>2.3185099999999998</v>
          </cell>
          <cell r="G5775">
            <v>127044</v>
          </cell>
        </row>
        <row r="5776">
          <cell r="A5776">
            <v>127045</v>
          </cell>
          <cell r="B5776" t="str">
            <v>FLANGE,VENT,1X1,STL,8.5,W/NOTCH</v>
          </cell>
          <cell r="C5776" t="str">
            <v>EA</v>
          </cell>
          <cell r="D5776" t="str">
            <v>MA100</v>
          </cell>
          <cell r="E5776">
            <v>2.3185099999999998</v>
          </cell>
          <cell r="G5776">
            <v>127045</v>
          </cell>
        </row>
        <row r="5777">
          <cell r="A5777">
            <v>127050</v>
          </cell>
          <cell r="B5777" t="str">
            <v>DOOR JAMB,DEC,19-1/4x53,LOW PROFILE,WOOD</v>
          </cell>
          <cell r="C5777" t="str">
            <v>EA</v>
          </cell>
          <cell r="D5777" t="str">
            <v>MA100</v>
          </cell>
          <cell r="E5777">
            <v>206.51</v>
          </cell>
          <cell r="G5777">
            <v>127050</v>
          </cell>
        </row>
        <row r="5778">
          <cell r="A5778">
            <v>127051</v>
          </cell>
          <cell r="B5778" t="str">
            <v>ASSY,DOOR JAMB,DEC,19-1/4x53,LOW PROFILE</v>
          </cell>
          <cell r="C5778" t="str">
            <v>EA</v>
          </cell>
          <cell r="D5778" t="str">
            <v>MA100</v>
          </cell>
          <cell r="E5778">
            <v>520.17268000000001</v>
          </cell>
          <cell r="G5778">
            <v>127051</v>
          </cell>
        </row>
        <row r="5779">
          <cell r="A5779">
            <v>127052</v>
          </cell>
          <cell r="B5779" t="str">
            <v>ANGLE,1-1/4x3/4,21-5/8 LONG,11 GA STEEL</v>
          </cell>
          <cell r="C5779" t="str">
            <v>EA</v>
          </cell>
          <cell r="D5779" t="str">
            <v>MA100</v>
          </cell>
          <cell r="E5779">
            <v>65.520099999999999</v>
          </cell>
          <cell r="G5779">
            <v>127052</v>
          </cell>
        </row>
        <row r="5780">
          <cell r="A5780">
            <v>127053</v>
          </cell>
          <cell r="B5780" t="str">
            <v>ANGLE,1-1/4x3/4,53 LONG,11 GA STEEL</v>
          </cell>
          <cell r="C5780" t="str">
            <v>EA</v>
          </cell>
          <cell r="D5780" t="str">
            <v>MA100</v>
          </cell>
          <cell r="E5780">
            <v>66.575999999999993</v>
          </cell>
          <cell r="G5780">
            <v>127053</v>
          </cell>
        </row>
        <row r="5781">
          <cell r="A5781">
            <v>127055</v>
          </cell>
          <cell r="B5781" t="str">
            <v>ASSY,DOOR,DEC,19-1/4x53,10G,LOW-PRO JAMB</v>
          </cell>
          <cell r="C5781" t="str">
            <v>EA</v>
          </cell>
          <cell r="D5781" t="str">
            <v>MA100</v>
          </cell>
          <cell r="E5781">
            <v>5086.2415700000001</v>
          </cell>
          <cell r="G5781">
            <v>127055</v>
          </cell>
        </row>
        <row r="5782">
          <cell r="A5782">
            <v>127056</v>
          </cell>
          <cell r="B5782" t="str">
            <v>BAR,HORIZONTAL,FREE,CABLE TRAY,4-TR</v>
          </cell>
          <cell r="C5782" t="str">
            <v>EA</v>
          </cell>
          <cell r="D5782" t="str">
            <v>MA100</v>
          </cell>
          <cell r="E5782">
            <v>188.99719999999999</v>
          </cell>
          <cell r="G5782">
            <v>127056</v>
          </cell>
        </row>
        <row r="5783">
          <cell r="A5783">
            <v>127057</v>
          </cell>
          <cell r="B5783" t="str">
            <v>LATCH RECEIVER,5281,LOW-PRO JAMB</v>
          </cell>
          <cell r="C5783" t="str">
            <v>EA</v>
          </cell>
          <cell r="D5783" t="str">
            <v>MA100</v>
          </cell>
          <cell r="E5783">
            <v>74.483000000000004</v>
          </cell>
          <cell r="G5783">
            <v>127057</v>
          </cell>
        </row>
        <row r="5784">
          <cell r="A5784" t="str">
            <v>127057PA</v>
          </cell>
          <cell r="B5784" t="str">
            <v>POWDERCOAT,127057</v>
          </cell>
          <cell r="C5784" t="str">
            <v>EA</v>
          </cell>
          <cell r="D5784" t="str">
            <v>MA100</v>
          </cell>
          <cell r="E5784">
            <v>1.0000000000000001E-5</v>
          </cell>
          <cell r="G5784" t="str">
            <v>127057PA</v>
          </cell>
        </row>
        <row r="5785">
          <cell r="A5785">
            <v>127058</v>
          </cell>
          <cell r="B5785" t="str">
            <v>BAR,LINK,CABLE TRAY,4-TR</v>
          </cell>
          <cell r="C5785" t="str">
            <v>EA</v>
          </cell>
          <cell r="D5785" t="str">
            <v>MA100</v>
          </cell>
          <cell r="E5785">
            <v>157.04179999999999</v>
          </cell>
          <cell r="G5785">
            <v>127058</v>
          </cell>
        </row>
        <row r="5786">
          <cell r="A5786">
            <v>127059</v>
          </cell>
          <cell r="B5786" t="str">
            <v>DOOR LEAF,DEC,19-1/4x53,WOOD CORE</v>
          </cell>
          <cell r="C5786" t="str">
            <v>EA</v>
          </cell>
          <cell r="D5786" t="str">
            <v>MA100</v>
          </cell>
          <cell r="E5786">
            <v>347.39940000000001</v>
          </cell>
          <cell r="G5786">
            <v>127059</v>
          </cell>
        </row>
        <row r="5787">
          <cell r="A5787">
            <v>127060</v>
          </cell>
          <cell r="B5787" t="str">
            <v>DOOR LEAF SKIN,DEC,19-1/4x53,INTERIOR</v>
          </cell>
          <cell r="C5787" t="str">
            <v>EA</v>
          </cell>
          <cell r="D5787" t="str">
            <v>MA100</v>
          </cell>
          <cell r="E5787">
            <v>35.700000000000003</v>
          </cell>
          <cell r="G5787">
            <v>127060</v>
          </cell>
        </row>
        <row r="5788">
          <cell r="A5788">
            <v>127061</v>
          </cell>
          <cell r="B5788" t="str">
            <v>DOOR LEAF SKIN,DEC,19-1/4x53,EXTERIOR</v>
          </cell>
          <cell r="C5788" t="str">
            <v>EA</v>
          </cell>
          <cell r="D5788" t="str">
            <v>MA100</v>
          </cell>
          <cell r="E5788">
            <v>35.700000000000003</v>
          </cell>
          <cell r="G5788">
            <v>127061</v>
          </cell>
        </row>
        <row r="5789">
          <cell r="A5789">
            <v>127062</v>
          </cell>
          <cell r="B5789" t="str">
            <v>DOOR LEAF VENT CAP,8-3/4",DEC</v>
          </cell>
          <cell r="C5789" t="str">
            <v>EA</v>
          </cell>
          <cell r="D5789" t="str">
            <v>MA100</v>
          </cell>
          <cell r="E5789">
            <v>0.35699999999999998</v>
          </cell>
          <cell r="G5789">
            <v>127062</v>
          </cell>
        </row>
        <row r="5790">
          <cell r="A5790">
            <v>127063</v>
          </cell>
          <cell r="B5790" t="str">
            <v>DOOR LEAF VENT CAP,14-1/4",DEC</v>
          </cell>
          <cell r="C5790" t="str">
            <v>EA</v>
          </cell>
          <cell r="D5790" t="str">
            <v>MA100</v>
          </cell>
          <cell r="E5790">
            <v>0.35699999999999998</v>
          </cell>
          <cell r="G5790">
            <v>127063</v>
          </cell>
        </row>
        <row r="5791">
          <cell r="A5791">
            <v>127064</v>
          </cell>
          <cell r="B5791" t="str">
            <v>TRIM,T/M T/B,3x22-1/2x1/8,10GHZ,BCHR*</v>
          </cell>
          <cell r="C5791" t="str">
            <v>EA</v>
          </cell>
          <cell r="D5791" t="str">
            <v>RM100</v>
          </cell>
          <cell r="E5791">
            <v>70.81</v>
          </cell>
          <cell r="G5791">
            <v>127064</v>
          </cell>
        </row>
        <row r="5792">
          <cell r="A5792">
            <v>127065</v>
          </cell>
          <cell r="B5792" t="str">
            <v>TRIM,T/M T/B,3x50-1/4x1/8,10GHZ,BCHR*</v>
          </cell>
          <cell r="C5792" t="str">
            <v>EA</v>
          </cell>
          <cell r="D5792" t="str">
            <v>RM100</v>
          </cell>
          <cell r="E5792">
            <v>124.52</v>
          </cell>
          <cell r="G5792">
            <v>127065</v>
          </cell>
        </row>
        <row r="5793">
          <cell r="A5793">
            <v>127076</v>
          </cell>
          <cell r="B5793" t="str">
            <v>WINDOW FRAME SPACER,28.25"</v>
          </cell>
          <cell r="C5793" t="str">
            <v>EA</v>
          </cell>
          <cell r="D5793" t="str">
            <v>RM100</v>
          </cell>
          <cell r="E5793">
            <v>0</v>
          </cell>
          <cell r="G5793">
            <v>127076</v>
          </cell>
        </row>
        <row r="5794">
          <cell r="A5794">
            <v>127077</v>
          </cell>
          <cell r="B5794" t="str">
            <v>WINDOW FRAME SPACER,WELDMENT</v>
          </cell>
          <cell r="C5794" t="str">
            <v>EA</v>
          </cell>
          <cell r="D5794" t="str">
            <v>RM100</v>
          </cell>
          <cell r="E5794">
            <v>133.88999999999999</v>
          </cell>
          <cell r="G5794">
            <v>127077</v>
          </cell>
        </row>
        <row r="5795">
          <cell r="A5795">
            <v>127078</v>
          </cell>
          <cell r="B5795" t="str">
            <v>WINDOW FRAME SPACER,26.25"</v>
          </cell>
          <cell r="C5795" t="str">
            <v>EA</v>
          </cell>
          <cell r="D5795" t="str">
            <v>RM100</v>
          </cell>
          <cell r="E5795">
            <v>0</v>
          </cell>
          <cell r="G5795">
            <v>127078</v>
          </cell>
        </row>
        <row r="5796">
          <cell r="A5796">
            <v>127080</v>
          </cell>
          <cell r="B5796" t="str">
            <v>PLATE,TOP/BOTTOM,AIR CYL SUPPORT,36" NOM</v>
          </cell>
          <cell r="C5796" t="str">
            <v>EA</v>
          </cell>
          <cell r="D5796" t="str">
            <v>RM100</v>
          </cell>
          <cell r="E5796">
            <v>0</v>
          </cell>
          <cell r="G5796">
            <v>127080</v>
          </cell>
        </row>
        <row r="5797">
          <cell r="A5797">
            <v>127081</v>
          </cell>
          <cell r="B5797" t="str">
            <v>WINDOW FRAME SPACER,HOLE TEMPLATE</v>
          </cell>
          <cell r="C5797" t="str">
            <v>EA</v>
          </cell>
          <cell r="D5797" t="str">
            <v>RM100</v>
          </cell>
          <cell r="E5797">
            <v>784.67</v>
          </cell>
          <cell r="G5797">
            <v>127081</v>
          </cell>
        </row>
        <row r="5798">
          <cell r="A5798">
            <v>127082</v>
          </cell>
          <cell r="B5798" t="str">
            <v>BUSHING,DRILL,5/16"IDX1/2"ODX1/2"L,HEAD</v>
          </cell>
          <cell r="C5798" t="str">
            <v>EA</v>
          </cell>
          <cell r="D5798" t="str">
            <v>RM100</v>
          </cell>
          <cell r="E5798">
            <v>0</v>
          </cell>
          <cell r="G5798">
            <v>127082</v>
          </cell>
        </row>
        <row r="5799">
          <cell r="A5799">
            <v>127090</v>
          </cell>
          <cell r="B5799" t="str">
            <v>WELDMENT,H&amp;F FRAME,22"X50-3/4"</v>
          </cell>
          <cell r="C5799" t="str">
            <v>EA</v>
          </cell>
          <cell r="D5799" t="str">
            <v>MA100</v>
          </cell>
          <cell r="E5799">
            <v>263.88400000000001</v>
          </cell>
          <cell r="G5799">
            <v>127090</v>
          </cell>
        </row>
        <row r="5800">
          <cell r="A5800">
            <v>127091</v>
          </cell>
          <cell r="B5800" t="str">
            <v>PANEL,S81,19-1/4"x48",(2)6X6 CPA OPENING</v>
          </cell>
          <cell r="C5800" t="str">
            <v>EA</v>
          </cell>
          <cell r="D5800" t="str">
            <v>MA100</v>
          </cell>
          <cell r="E5800">
            <v>107.95263</v>
          </cell>
          <cell r="G5800">
            <v>127091</v>
          </cell>
        </row>
        <row r="5801">
          <cell r="A5801">
            <v>127092</v>
          </cell>
          <cell r="B5801" t="str">
            <v>CPA-6X6-G-WELD ON FOLDING HANDLE</v>
          </cell>
          <cell r="C5801" t="str">
            <v>EA</v>
          </cell>
          <cell r="D5801" t="str">
            <v>MA100</v>
          </cell>
          <cell r="E5801">
            <v>872.68539999999996</v>
          </cell>
          <cell r="G5801">
            <v>127092</v>
          </cell>
        </row>
        <row r="5802">
          <cell r="A5802">
            <v>127093</v>
          </cell>
          <cell r="B5802" t="str">
            <v>HANDLE,FOLDING,WELD ON,SURFACE MOUNT</v>
          </cell>
          <cell r="C5802" t="str">
            <v>EA</v>
          </cell>
          <cell r="D5802" t="str">
            <v>RM100</v>
          </cell>
          <cell r="E5802">
            <v>6.69</v>
          </cell>
          <cell r="G5802">
            <v>127093</v>
          </cell>
        </row>
        <row r="5803">
          <cell r="A5803">
            <v>127094</v>
          </cell>
          <cell r="B5803" t="str">
            <v>ASSY,S81 PANEL,19-1/4x48,REMOVABLE,2HDLS</v>
          </cell>
          <cell r="C5803" t="str">
            <v>EA</v>
          </cell>
          <cell r="D5803" t="str">
            <v>MA100</v>
          </cell>
          <cell r="E5803">
            <v>2118.3022299999998</v>
          </cell>
          <cell r="G5803">
            <v>127094</v>
          </cell>
        </row>
        <row r="5804">
          <cell r="A5804">
            <v>127096</v>
          </cell>
          <cell r="B5804" t="str">
            <v>CPA-6x6-B-4WGF6</v>
          </cell>
          <cell r="C5804" t="str">
            <v>EA</v>
          </cell>
          <cell r="D5804" t="str">
            <v>MA100</v>
          </cell>
          <cell r="E5804">
            <v>1185.35276</v>
          </cell>
          <cell r="G5804">
            <v>127096</v>
          </cell>
        </row>
        <row r="5805">
          <cell r="A5805">
            <v>127098</v>
          </cell>
          <cell r="B5805" t="str">
            <v>VENT,WG,3/16 STL,GALV FLG,6.0X13.5</v>
          </cell>
          <cell r="C5805" t="str">
            <v>EA</v>
          </cell>
          <cell r="D5805" t="str">
            <v>MA100</v>
          </cell>
          <cell r="E5805">
            <v>117.447</v>
          </cell>
          <cell r="G5805">
            <v>127098</v>
          </cell>
        </row>
        <row r="5806">
          <cell r="A5806">
            <v>127099</v>
          </cell>
          <cell r="B5806" t="str">
            <v>VENT CORE STL,3/16",6.0 X 13.5</v>
          </cell>
          <cell r="C5806" t="str">
            <v>EA</v>
          </cell>
          <cell r="D5806" t="str">
            <v>MA100</v>
          </cell>
          <cell r="E5806">
            <v>60.59</v>
          </cell>
          <cell r="G5806">
            <v>127099</v>
          </cell>
        </row>
        <row r="5807">
          <cell r="A5807">
            <v>127100</v>
          </cell>
          <cell r="B5807" t="str">
            <v>FLANGE,VENT,1X1,STL,13.5,W/NOTCH</v>
          </cell>
          <cell r="C5807" t="str">
            <v>EA</v>
          </cell>
          <cell r="D5807" t="str">
            <v>MA100</v>
          </cell>
          <cell r="E5807">
            <v>3.0139100000000001</v>
          </cell>
          <cell r="G5807">
            <v>127100</v>
          </cell>
        </row>
        <row r="5808">
          <cell r="A5808">
            <v>127106</v>
          </cell>
          <cell r="B5808" t="str">
            <v>CLAMP,S81,STD,142-3/4,WELD TO BEAM</v>
          </cell>
          <cell r="C5808" t="str">
            <v>EA</v>
          </cell>
          <cell r="D5808" t="str">
            <v>MA100</v>
          </cell>
          <cell r="E5808">
            <v>36.186500000000002</v>
          </cell>
          <cell r="G5808">
            <v>127106</v>
          </cell>
        </row>
        <row r="5809">
          <cell r="A5809">
            <v>127107</v>
          </cell>
          <cell r="B5809" t="str">
            <v>CLAMP,S81,STD,142-3/4,WELD TO BEAM,CUT</v>
          </cell>
          <cell r="C5809" t="str">
            <v>EA</v>
          </cell>
          <cell r="D5809" t="str">
            <v>MA100</v>
          </cell>
          <cell r="E5809">
            <v>40.895699999999998</v>
          </cell>
          <cell r="G5809">
            <v>127107</v>
          </cell>
        </row>
        <row r="5810">
          <cell r="A5810">
            <v>127108</v>
          </cell>
          <cell r="B5810" t="str">
            <v>CLAMP,S81,STD,118-3/4,WELD TO BEAM</v>
          </cell>
          <cell r="C5810" t="str">
            <v>EA</v>
          </cell>
          <cell r="D5810" t="str">
            <v>MA100</v>
          </cell>
          <cell r="E5810">
            <v>37.332999999999998</v>
          </cell>
          <cell r="G5810">
            <v>127108</v>
          </cell>
        </row>
        <row r="5811">
          <cell r="A5811">
            <v>127109</v>
          </cell>
          <cell r="B5811" t="str">
            <v>CLAMP,S81,STD,118-3/4,WELD TO BEAM,CUT</v>
          </cell>
          <cell r="C5811" t="str">
            <v>EA</v>
          </cell>
          <cell r="D5811" t="str">
            <v>MA100</v>
          </cell>
          <cell r="E5811">
            <v>31.4465</v>
          </cell>
          <cell r="G5811">
            <v>127109</v>
          </cell>
        </row>
        <row r="5812">
          <cell r="A5812">
            <v>127110</v>
          </cell>
          <cell r="B5812" t="str">
            <v>CLAMP,S81,STD,94-3/4,WELD TO BEAM</v>
          </cell>
          <cell r="C5812" t="str">
            <v>EA</v>
          </cell>
          <cell r="D5812" t="str">
            <v>MA100</v>
          </cell>
          <cell r="E5812">
            <v>26.906500000000001</v>
          </cell>
          <cell r="G5812">
            <v>127110</v>
          </cell>
        </row>
        <row r="5813">
          <cell r="A5813">
            <v>127111</v>
          </cell>
          <cell r="B5813" t="str">
            <v>CLAMP,S81,STD,94-3/4,WELD TO BEAM,CUT</v>
          </cell>
          <cell r="C5813" t="str">
            <v>EA</v>
          </cell>
          <cell r="D5813" t="str">
            <v>MA100</v>
          </cell>
          <cell r="E5813">
            <v>26.906500000000001</v>
          </cell>
          <cell r="G5813">
            <v>127111</v>
          </cell>
        </row>
        <row r="5814">
          <cell r="A5814">
            <v>127112</v>
          </cell>
          <cell r="B5814" t="str">
            <v>CLAMP,S81,STD,46-3/4,WELD TO BEAM</v>
          </cell>
          <cell r="C5814" t="str">
            <v>EA</v>
          </cell>
          <cell r="D5814" t="str">
            <v>MA100</v>
          </cell>
          <cell r="E5814">
            <v>18.156500000000001</v>
          </cell>
          <cell r="G5814">
            <v>127112</v>
          </cell>
        </row>
        <row r="5815">
          <cell r="A5815">
            <v>127113</v>
          </cell>
          <cell r="B5815" t="str">
            <v>CLAMP,S81,STD,46-3/4,WELD TO BEAM,CUT</v>
          </cell>
          <cell r="C5815" t="str">
            <v>EA</v>
          </cell>
          <cell r="D5815" t="str">
            <v>MA100</v>
          </cell>
          <cell r="E5815">
            <v>18.156500000000001</v>
          </cell>
          <cell r="G5815">
            <v>127113</v>
          </cell>
        </row>
        <row r="5816">
          <cell r="A5816">
            <v>127114</v>
          </cell>
          <cell r="B5816" t="str">
            <v>CLAMP,S81,CSK,142-3/4,WELD TO BEAM</v>
          </cell>
          <cell r="C5816" t="str">
            <v>EA</v>
          </cell>
          <cell r="D5816" t="str">
            <v>MA100</v>
          </cell>
          <cell r="E5816">
            <v>38.686500000000002</v>
          </cell>
          <cell r="G5816">
            <v>127114</v>
          </cell>
        </row>
        <row r="5817">
          <cell r="A5817">
            <v>127115</v>
          </cell>
          <cell r="B5817" t="str">
            <v>CLAMP,S81,CSK,142-3/4,WELD TO BEAM,CUT</v>
          </cell>
          <cell r="C5817" t="str">
            <v>EA</v>
          </cell>
          <cell r="D5817" t="str">
            <v>MA100</v>
          </cell>
          <cell r="E5817">
            <v>38.686500000000002</v>
          </cell>
          <cell r="G5817">
            <v>127115</v>
          </cell>
        </row>
        <row r="5818">
          <cell r="A5818">
            <v>127116</v>
          </cell>
          <cell r="B5818" t="str">
            <v>CLAMP,S81,CSK,118-3/4,WELD TO BEAM</v>
          </cell>
          <cell r="C5818" t="str">
            <v>EA</v>
          </cell>
          <cell r="D5818" t="str">
            <v>MA100</v>
          </cell>
          <cell r="E5818">
            <v>33.516500000000001</v>
          </cell>
          <cell r="G5818">
            <v>127116</v>
          </cell>
        </row>
        <row r="5819">
          <cell r="A5819">
            <v>127117</v>
          </cell>
          <cell r="B5819" t="str">
            <v>CLAMP,S81,CSK,118-3/4,WELD TO BEAM,CUT</v>
          </cell>
          <cell r="C5819" t="str">
            <v>EA</v>
          </cell>
          <cell r="D5819" t="str">
            <v>MA100</v>
          </cell>
          <cell r="E5819">
            <v>33.516500000000001</v>
          </cell>
          <cell r="G5819">
            <v>127117</v>
          </cell>
        </row>
        <row r="5820">
          <cell r="A5820">
            <v>127118</v>
          </cell>
          <cell r="B5820" t="str">
            <v>CLAMP,S81,CSK,94-3/4,WELD TO BEAM</v>
          </cell>
          <cell r="C5820" t="str">
            <v>EA</v>
          </cell>
          <cell r="D5820" t="str">
            <v>MA100</v>
          </cell>
          <cell r="E5820">
            <v>28.566500000000001</v>
          </cell>
          <cell r="G5820">
            <v>127118</v>
          </cell>
        </row>
        <row r="5821">
          <cell r="A5821">
            <v>127119</v>
          </cell>
          <cell r="B5821" t="str">
            <v>CLAMP,S81,CSK,94-3/4,WELD TO BEAM,CUT</v>
          </cell>
          <cell r="C5821" t="str">
            <v>EA</v>
          </cell>
          <cell r="D5821" t="str">
            <v>MA100</v>
          </cell>
          <cell r="E5821">
            <v>28.566500000000001</v>
          </cell>
          <cell r="G5821">
            <v>127119</v>
          </cell>
        </row>
        <row r="5822">
          <cell r="A5822">
            <v>127120</v>
          </cell>
          <cell r="B5822" t="str">
            <v>CLAMP,S81,CSK,46-3/4,WELD TO BEAM</v>
          </cell>
          <cell r="C5822" t="str">
            <v>EA</v>
          </cell>
          <cell r="D5822" t="str">
            <v>MA100</v>
          </cell>
          <cell r="E5822">
            <v>18.976500000000001</v>
          </cell>
          <cell r="G5822">
            <v>127120</v>
          </cell>
        </row>
        <row r="5823">
          <cell r="A5823">
            <v>127121</v>
          </cell>
          <cell r="B5823" t="str">
            <v>CLAMP,S81,CSK,46-3/4,WELD TO BEAM,CUT</v>
          </cell>
          <cell r="C5823" t="str">
            <v>EA</v>
          </cell>
          <cell r="D5823" t="str">
            <v>MA100</v>
          </cell>
          <cell r="E5823">
            <v>24.863</v>
          </cell>
          <cell r="G5823">
            <v>127121</v>
          </cell>
        </row>
        <row r="5824">
          <cell r="A5824">
            <v>127122</v>
          </cell>
          <cell r="B5824" t="str">
            <v>EXTRUSION, 40mmx80mm, #AFP1078</v>
          </cell>
          <cell r="C5824" t="str">
            <v>EA</v>
          </cell>
          <cell r="D5824" t="str">
            <v>RM100</v>
          </cell>
          <cell r="E5824">
            <v>0</v>
          </cell>
          <cell r="G5824">
            <v>127122</v>
          </cell>
        </row>
        <row r="5825">
          <cell r="A5825">
            <v>127123</v>
          </cell>
          <cell r="B5825" t="str">
            <v>EXTRUSION, 40mmx40mm, #AFP1077</v>
          </cell>
          <cell r="C5825" t="str">
            <v>EA</v>
          </cell>
          <cell r="D5825" t="str">
            <v>RM100</v>
          </cell>
          <cell r="E5825">
            <v>0</v>
          </cell>
          <cell r="G5825">
            <v>127123</v>
          </cell>
        </row>
        <row r="5826">
          <cell r="A5826">
            <v>127124</v>
          </cell>
          <cell r="B5826" t="str">
            <v>EXTRUSION, 40mmx40mm, #AFP1076</v>
          </cell>
          <cell r="C5826" t="str">
            <v>EA</v>
          </cell>
          <cell r="D5826" t="str">
            <v>RM100</v>
          </cell>
          <cell r="E5826">
            <v>0</v>
          </cell>
          <cell r="G5826">
            <v>127124</v>
          </cell>
        </row>
        <row r="5827">
          <cell r="A5827">
            <v>127128</v>
          </cell>
          <cell r="B5827" t="str">
            <v>EXTRU, MAYTEC PROFILE, 40x80, IOSD 6’6"</v>
          </cell>
          <cell r="C5827" t="str">
            <v>EA</v>
          </cell>
          <cell r="D5827" t="str">
            <v>RM100</v>
          </cell>
          <cell r="E5827">
            <v>0</v>
          </cell>
          <cell r="G5827">
            <v>127128</v>
          </cell>
        </row>
        <row r="5828">
          <cell r="A5828">
            <v>127129</v>
          </cell>
          <cell r="B5828" t="str">
            <v>EXTRU, MAYTEC PROFILE, 40x80, IOSD 6’6"</v>
          </cell>
          <cell r="C5828" t="str">
            <v>EA</v>
          </cell>
          <cell r="D5828" t="str">
            <v>RM100</v>
          </cell>
          <cell r="E5828">
            <v>0</v>
          </cell>
          <cell r="G5828">
            <v>127129</v>
          </cell>
        </row>
        <row r="5829">
          <cell r="A5829">
            <v>127130</v>
          </cell>
          <cell r="B5829" t="str">
            <v>FRAME, IOSD, DOOR, 6'6"</v>
          </cell>
          <cell r="C5829" t="str">
            <v>EA</v>
          </cell>
          <cell r="D5829" t="str">
            <v>RM100</v>
          </cell>
          <cell r="E5829">
            <v>0</v>
          </cell>
          <cell r="G5829">
            <v>127130</v>
          </cell>
        </row>
        <row r="5830">
          <cell r="A5830">
            <v>127132</v>
          </cell>
          <cell r="B5830" t="str">
            <v>CP-18X18-G-(4)3"DIA HOLES</v>
          </cell>
          <cell r="C5830" t="str">
            <v>EA</v>
          </cell>
          <cell r="D5830" t="str">
            <v>MA100</v>
          </cell>
          <cell r="E5830">
            <v>45.581000000000003</v>
          </cell>
          <cell r="G5830">
            <v>127132</v>
          </cell>
        </row>
        <row r="5831">
          <cell r="A5831">
            <v>127133</v>
          </cell>
          <cell r="B5831" t="str">
            <v>CPA-18X18-G-(4)3"DIA SS TUBES w/ FLANGE</v>
          </cell>
          <cell r="C5831" t="str">
            <v>EA</v>
          </cell>
          <cell r="D5831" t="str">
            <v>MA100</v>
          </cell>
          <cell r="E5831">
            <v>1016.9244</v>
          </cell>
          <cell r="G5831">
            <v>127133</v>
          </cell>
        </row>
        <row r="5832">
          <cell r="A5832">
            <v>127134</v>
          </cell>
          <cell r="B5832" t="str">
            <v>CP-18X18-G-(4)3"DIA SS TUBE w/ FLANGE</v>
          </cell>
          <cell r="C5832" t="str">
            <v>EA</v>
          </cell>
          <cell r="D5832" t="str">
            <v>MA100</v>
          </cell>
          <cell r="E5832">
            <v>0</v>
          </cell>
          <cell r="G5832">
            <v>127134</v>
          </cell>
        </row>
        <row r="5833">
          <cell r="A5833">
            <v>127135</v>
          </cell>
          <cell r="B5833" t="str">
            <v>FLANGE,3" DIA PIPE,SS,WELD-ON</v>
          </cell>
          <cell r="C5833" t="str">
            <v>EA</v>
          </cell>
          <cell r="D5833" t="str">
            <v>RM100</v>
          </cell>
          <cell r="E5833">
            <v>0</v>
          </cell>
          <cell r="G5833">
            <v>127135</v>
          </cell>
        </row>
        <row r="5834">
          <cell r="A5834">
            <v>127136</v>
          </cell>
          <cell r="B5834" t="str">
            <v>TUBE,3" DIAx6"x0.12 WALL,SS</v>
          </cell>
          <cell r="C5834" t="str">
            <v>EA</v>
          </cell>
          <cell r="D5834" t="str">
            <v>MA100</v>
          </cell>
          <cell r="E5834">
            <v>0</v>
          </cell>
          <cell r="G5834">
            <v>127136</v>
          </cell>
        </row>
        <row r="5835">
          <cell r="A5835">
            <v>127137</v>
          </cell>
          <cell r="B5835" t="str">
            <v>CORE,WGAV,S/S,3"DIAx1/8" CELLx1",W/O FLG</v>
          </cell>
          <cell r="C5835" t="str">
            <v>EA</v>
          </cell>
          <cell r="D5835" t="str">
            <v>MA100</v>
          </cell>
          <cell r="E5835">
            <v>78.528490000000005</v>
          </cell>
          <cell r="G5835">
            <v>127137</v>
          </cell>
        </row>
        <row r="5836">
          <cell r="A5836">
            <v>127143</v>
          </cell>
          <cell r="B5836" t="str">
            <v>SKIN, IOSD, DOOR RF SHIELD, 6’6" WIDE CO</v>
          </cell>
          <cell r="C5836" t="str">
            <v>EA</v>
          </cell>
          <cell r="D5836" t="str">
            <v>RM100</v>
          </cell>
          <cell r="E5836">
            <v>0</v>
          </cell>
          <cell r="G5836">
            <v>127143</v>
          </cell>
        </row>
        <row r="5837">
          <cell r="A5837">
            <v>127144</v>
          </cell>
          <cell r="B5837" t="str">
            <v>DOOR ASSY, IOSD, 6’6, RH</v>
          </cell>
          <cell r="C5837" t="str">
            <v>EA</v>
          </cell>
          <cell r="D5837" t="str">
            <v>MA100</v>
          </cell>
          <cell r="E5837">
            <v>0</v>
          </cell>
          <cell r="G5837">
            <v>127144</v>
          </cell>
        </row>
        <row r="5838">
          <cell r="A5838">
            <v>127145</v>
          </cell>
          <cell r="B5838" t="str">
            <v>EXTRUSION, NUT BAR, AFP-1081</v>
          </cell>
          <cell r="C5838" t="str">
            <v>EA</v>
          </cell>
          <cell r="D5838" t="str">
            <v>MA100</v>
          </cell>
          <cell r="E5838">
            <v>0</v>
          </cell>
          <cell r="G5838">
            <v>127145</v>
          </cell>
        </row>
        <row r="5839">
          <cell r="A5839">
            <v>127149</v>
          </cell>
          <cell r="B5839" t="str">
            <v>NUT BAR, T-SLOT, 10-24, 4”SPC, 32-INCH</v>
          </cell>
          <cell r="C5839" t="str">
            <v>EA</v>
          </cell>
          <cell r="D5839" t="str">
            <v>MA100</v>
          </cell>
          <cell r="E5839">
            <v>0</v>
          </cell>
          <cell r="G5839">
            <v>127149</v>
          </cell>
        </row>
        <row r="5840">
          <cell r="A5840">
            <v>127150</v>
          </cell>
          <cell r="B5840" t="str">
            <v>EVO FRAME,WINDOW CHANNEL</v>
          </cell>
          <cell r="C5840" t="str">
            <v>EA</v>
          </cell>
          <cell r="D5840" t="str">
            <v>RM100</v>
          </cell>
          <cell r="E5840">
            <v>0</v>
          </cell>
          <cell r="G5840">
            <v>127150</v>
          </cell>
        </row>
        <row r="5841">
          <cell r="A5841">
            <v>127151</v>
          </cell>
          <cell r="B5841" t="str">
            <v>EVO FRAME,BOD CHANNEL</v>
          </cell>
          <cell r="C5841" t="str">
            <v>EA</v>
          </cell>
          <cell r="D5841" t="str">
            <v>RM100</v>
          </cell>
          <cell r="E5841">
            <v>0</v>
          </cell>
          <cell r="G5841">
            <v>127151</v>
          </cell>
        </row>
        <row r="5842">
          <cell r="A5842">
            <v>127152</v>
          </cell>
          <cell r="B5842" t="str">
            <v>EVO FRAME,7' NOM SIDE MEMBER</v>
          </cell>
          <cell r="C5842" t="str">
            <v>EA</v>
          </cell>
          <cell r="D5842" t="str">
            <v>RM100</v>
          </cell>
          <cell r="E5842">
            <v>0</v>
          </cell>
          <cell r="G5842">
            <v>127152</v>
          </cell>
        </row>
        <row r="5843">
          <cell r="A5843">
            <v>127153</v>
          </cell>
          <cell r="B5843" t="str">
            <v>EVO FRAME,3' NOM TOP/BOT MEMBER</v>
          </cell>
          <cell r="C5843" t="str">
            <v>EA</v>
          </cell>
          <cell r="D5843" t="str">
            <v>RM100</v>
          </cell>
          <cell r="E5843">
            <v>0</v>
          </cell>
          <cell r="G5843">
            <v>127153</v>
          </cell>
        </row>
        <row r="5844">
          <cell r="A5844">
            <v>127154</v>
          </cell>
          <cell r="B5844" t="str">
            <v>EVO FRAME,3' NOM CROSS</v>
          </cell>
          <cell r="C5844" t="str">
            <v>EA</v>
          </cell>
          <cell r="D5844" t="str">
            <v>RM100</v>
          </cell>
          <cell r="E5844">
            <v>0</v>
          </cell>
          <cell r="G5844">
            <v>127154</v>
          </cell>
        </row>
        <row r="5845">
          <cell r="A5845">
            <v>127155</v>
          </cell>
          <cell r="B5845" t="str">
            <v>EVO FRAME,3' NOM WIN VERT MEMBER</v>
          </cell>
          <cell r="C5845" t="str">
            <v>EA</v>
          </cell>
          <cell r="D5845" t="str">
            <v>RM100</v>
          </cell>
          <cell r="E5845">
            <v>0</v>
          </cell>
          <cell r="G5845">
            <v>127155</v>
          </cell>
        </row>
        <row r="5846">
          <cell r="A5846">
            <v>127156</v>
          </cell>
          <cell r="B5846" t="str">
            <v>EVO FRAME,3' NOM BOD VERT MEMBER</v>
          </cell>
          <cell r="C5846" t="str">
            <v>EA</v>
          </cell>
          <cell r="D5846" t="str">
            <v>RM100</v>
          </cell>
          <cell r="E5846">
            <v>0</v>
          </cell>
          <cell r="G5846">
            <v>127156</v>
          </cell>
        </row>
        <row r="5847">
          <cell r="A5847">
            <v>127157</v>
          </cell>
          <cell r="B5847" t="str">
            <v>EVO FRAME,4' NOM TOP/BOT MEMBER</v>
          </cell>
          <cell r="C5847" t="str">
            <v>EA</v>
          </cell>
          <cell r="D5847" t="str">
            <v>RM100</v>
          </cell>
          <cell r="E5847">
            <v>0</v>
          </cell>
          <cell r="G5847">
            <v>127157</v>
          </cell>
        </row>
        <row r="5848">
          <cell r="A5848">
            <v>127158</v>
          </cell>
          <cell r="B5848" t="str">
            <v>EVO FRAME,4' NOM CROSS</v>
          </cell>
          <cell r="C5848" t="str">
            <v>EA</v>
          </cell>
          <cell r="D5848" t="str">
            <v>RM100</v>
          </cell>
          <cell r="E5848">
            <v>0</v>
          </cell>
          <cell r="G5848">
            <v>127158</v>
          </cell>
        </row>
        <row r="5849">
          <cell r="A5849">
            <v>127159</v>
          </cell>
          <cell r="B5849" t="str">
            <v>EVO FRAME,4' NOM WIN HORZ MEMBER</v>
          </cell>
          <cell r="C5849" t="str">
            <v>EA</v>
          </cell>
          <cell r="D5849" t="str">
            <v>RM100</v>
          </cell>
          <cell r="E5849">
            <v>0</v>
          </cell>
          <cell r="G5849">
            <v>127159</v>
          </cell>
        </row>
        <row r="5850">
          <cell r="A5850">
            <v>127160</v>
          </cell>
          <cell r="B5850" t="str">
            <v>EVO FRAME,4' NOM BOD HORZ MEMBER</v>
          </cell>
          <cell r="C5850" t="str">
            <v>EA</v>
          </cell>
          <cell r="D5850" t="str">
            <v>RM100</v>
          </cell>
          <cell r="E5850">
            <v>0</v>
          </cell>
          <cell r="G5850">
            <v>127160</v>
          </cell>
        </row>
        <row r="5851">
          <cell r="A5851">
            <v>127161</v>
          </cell>
          <cell r="B5851" t="str">
            <v>EVO FRAME,4' NOM WIN VERT MEMBER</v>
          </cell>
          <cell r="C5851" t="str">
            <v>EA</v>
          </cell>
          <cell r="D5851" t="str">
            <v>RM100</v>
          </cell>
          <cell r="E5851">
            <v>0</v>
          </cell>
          <cell r="G5851">
            <v>127161</v>
          </cell>
        </row>
        <row r="5852">
          <cell r="A5852">
            <v>127162</v>
          </cell>
          <cell r="B5852" t="str">
            <v>EVO FRAME,4' NOM BOD VERT MEMBER</v>
          </cell>
          <cell r="C5852" t="str">
            <v>EA</v>
          </cell>
          <cell r="D5852" t="str">
            <v>RM100</v>
          </cell>
          <cell r="E5852">
            <v>0</v>
          </cell>
          <cell r="G5852">
            <v>127162</v>
          </cell>
        </row>
        <row r="5853">
          <cell r="A5853">
            <v>127163</v>
          </cell>
          <cell r="B5853" t="str">
            <v>NUT BAR, T-SLOT, 10-24, 4" SPC, 77-INCH</v>
          </cell>
          <cell r="C5853" t="str">
            <v>EA</v>
          </cell>
          <cell r="D5853" t="str">
            <v>MA100</v>
          </cell>
          <cell r="E5853">
            <v>0</v>
          </cell>
          <cell r="G5853">
            <v>127163</v>
          </cell>
        </row>
        <row r="5854">
          <cell r="A5854">
            <v>127164</v>
          </cell>
          <cell r="B5854" t="str">
            <v>SPACER, FRAME, IOSD, 32-INCH</v>
          </cell>
          <cell r="C5854" t="str">
            <v>EA</v>
          </cell>
          <cell r="D5854" t="str">
            <v>MA100</v>
          </cell>
          <cell r="E5854">
            <v>0</v>
          </cell>
          <cell r="G5854">
            <v>127164</v>
          </cell>
        </row>
        <row r="5855">
          <cell r="A5855">
            <v>127165</v>
          </cell>
          <cell r="B5855" t="str">
            <v>SPACER, FRAME, IOSD, 77-INCH</v>
          </cell>
          <cell r="C5855" t="str">
            <v>EA</v>
          </cell>
          <cell r="D5855" t="str">
            <v>MA100</v>
          </cell>
          <cell r="E5855">
            <v>0</v>
          </cell>
          <cell r="G5855">
            <v>127165</v>
          </cell>
        </row>
        <row r="5856">
          <cell r="A5856">
            <v>127167</v>
          </cell>
          <cell r="B5856" t="str">
            <v>PANEL,S81,PLYWOOD CORE,4'x8'</v>
          </cell>
          <cell r="C5856" t="str">
            <v>EA</v>
          </cell>
          <cell r="D5856" t="str">
            <v>MA100</v>
          </cell>
          <cell r="E5856">
            <v>128.78550000000001</v>
          </cell>
          <cell r="G5856">
            <v>127167</v>
          </cell>
        </row>
        <row r="5857">
          <cell r="A5857">
            <v>127168</v>
          </cell>
          <cell r="B5857" t="str">
            <v>PANEL,S81,PLYWOOD CORE,4'x8',CUT</v>
          </cell>
          <cell r="C5857" t="str">
            <v>EA</v>
          </cell>
          <cell r="D5857" t="str">
            <v>MA100</v>
          </cell>
          <cell r="E5857">
            <v>152.33150000000001</v>
          </cell>
          <cell r="G5857">
            <v>127168</v>
          </cell>
        </row>
        <row r="5858">
          <cell r="A5858">
            <v>127169</v>
          </cell>
          <cell r="B5858" t="str">
            <v>PANEL,S81,PLYWOOD CORE,4'x8',WITH VENT</v>
          </cell>
          <cell r="C5858" t="str">
            <v>EA</v>
          </cell>
          <cell r="D5858" t="str">
            <v>MA100</v>
          </cell>
          <cell r="E5858">
            <v>187.65049999999999</v>
          </cell>
          <cell r="G5858">
            <v>127169</v>
          </cell>
        </row>
        <row r="5859">
          <cell r="A5859">
            <v>127170</v>
          </cell>
          <cell r="B5859" t="str">
            <v>PANEL,S81,PLYWOOD CORE,4'x10'</v>
          </cell>
          <cell r="C5859" t="str">
            <v>EA</v>
          </cell>
          <cell r="D5859" t="str">
            <v>MA100</v>
          </cell>
          <cell r="E5859">
            <v>158.03749999999999</v>
          </cell>
          <cell r="G5859">
            <v>127170</v>
          </cell>
        </row>
        <row r="5860">
          <cell r="A5860">
            <v>127171</v>
          </cell>
          <cell r="B5860" t="str">
            <v>PANEL,S81,PLYWOOD CORE,4'x10',CUT</v>
          </cell>
          <cell r="C5860" t="str">
            <v>EA</v>
          </cell>
          <cell r="D5860" t="str">
            <v>MA100</v>
          </cell>
          <cell r="E5860">
            <v>181.58349999999999</v>
          </cell>
          <cell r="G5860">
            <v>127171</v>
          </cell>
        </row>
        <row r="5861">
          <cell r="A5861">
            <v>127172</v>
          </cell>
          <cell r="B5861" t="str">
            <v>PANEL,S81,PLYWOOD CORE,4'x10',WITH VENT</v>
          </cell>
          <cell r="C5861" t="str">
            <v>EA</v>
          </cell>
          <cell r="D5861" t="str">
            <v>MA100</v>
          </cell>
          <cell r="E5861">
            <v>216.9025</v>
          </cell>
          <cell r="G5861">
            <v>127172</v>
          </cell>
        </row>
        <row r="5862">
          <cell r="A5862">
            <v>127173</v>
          </cell>
          <cell r="B5862" t="str">
            <v>PANEL,S81,ALUM/GALV,4'x10'</v>
          </cell>
          <cell r="C5862" t="str">
            <v>EA</v>
          </cell>
          <cell r="D5862" t="str">
            <v>MA100</v>
          </cell>
          <cell r="E5862">
            <v>176.50299999999999</v>
          </cell>
          <cell r="G5862">
            <v>127173</v>
          </cell>
        </row>
        <row r="5863">
          <cell r="A5863">
            <v>127174</v>
          </cell>
          <cell r="B5863" t="str">
            <v>PANEL,S81,ALUM/GALV,4'x10',CUT</v>
          </cell>
          <cell r="C5863" t="str">
            <v>EA</v>
          </cell>
          <cell r="D5863" t="str">
            <v>MA100</v>
          </cell>
          <cell r="E5863">
            <v>200.04900000000001</v>
          </cell>
          <cell r="G5863">
            <v>127174</v>
          </cell>
        </row>
        <row r="5864">
          <cell r="A5864">
            <v>127175</v>
          </cell>
          <cell r="B5864" t="str">
            <v>PANEL,S81,ALUM/GALV,4'x10',WITH VENT</v>
          </cell>
          <cell r="C5864" t="str">
            <v>EA</v>
          </cell>
          <cell r="D5864" t="str">
            <v>MA100</v>
          </cell>
          <cell r="E5864">
            <v>235.36799999999999</v>
          </cell>
          <cell r="G5864">
            <v>127175</v>
          </cell>
        </row>
        <row r="5865">
          <cell r="A5865">
            <v>127176</v>
          </cell>
          <cell r="B5865" t="str">
            <v>PANEL,S81,3oz Cu/GALV,4'x10'</v>
          </cell>
          <cell r="C5865" t="str">
            <v>EA</v>
          </cell>
          <cell r="D5865" t="str">
            <v>MA100</v>
          </cell>
          <cell r="E5865">
            <v>116.54562</v>
          </cell>
          <cell r="G5865">
            <v>127176</v>
          </cell>
        </row>
        <row r="5866">
          <cell r="A5866">
            <v>127177</v>
          </cell>
          <cell r="B5866" t="str">
            <v>PANEL,S81,3oz Cu/GALV,4'x10',CUT</v>
          </cell>
          <cell r="C5866" t="str">
            <v>EA</v>
          </cell>
          <cell r="D5866" t="str">
            <v>MA100</v>
          </cell>
          <cell r="E5866">
            <v>140.09162000000001</v>
          </cell>
          <cell r="G5866">
            <v>127177</v>
          </cell>
        </row>
        <row r="5867">
          <cell r="A5867">
            <v>127178</v>
          </cell>
          <cell r="B5867" t="str">
            <v>PANEL,S81,3oz Cu/GALV,4'x10',WITH VENT</v>
          </cell>
          <cell r="C5867" t="str">
            <v>EA</v>
          </cell>
          <cell r="D5867" t="str">
            <v>MA100</v>
          </cell>
          <cell r="E5867">
            <v>175.41061999999999</v>
          </cell>
          <cell r="G5867">
            <v>127178</v>
          </cell>
        </row>
        <row r="5868">
          <cell r="A5868">
            <v>127179</v>
          </cell>
          <cell r="B5868" t="str">
            <v>EVO44 DOOR SLAB,48:,RH,NO</v>
          </cell>
          <cell r="C5868" t="str">
            <v>EA</v>
          </cell>
          <cell r="D5868" t="str">
            <v>MA100</v>
          </cell>
          <cell r="E5868">
            <v>0</v>
          </cell>
          <cell r="G5868">
            <v>127179</v>
          </cell>
        </row>
        <row r="5869">
          <cell r="A5869">
            <v>127180</v>
          </cell>
          <cell r="B5869" t="str">
            <v>EVO44 DOOR SLAB,36",LH,NO</v>
          </cell>
          <cell r="C5869" t="str">
            <v>EA</v>
          </cell>
          <cell r="D5869" t="str">
            <v>MA100</v>
          </cell>
          <cell r="E5869">
            <v>0</v>
          </cell>
          <cell r="G5869">
            <v>127180</v>
          </cell>
        </row>
        <row r="5870">
          <cell r="A5870">
            <v>127184</v>
          </cell>
          <cell r="B5870" t="str">
            <v>5204,T/M,WELDED ASSY,LARGE CON PNL</v>
          </cell>
          <cell r="C5870" t="str">
            <v>EA</v>
          </cell>
          <cell r="D5870" t="str">
            <v>MA100</v>
          </cell>
          <cell r="E5870">
            <v>501.11099999999999</v>
          </cell>
          <cell r="G5870">
            <v>127184</v>
          </cell>
        </row>
        <row r="5871">
          <cell r="A5871" t="str">
            <v>127184PA</v>
          </cell>
          <cell r="B5871" t="str">
            <v>POWDERCOAT5204,T/M,WELDED ASSY,LARGE CP</v>
          </cell>
          <cell r="C5871" t="str">
            <v>EA</v>
          </cell>
          <cell r="D5871" t="str">
            <v>MA100</v>
          </cell>
          <cell r="E5871">
            <v>1.0000000000000001E-5</v>
          </cell>
          <cell r="G5871" t="str">
            <v>127184PA</v>
          </cell>
        </row>
        <row r="5872">
          <cell r="A5872">
            <v>127185</v>
          </cell>
          <cell r="B5872" t="str">
            <v>5204,T/M,WELDED ASSY,LRG CP,SIDE 2 OF 2</v>
          </cell>
          <cell r="C5872" t="str">
            <v>EA</v>
          </cell>
          <cell r="D5872" t="str">
            <v>MA100</v>
          </cell>
          <cell r="E5872">
            <v>85.683999999999997</v>
          </cell>
          <cell r="G5872">
            <v>127185</v>
          </cell>
        </row>
        <row r="5873">
          <cell r="A5873">
            <v>127195</v>
          </cell>
          <cell r="B5873" t="str">
            <v>TEMPLATE FOR MFG FABRICATED PARTS</v>
          </cell>
          <cell r="C5873" t="str">
            <v>EA</v>
          </cell>
          <cell r="D5873" t="str">
            <v>MA100</v>
          </cell>
          <cell r="E5873">
            <v>0</v>
          </cell>
          <cell r="G5873">
            <v>127195</v>
          </cell>
        </row>
        <row r="5874">
          <cell r="A5874">
            <v>127198</v>
          </cell>
          <cell r="B5874" t="str">
            <v>DOOR TRESHOLD ISOLATOR,LH,78"</v>
          </cell>
          <cell r="C5874" t="str">
            <v>EA</v>
          </cell>
          <cell r="D5874" t="str">
            <v>MA100</v>
          </cell>
          <cell r="E5874">
            <v>81.880799999999994</v>
          </cell>
          <cell r="G5874">
            <v>127198</v>
          </cell>
        </row>
        <row r="5875">
          <cell r="A5875">
            <v>127199</v>
          </cell>
          <cell r="B5875" t="str">
            <v>DOOR TRESHOLD ISOLATOR, RH,78"</v>
          </cell>
          <cell r="C5875" t="str">
            <v>EA</v>
          </cell>
          <cell r="D5875" t="str">
            <v>MA100</v>
          </cell>
          <cell r="E5875">
            <v>0</v>
          </cell>
          <cell r="G5875">
            <v>127199</v>
          </cell>
        </row>
        <row r="5876">
          <cell r="A5876" t="str">
            <v>127210-OP</v>
          </cell>
          <cell r="B5876" t="str">
            <v>OUTSIDE PROCESS MACHINING OF 127210</v>
          </cell>
          <cell r="C5876" t="str">
            <v>EA</v>
          </cell>
          <cell r="D5876" t="str">
            <v>MA100</v>
          </cell>
          <cell r="E5876">
            <v>496</v>
          </cell>
          <cell r="G5876" t="str">
            <v>127210-OP</v>
          </cell>
        </row>
        <row r="5877">
          <cell r="A5877" t="str">
            <v>127213-OP</v>
          </cell>
          <cell r="B5877" t="str">
            <v>OUTSIDE PROCESS MACHINING OF 127213</v>
          </cell>
          <cell r="C5877" t="str">
            <v>EA</v>
          </cell>
          <cell r="D5877" t="str">
            <v>MA100</v>
          </cell>
          <cell r="E5877">
            <v>496</v>
          </cell>
          <cell r="G5877" t="str">
            <v>127213-OP</v>
          </cell>
        </row>
        <row r="5878">
          <cell r="A5878">
            <v>127218</v>
          </cell>
          <cell r="B5878" t="str">
            <v>COVER, JAMB HEADER,EVO, 36"</v>
          </cell>
          <cell r="C5878" t="str">
            <v>EA</v>
          </cell>
          <cell r="D5878" t="str">
            <v>RM100</v>
          </cell>
          <cell r="E5878">
            <v>0</v>
          </cell>
          <cell r="G5878">
            <v>127218</v>
          </cell>
        </row>
        <row r="5879">
          <cell r="A5879">
            <v>127219</v>
          </cell>
          <cell r="B5879" t="str">
            <v>GSKT, Zero#770AA, 3 FT</v>
          </cell>
          <cell r="C5879" t="str">
            <v>EA</v>
          </cell>
          <cell r="D5879" t="str">
            <v>RM100</v>
          </cell>
          <cell r="E5879">
            <v>0</v>
          </cell>
          <cell r="G5879">
            <v>127219</v>
          </cell>
        </row>
        <row r="5880">
          <cell r="A5880">
            <v>127221</v>
          </cell>
          <cell r="B5880" t="str">
            <v>BUSHING,PHENOLIC,.75" ID X 2.25" OD</v>
          </cell>
          <cell r="C5880" t="str">
            <v>EA</v>
          </cell>
          <cell r="D5880" t="str">
            <v>MA100</v>
          </cell>
          <cell r="E5880">
            <v>5.4859999999999998</v>
          </cell>
          <cell r="G5880">
            <v>127221</v>
          </cell>
        </row>
        <row r="5881">
          <cell r="A5881">
            <v>127222</v>
          </cell>
          <cell r="B5881" t="str">
            <v>CP-24X24-G-3" WG,1" WG,12" X 12" PANEL</v>
          </cell>
          <cell r="C5881" t="str">
            <v>EA</v>
          </cell>
          <cell r="D5881" t="str">
            <v>MA100</v>
          </cell>
          <cell r="E5881">
            <v>75.717200000000005</v>
          </cell>
          <cell r="G5881">
            <v>127222</v>
          </cell>
        </row>
        <row r="5882">
          <cell r="A5882">
            <v>127223</v>
          </cell>
          <cell r="B5882" t="str">
            <v>CPA-24X24-G-3" WG,1" WG,12" X 12" PANEL</v>
          </cell>
          <cell r="C5882" t="str">
            <v>EA</v>
          </cell>
          <cell r="D5882" t="str">
            <v>MA100</v>
          </cell>
          <cell r="E5882">
            <v>1062.7628</v>
          </cell>
          <cell r="G5882">
            <v>127223</v>
          </cell>
        </row>
        <row r="5883">
          <cell r="A5883">
            <v>127224</v>
          </cell>
          <cell r="B5883" t="str">
            <v>PANEL,BLANK,12.0"X12.0" OPENING</v>
          </cell>
          <cell r="C5883" t="str">
            <v>EA</v>
          </cell>
          <cell r="D5883" t="str">
            <v>MA100</v>
          </cell>
          <cell r="E5883">
            <v>36.8339</v>
          </cell>
          <cell r="G5883">
            <v>127224</v>
          </cell>
        </row>
        <row r="5884">
          <cell r="A5884">
            <v>127225</v>
          </cell>
          <cell r="B5884" t="str">
            <v>EXTRU, MAYTEC PROFILE,40X80, IOSD,77.425</v>
          </cell>
          <cell r="C5884" t="str">
            <v>EA</v>
          </cell>
          <cell r="D5884" t="str">
            <v>RM100</v>
          </cell>
          <cell r="E5884">
            <v>0</v>
          </cell>
          <cell r="G5884">
            <v>127225</v>
          </cell>
        </row>
        <row r="5885">
          <cell r="A5885">
            <v>127226</v>
          </cell>
          <cell r="B5885" t="str">
            <v>EXTRU, MAYTEC PROFILE,40X80, IOSD,32.500</v>
          </cell>
          <cell r="C5885" t="str">
            <v>EA</v>
          </cell>
          <cell r="D5885" t="str">
            <v>RM100</v>
          </cell>
          <cell r="E5885">
            <v>0</v>
          </cell>
          <cell r="G5885">
            <v>127226</v>
          </cell>
        </row>
        <row r="5886">
          <cell r="A5886">
            <v>127234</v>
          </cell>
          <cell r="B5886" t="str">
            <v>CONN,MAYTEC,1.21.4E0</v>
          </cell>
          <cell r="C5886" t="str">
            <v>EA</v>
          </cell>
          <cell r="D5886" t="str">
            <v>RM100</v>
          </cell>
          <cell r="E5886">
            <v>0</v>
          </cell>
          <cell r="G5886">
            <v>127234</v>
          </cell>
        </row>
        <row r="5887">
          <cell r="A5887">
            <v>127235</v>
          </cell>
          <cell r="B5887" t="str">
            <v>INSERT,THREADED, M14 x 5/16-18 X 15MM</v>
          </cell>
          <cell r="C5887" t="str">
            <v>EA</v>
          </cell>
          <cell r="D5887" t="str">
            <v>RM100</v>
          </cell>
          <cell r="E5887">
            <v>0</v>
          </cell>
          <cell r="G5887">
            <v>127235</v>
          </cell>
        </row>
        <row r="5888">
          <cell r="A5888">
            <v>127236</v>
          </cell>
          <cell r="B5888" t="str">
            <v>CLAMP,S81,STD,142-3/4,2x3TUBE,WELD</v>
          </cell>
          <cell r="C5888" t="str">
            <v>EA</v>
          </cell>
          <cell r="D5888" t="str">
            <v>MA100</v>
          </cell>
          <cell r="E5888">
            <v>51.491399999999999</v>
          </cell>
          <cell r="G5888">
            <v>127236</v>
          </cell>
        </row>
        <row r="5889">
          <cell r="A5889">
            <v>127237</v>
          </cell>
          <cell r="B5889" t="str">
            <v>CLAMP,S81,STD,142-3/4,2x3TUBE,WELD,CUT</v>
          </cell>
          <cell r="C5889" t="str">
            <v>EA</v>
          </cell>
          <cell r="D5889" t="str">
            <v>MA100</v>
          </cell>
          <cell r="E5889">
            <v>0</v>
          </cell>
          <cell r="G5889">
            <v>127237</v>
          </cell>
        </row>
        <row r="5890">
          <cell r="A5890">
            <v>127238</v>
          </cell>
          <cell r="B5890" t="str">
            <v>CLAMP,S81,STD,118-3/4,2x3TUBE,WELD</v>
          </cell>
          <cell r="C5890" t="str">
            <v>EA</v>
          </cell>
          <cell r="D5890" t="str">
            <v>MA100</v>
          </cell>
          <cell r="E5890">
            <v>46.751399999999997</v>
          </cell>
          <cell r="G5890">
            <v>127238</v>
          </cell>
        </row>
        <row r="5891">
          <cell r="A5891">
            <v>127239</v>
          </cell>
          <cell r="B5891" t="str">
            <v>CLAMP,S81,STD,118-3/4,2x3TUBE,WELD,CUT</v>
          </cell>
          <cell r="C5891" t="str">
            <v>EA</v>
          </cell>
          <cell r="D5891" t="str">
            <v>MA100</v>
          </cell>
          <cell r="E5891">
            <v>166.96875</v>
          </cell>
          <cell r="G5891">
            <v>127239</v>
          </cell>
        </row>
        <row r="5892">
          <cell r="A5892">
            <v>127240</v>
          </cell>
          <cell r="B5892" t="str">
            <v>CLAMP,S81,STD,94-3/4,2x3TUBE,WELD</v>
          </cell>
          <cell r="C5892" t="str">
            <v>EA</v>
          </cell>
          <cell r="D5892" t="str">
            <v>MA100</v>
          </cell>
          <cell r="E5892">
            <v>42.211399999999998</v>
          </cell>
          <cell r="G5892">
            <v>127240</v>
          </cell>
        </row>
        <row r="5893">
          <cell r="A5893">
            <v>127241</v>
          </cell>
          <cell r="B5893" t="str">
            <v>CLAMP,S81,STD,94-3/4,2x3TUBE,WELD,CUT</v>
          </cell>
          <cell r="C5893" t="str">
            <v>EA</v>
          </cell>
          <cell r="D5893" t="str">
            <v>MA100</v>
          </cell>
          <cell r="E5893">
            <v>50.452500000000001</v>
          </cell>
          <cell r="G5893">
            <v>127241</v>
          </cell>
        </row>
        <row r="5894">
          <cell r="A5894">
            <v>127242</v>
          </cell>
          <cell r="B5894" t="str">
            <v>CLAMP,S81,STD,46-3/4,2x3TUBE,WELD</v>
          </cell>
          <cell r="C5894" t="str">
            <v>EA</v>
          </cell>
          <cell r="D5894" t="str">
            <v>MA100</v>
          </cell>
          <cell r="E5894">
            <v>33.461399999999998</v>
          </cell>
          <cell r="G5894">
            <v>127242</v>
          </cell>
        </row>
        <row r="5895">
          <cell r="A5895">
            <v>127243</v>
          </cell>
          <cell r="B5895" t="str">
            <v>CLAMP,S81,STD,46-3/4,2x3TUBE,WELD,CUT</v>
          </cell>
          <cell r="C5895" t="str">
            <v>EA</v>
          </cell>
          <cell r="D5895" t="str">
            <v>MA100</v>
          </cell>
          <cell r="E5895">
            <v>0</v>
          </cell>
          <cell r="G5895">
            <v>127243</v>
          </cell>
        </row>
        <row r="5896">
          <cell r="A5896">
            <v>127244</v>
          </cell>
          <cell r="B5896" t="str">
            <v>CLAMP,S81,CSK,142-3/4,2x3TUBE,WELD</v>
          </cell>
          <cell r="C5896" t="str">
            <v>EA</v>
          </cell>
          <cell r="D5896" t="str">
            <v>MA100</v>
          </cell>
          <cell r="E5896">
            <v>53.33</v>
          </cell>
          <cell r="G5896">
            <v>127244</v>
          </cell>
        </row>
        <row r="5897">
          <cell r="A5897">
            <v>127245</v>
          </cell>
          <cell r="B5897" t="str">
            <v>CLAMP,S81,CSK,142-3/4,2x3TUBE,WELD,CUT</v>
          </cell>
          <cell r="C5897" t="str">
            <v>EA</v>
          </cell>
          <cell r="D5897" t="str">
            <v>MA100</v>
          </cell>
          <cell r="E5897">
            <v>0</v>
          </cell>
          <cell r="G5897">
            <v>127245</v>
          </cell>
        </row>
        <row r="5898">
          <cell r="A5898">
            <v>127246</v>
          </cell>
          <cell r="B5898" t="str">
            <v>CLAMP,S81,CSK,118-3/4,2x3TUBE,WELD</v>
          </cell>
          <cell r="C5898" t="str">
            <v>EA</v>
          </cell>
          <cell r="D5898" t="str">
            <v>MA100</v>
          </cell>
          <cell r="E5898">
            <v>27.63</v>
          </cell>
          <cell r="G5898">
            <v>127246</v>
          </cell>
        </row>
        <row r="5899">
          <cell r="A5899">
            <v>127247</v>
          </cell>
          <cell r="B5899" t="str">
            <v>CLAMP,S81,CSK,118-3/4,2x3TUBE,WELD,CUT</v>
          </cell>
          <cell r="C5899" t="str">
            <v>EA</v>
          </cell>
          <cell r="D5899" t="str">
            <v>MA100</v>
          </cell>
          <cell r="E5899">
            <v>0</v>
          </cell>
          <cell r="G5899">
            <v>127247</v>
          </cell>
        </row>
        <row r="5900">
          <cell r="A5900">
            <v>127248</v>
          </cell>
          <cell r="B5900" t="str">
            <v>CLAMP,S81,CSK,94-3/4,2x3TUBE,WELD</v>
          </cell>
          <cell r="C5900" t="str">
            <v>EA</v>
          </cell>
          <cell r="D5900" t="str">
            <v>MA100</v>
          </cell>
          <cell r="E5900">
            <v>22.68</v>
          </cell>
          <cell r="G5900">
            <v>127248</v>
          </cell>
        </row>
        <row r="5901">
          <cell r="A5901">
            <v>127249</v>
          </cell>
          <cell r="B5901" t="str">
            <v>CLAMP,S81,CSK,94-3/4,2x3TUBE,WELD,CUT</v>
          </cell>
          <cell r="C5901" t="str">
            <v>EA</v>
          </cell>
          <cell r="D5901" t="str">
            <v>MA100</v>
          </cell>
          <cell r="E5901">
            <v>0</v>
          </cell>
          <cell r="G5901">
            <v>127249</v>
          </cell>
        </row>
        <row r="5902">
          <cell r="A5902">
            <v>127250</v>
          </cell>
          <cell r="B5902" t="str">
            <v>CLAMP,S81,CSK,46-3/4,2x3TUBE,WELD</v>
          </cell>
          <cell r="C5902" t="str">
            <v>EA</v>
          </cell>
          <cell r="D5902" t="str">
            <v>MA100</v>
          </cell>
          <cell r="E5902">
            <v>13.09</v>
          </cell>
          <cell r="G5902">
            <v>127250</v>
          </cell>
        </row>
        <row r="5903">
          <cell r="A5903">
            <v>127251</v>
          </cell>
          <cell r="B5903" t="str">
            <v>CLAMP,S81,CSK,46-3/4,2x3TUBE,WELD,CUT</v>
          </cell>
          <cell r="C5903" t="str">
            <v>EA</v>
          </cell>
          <cell r="D5903" t="str">
            <v>MA100</v>
          </cell>
          <cell r="E5903">
            <v>0</v>
          </cell>
          <cell r="G5903">
            <v>127251</v>
          </cell>
        </row>
        <row r="5904">
          <cell r="A5904">
            <v>127252</v>
          </cell>
          <cell r="B5904" t="str">
            <v>CLAMP,S81,STD,142-3/4,2x4TUBE,WELD</v>
          </cell>
          <cell r="C5904" t="str">
            <v>EA</v>
          </cell>
          <cell r="D5904" t="str">
            <v>MA100</v>
          </cell>
          <cell r="E5904">
            <v>51.491399999999999</v>
          </cell>
          <cell r="G5904">
            <v>127252</v>
          </cell>
        </row>
        <row r="5905">
          <cell r="A5905">
            <v>127253</v>
          </cell>
          <cell r="B5905" t="str">
            <v>CLAMP,S81,STD,142-3/4,2x4TUBE,WELD,CUT</v>
          </cell>
          <cell r="C5905" t="str">
            <v>EA</v>
          </cell>
          <cell r="D5905" t="str">
            <v>MA100</v>
          </cell>
          <cell r="E5905">
            <v>0</v>
          </cell>
          <cell r="G5905">
            <v>127253</v>
          </cell>
        </row>
        <row r="5906">
          <cell r="A5906">
            <v>127254</v>
          </cell>
          <cell r="B5906" t="str">
            <v>CLAMP,S81,STD,118-3/4,2x4TUBE,WELD</v>
          </cell>
          <cell r="C5906" t="str">
            <v>EA</v>
          </cell>
          <cell r="D5906" t="str">
            <v>MA100</v>
          </cell>
          <cell r="E5906">
            <v>192.96875</v>
          </cell>
          <cell r="G5906">
            <v>127254</v>
          </cell>
        </row>
        <row r="5907">
          <cell r="A5907">
            <v>127255</v>
          </cell>
          <cell r="B5907" t="str">
            <v>CLAMP,S81,STD,118-3/4,2x4TUBE,WELD,CUT</v>
          </cell>
          <cell r="C5907" t="str">
            <v>EA</v>
          </cell>
          <cell r="D5907" t="str">
            <v>MA100</v>
          </cell>
          <cell r="E5907">
            <v>0</v>
          </cell>
          <cell r="G5907">
            <v>127255</v>
          </cell>
        </row>
        <row r="5908">
          <cell r="A5908">
            <v>127256</v>
          </cell>
          <cell r="B5908" t="str">
            <v>CLAMP,S81,STD,94-3/4,2x4TUBE,WELD</v>
          </cell>
          <cell r="C5908" t="str">
            <v>EA</v>
          </cell>
          <cell r="D5908" t="str">
            <v>MA100</v>
          </cell>
          <cell r="E5908">
            <v>42.211399999999998</v>
          </cell>
          <cell r="G5908">
            <v>127256</v>
          </cell>
        </row>
        <row r="5909">
          <cell r="A5909">
            <v>127257</v>
          </cell>
          <cell r="B5909" t="str">
            <v>CLAMP,S81,STD,94-3/4,2x4TUBE,WELD,CUT</v>
          </cell>
          <cell r="C5909" t="str">
            <v>EA</v>
          </cell>
          <cell r="D5909" t="str">
            <v>MA100</v>
          </cell>
          <cell r="E5909">
            <v>0</v>
          </cell>
          <cell r="G5909">
            <v>127257</v>
          </cell>
        </row>
        <row r="5910">
          <cell r="A5910">
            <v>127258</v>
          </cell>
          <cell r="B5910" t="str">
            <v>CLAMP,S81,STD,46-3/4,2x4TUBE,WELD</v>
          </cell>
          <cell r="C5910" t="str">
            <v>EA</v>
          </cell>
          <cell r="D5910" t="str">
            <v>MA100</v>
          </cell>
          <cell r="E5910">
            <v>33.461399999999998</v>
          </cell>
          <cell r="G5910">
            <v>127258</v>
          </cell>
        </row>
        <row r="5911">
          <cell r="A5911">
            <v>127259</v>
          </cell>
          <cell r="B5911" t="str">
            <v>CLAMP,S81,STD,46-3/4,2x4TUBE,WELD,CUT</v>
          </cell>
          <cell r="C5911" t="str">
            <v>EA</v>
          </cell>
          <cell r="D5911" t="str">
            <v>MA100</v>
          </cell>
          <cell r="E5911">
            <v>47.53125</v>
          </cell>
          <cell r="G5911">
            <v>127259</v>
          </cell>
        </row>
        <row r="5912">
          <cell r="A5912">
            <v>127260</v>
          </cell>
          <cell r="B5912" t="str">
            <v>CLAMP,S81,CSK,142-3/4,2x4TUBE,WELD</v>
          </cell>
          <cell r="C5912" t="str">
            <v>EA</v>
          </cell>
          <cell r="D5912" t="str">
            <v>MA100</v>
          </cell>
          <cell r="E5912">
            <v>43.064999999999998</v>
          </cell>
          <cell r="G5912">
            <v>127260</v>
          </cell>
        </row>
        <row r="5913">
          <cell r="A5913">
            <v>127261</v>
          </cell>
          <cell r="B5913" t="str">
            <v>CLAMP,S81,CSK,142-3/4,2x4TUBE,WELD,CUT</v>
          </cell>
          <cell r="C5913" t="str">
            <v>EA</v>
          </cell>
          <cell r="D5913" t="str">
            <v>MA100</v>
          </cell>
          <cell r="E5913">
            <v>0</v>
          </cell>
          <cell r="G5913">
            <v>127261</v>
          </cell>
        </row>
        <row r="5914">
          <cell r="A5914">
            <v>127262</v>
          </cell>
          <cell r="B5914" t="str">
            <v>CLAMP,S81,CSK,118-3/4,2x4TUBE,WELD</v>
          </cell>
          <cell r="C5914" t="str">
            <v>EA</v>
          </cell>
          <cell r="D5914" t="str">
            <v>MA100</v>
          </cell>
          <cell r="E5914">
            <v>27.63</v>
          </cell>
          <cell r="G5914">
            <v>127262</v>
          </cell>
        </row>
        <row r="5915">
          <cell r="A5915">
            <v>127263</v>
          </cell>
          <cell r="B5915" t="str">
            <v>CLAMP,S81,CSK,118-3/4,2x4TUBE,WELD,CUT</v>
          </cell>
          <cell r="C5915" t="str">
            <v>EA</v>
          </cell>
          <cell r="D5915" t="str">
            <v>MA100</v>
          </cell>
          <cell r="E5915">
            <v>0</v>
          </cell>
          <cell r="G5915">
            <v>127263</v>
          </cell>
        </row>
        <row r="5916">
          <cell r="A5916">
            <v>127264</v>
          </cell>
          <cell r="B5916" t="str">
            <v>CLAMP,S81,CSK,94-3/4,2x4TUBE,WELD</v>
          </cell>
          <cell r="C5916" t="str">
            <v>EA</v>
          </cell>
          <cell r="D5916" t="str">
            <v>MA100</v>
          </cell>
          <cell r="E5916">
            <v>22.68</v>
          </cell>
          <cell r="G5916">
            <v>127264</v>
          </cell>
        </row>
        <row r="5917">
          <cell r="A5917">
            <v>127265</v>
          </cell>
          <cell r="B5917" t="str">
            <v>CLAMP,S81,CSK,94-3/4,2x4TUBE,WELD,CUT</v>
          </cell>
          <cell r="C5917" t="str">
            <v>EA</v>
          </cell>
          <cell r="D5917" t="str">
            <v>MA100</v>
          </cell>
          <cell r="E5917">
            <v>0</v>
          </cell>
          <cell r="G5917">
            <v>127265</v>
          </cell>
        </row>
        <row r="5918">
          <cell r="A5918">
            <v>127266</v>
          </cell>
          <cell r="B5918" t="str">
            <v>CLAMP,S81,CSK,46-3/4,2x4TUBE,WELD</v>
          </cell>
          <cell r="C5918" t="str">
            <v>EA</v>
          </cell>
          <cell r="D5918" t="str">
            <v>MA100</v>
          </cell>
          <cell r="E5918">
            <v>13.09</v>
          </cell>
          <cell r="G5918">
            <v>127266</v>
          </cell>
        </row>
        <row r="5919">
          <cell r="A5919">
            <v>127267</v>
          </cell>
          <cell r="B5919" t="str">
            <v>CLAMP,S81,CSK,46-3/4,2x4TUBE,WELD,CUT</v>
          </cell>
          <cell r="C5919" t="str">
            <v>EA</v>
          </cell>
          <cell r="D5919" t="str">
            <v>MA100</v>
          </cell>
          <cell r="E5919">
            <v>0</v>
          </cell>
          <cell r="G5919">
            <v>127267</v>
          </cell>
        </row>
        <row r="5920">
          <cell r="A5920">
            <v>127277</v>
          </cell>
          <cell r="B5920" t="str">
            <v>JAMB HEADER, 72-inch, EVO</v>
          </cell>
          <cell r="C5920" t="str">
            <v>EA</v>
          </cell>
          <cell r="D5920" t="str">
            <v>RM100</v>
          </cell>
          <cell r="E5920">
            <v>0</v>
          </cell>
          <cell r="G5920">
            <v>127277</v>
          </cell>
        </row>
        <row r="5921">
          <cell r="A5921">
            <v>127278</v>
          </cell>
          <cell r="B5921" t="str">
            <v>THRESHOLD, 6FT, EVO</v>
          </cell>
          <cell r="C5921" t="str">
            <v>EA</v>
          </cell>
          <cell r="D5921" t="str">
            <v>RM100</v>
          </cell>
          <cell r="E5921">
            <v>0</v>
          </cell>
          <cell r="G5921">
            <v>127278</v>
          </cell>
        </row>
        <row r="5922">
          <cell r="A5922">
            <v>127279</v>
          </cell>
          <cell r="B5922" t="str">
            <v>GSKT,Zero#770AA, 1 SET,6x7 CLEAR OPENING</v>
          </cell>
          <cell r="C5922" t="str">
            <v>EA</v>
          </cell>
          <cell r="D5922" t="str">
            <v>RM100</v>
          </cell>
          <cell r="E5922">
            <v>0</v>
          </cell>
          <cell r="G5922">
            <v>127279</v>
          </cell>
        </row>
        <row r="5923">
          <cell r="A5923">
            <v>127288</v>
          </cell>
          <cell r="B5923" t="str">
            <v>EVO FRAME,2' NOM TOP/BOT MEMBER</v>
          </cell>
          <cell r="C5923" t="str">
            <v>EA</v>
          </cell>
          <cell r="D5923" t="str">
            <v>RM100</v>
          </cell>
          <cell r="E5923">
            <v>0</v>
          </cell>
          <cell r="G5923">
            <v>127288</v>
          </cell>
        </row>
        <row r="5924">
          <cell r="A5924">
            <v>127289</v>
          </cell>
          <cell r="B5924" t="str">
            <v>EVO FRAME,2' NOM CROSS</v>
          </cell>
          <cell r="C5924" t="str">
            <v>EA</v>
          </cell>
          <cell r="D5924" t="str">
            <v>RM100</v>
          </cell>
          <cell r="E5924">
            <v>0</v>
          </cell>
          <cell r="G5924">
            <v>127289</v>
          </cell>
        </row>
        <row r="5925">
          <cell r="A5925">
            <v>127290</v>
          </cell>
          <cell r="B5925" t="str">
            <v>EVO 2' AIR FRAME W/ 40MMx80MM PROFILE</v>
          </cell>
          <cell r="C5925" t="str">
            <v>EA</v>
          </cell>
          <cell r="D5925" t="str">
            <v>RM100</v>
          </cell>
          <cell r="E5925">
            <v>0</v>
          </cell>
          <cell r="G5925">
            <v>127290</v>
          </cell>
        </row>
        <row r="5926">
          <cell r="A5926">
            <v>127300</v>
          </cell>
          <cell r="B5926" t="str">
            <v>TRIM,DR LF,40MM CARTRIDGE,EVO AIR</v>
          </cell>
          <cell r="C5926" t="str">
            <v>EA</v>
          </cell>
          <cell r="D5926" t="str">
            <v>RM100</v>
          </cell>
          <cell r="E5926">
            <v>0</v>
          </cell>
          <cell r="G5926">
            <v>127300</v>
          </cell>
        </row>
        <row r="5927">
          <cell r="A5927">
            <v>127307</v>
          </cell>
          <cell r="B5927" t="str">
            <v>COVER, JAMB HEADER,EVO, 72"</v>
          </cell>
          <cell r="C5927" t="str">
            <v>EA</v>
          </cell>
          <cell r="D5927" t="str">
            <v>RM100</v>
          </cell>
          <cell r="E5927">
            <v>0</v>
          </cell>
          <cell r="G5927">
            <v>127307</v>
          </cell>
        </row>
        <row r="5928">
          <cell r="A5928">
            <v>127310</v>
          </cell>
          <cell r="B5928" t="str">
            <v>CYL,9/16BORE 1/2"STR BIMBA#020.5-NRQ</v>
          </cell>
          <cell r="C5928" t="str">
            <v>EA</v>
          </cell>
          <cell r="D5928" t="str">
            <v>RM100</v>
          </cell>
          <cell r="E5928">
            <v>0</v>
          </cell>
          <cell r="G5928">
            <v>127310</v>
          </cell>
        </row>
        <row r="5929">
          <cell r="A5929">
            <v>127311</v>
          </cell>
          <cell r="B5929" t="str">
            <v>STOP, EVO DBL DR</v>
          </cell>
          <cell r="C5929" t="str">
            <v>EA</v>
          </cell>
          <cell r="D5929" t="str">
            <v>RM100</v>
          </cell>
          <cell r="E5929">
            <v>0</v>
          </cell>
          <cell r="G5929">
            <v>127311</v>
          </cell>
        </row>
        <row r="5930">
          <cell r="A5930">
            <v>127353</v>
          </cell>
          <cell r="B5930" t="str">
            <v>STOP, EVO DBL DR, 4-FT ACTIVE</v>
          </cell>
          <cell r="C5930" t="str">
            <v>EA</v>
          </cell>
          <cell r="D5930" t="str">
            <v>RM100</v>
          </cell>
          <cell r="E5930">
            <v>0</v>
          </cell>
          <cell r="G5930">
            <v>127353</v>
          </cell>
        </row>
        <row r="5931">
          <cell r="A5931">
            <v>127358</v>
          </cell>
          <cell r="B5931" t="str">
            <v>BRKT, MRDS, SLIDEBOLT, INSWING</v>
          </cell>
          <cell r="C5931" t="str">
            <v>EA</v>
          </cell>
          <cell r="D5931" t="str">
            <v>RM100</v>
          </cell>
          <cell r="E5931">
            <v>0</v>
          </cell>
          <cell r="G5931">
            <v>127358</v>
          </cell>
        </row>
        <row r="5932">
          <cell r="A5932">
            <v>127374</v>
          </cell>
          <cell r="B5932" t="str">
            <v>EVO44 DOOR SLAB,48",IS,RH,NO, MA, 8-FT</v>
          </cell>
          <cell r="C5932" t="str">
            <v>EA</v>
          </cell>
          <cell r="D5932" t="str">
            <v>RM100</v>
          </cell>
          <cell r="E5932">
            <v>0</v>
          </cell>
          <cell r="G5932">
            <v>127374</v>
          </cell>
        </row>
        <row r="5933">
          <cell r="A5933">
            <v>127375</v>
          </cell>
          <cell r="B5933" t="str">
            <v>TRIM,DR LF,LOCK SIDE,EVO, 8-FT</v>
          </cell>
          <cell r="C5933" t="str">
            <v>EA</v>
          </cell>
          <cell r="D5933" t="str">
            <v>RM100</v>
          </cell>
          <cell r="E5933">
            <v>0</v>
          </cell>
          <cell r="G5933">
            <v>127375</v>
          </cell>
        </row>
        <row r="5934">
          <cell r="A5934">
            <v>127376</v>
          </cell>
          <cell r="B5934" t="str">
            <v>TRIM,DR LF,HINGE SIDE,EVO AIR, 8-FT</v>
          </cell>
          <cell r="C5934" t="str">
            <v>EA</v>
          </cell>
          <cell r="D5934" t="str">
            <v>RM100</v>
          </cell>
          <cell r="E5934">
            <v>0</v>
          </cell>
          <cell r="G5934">
            <v>127376</v>
          </cell>
        </row>
        <row r="5935">
          <cell r="A5935">
            <v>127377</v>
          </cell>
          <cell r="B5935" t="str">
            <v>EVO32/44 DR, 4' FRAME, 8-FT</v>
          </cell>
          <cell r="C5935" t="str">
            <v>EA</v>
          </cell>
          <cell r="D5935" t="str">
            <v>RM100</v>
          </cell>
          <cell r="E5935">
            <v>0</v>
          </cell>
          <cell r="G5935">
            <v>127377</v>
          </cell>
        </row>
        <row r="5936">
          <cell r="A5936">
            <v>127378</v>
          </cell>
          <cell r="B5936" t="str">
            <v>EXTRU,EVO,JAMB,VERT, 8-FT</v>
          </cell>
          <cell r="C5936" t="str">
            <v>EA</v>
          </cell>
          <cell r="D5936" t="str">
            <v>RM100</v>
          </cell>
          <cell r="E5936">
            <v>0</v>
          </cell>
          <cell r="G5936">
            <v>127378</v>
          </cell>
        </row>
        <row r="5937">
          <cell r="A5937">
            <v>127386</v>
          </cell>
          <cell r="B5937" t="str">
            <v>PLATE,TOP/BOTTOM,AIR CYL SUPPORT,2' EVO</v>
          </cell>
          <cell r="C5937" t="str">
            <v>EA</v>
          </cell>
          <cell r="D5937" t="str">
            <v>RM100</v>
          </cell>
          <cell r="E5937">
            <v>0</v>
          </cell>
          <cell r="G5937">
            <v>127386</v>
          </cell>
        </row>
        <row r="5938">
          <cell r="A5938">
            <v>127401</v>
          </cell>
          <cell r="B5938" t="str">
            <v>EXTRU,ALUM 5052-H32,EVO AIR EDGE GUARD</v>
          </cell>
          <cell r="C5938" t="str">
            <v>EA</v>
          </cell>
          <cell r="D5938" t="str">
            <v>RM100</v>
          </cell>
          <cell r="E5938">
            <v>0</v>
          </cell>
          <cell r="G5938">
            <v>127401</v>
          </cell>
        </row>
        <row r="5939">
          <cell r="A5939">
            <v>127402</v>
          </cell>
          <cell r="B5939" t="str">
            <v>EDGE GUARD,EVO AIR,2'</v>
          </cell>
          <cell r="C5939" t="str">
            <v>EA</v>
          </cell>
          <cell r="D5939" t="str">
            <v>RM100</v>
          </cell>
          <cell r="E5939">
            <v>0</v>
          </cell>
          <cell r="G5939">
            <v>127402</v>
          </cell>
        </row>
        <row r="5940">
          <cell r="A5940">
            <v>127403</v>
          </cell>
          <cell r="B5940" t="str">
            <v>STEP SPACER,DROP SEAL,EVO AIR 2'</v>
          </cell>
          <cell r="C5940" t="str">
            <v>EA</v>
          </cell>
          <cell r="D5940" t="str">
            <v>RM100</v>
          </cell>
          <cell r="E5940">
            <v>0</v>
          </cell>
          <cell r="G5940">
            <v>127403</v>
          </cell>
        </row>
        <row r="5941">
          <cell r="A5941">
            <v>127404</v>
          </cell>
          <cell r="B5941" t="str">
            <v>SEAL HOLDER,DROP SEAL,EVO AIR 2'</v>
          </cell>
          <cell r="C5941" t="str">
            <v>EA</v>
          </cell>
          <cell r="D5941" t="str">
            <v>RM100</v>
          </cell>
          <cell r="E5941">
            <v>0</v>
          </cell>
          <cell r="G5941">
            <v>127404</v>
          </cell>
        </row>
        <row r="5942">
          <cell r="A5942">
            <v>127413</v>
          </cell>
          <cell r="B5942" t="str">
            <v>EXTRU, EVO, AFP1092</v>
          </cell>
          <cell r="C5942" t="str">
            <v>EA</v>
          </cell>
          <cell r="D5942" t="str">
            <v>RM100</v>
          </cell>
          <cell r="E5942">
            <v>0</v>
          </cell>
          <cell r="G5942">
            <v>127413</v>
          </cell>
        </row>
        <row r="5943">
          <cell r="A5943">
            <v>127414</v>
          </cell>
          <cell r="B5943" t="str">
            <v>COVER PLATE,EVO AIR 2'</v>
          </cell>
          <cell r="C5943" t="str">
            <v>EA</v>
          </cell>
          <cell r="D5943" t="str">
            <v>RM100</v>
          </cell>
          <cell r="E5943">
            <v>0</v>
          </cell>
          <cell r="G5943">
            <v>127414</v>
          </cell>
        </row>
        <row r="5944">
          <cell r="A5944">
            <v>127425</v>
          </cell>
          <cell r="B5944" t="str">
            <v>EVO32/44 DR,4' FRAME,DBL DR</v>
          </cell>
          <cell r="C5944" t="str">
            <v>EA</v>
          </cell>
          <cell r="D5944" t="str">
            <v>RM100</v>
          </cell>
          <cell r="E5944">
            <v>0</v>
          </cell>
          <cell r="G5944">
            <v>127425</v>
          </cell>
        </row>
        <row r="5945">
          <cell r="A5945">
            <v>127426</v>
          </cell>
          <cell r="B5945" t="str">
            <v>NON-RF PANEL,4' EVO AIR DR,DBL DR</v>
          </cell>
          <cell r="C5945" t="str">
            <v>EA</v>
          </cell>
          <cell r="D5945" t="str">
            <v>RM100</v>
          </cell>
          <cell r="E5945">
            <v>0</v>
          </cell>
          <cell r="G5945">
            <v>127426</v>
          </cell>
        </row>
        <row r="5946">
          <cell r="A5946">
            <v>127427</v>
          </cell>
          <cell r="B5946" t="str">
            <v>RF PANEL,4' EVO AIR DR,DBL DR</v>
          </cell>
          <cell r="C5946" t="str">
            <v>EA</v>
          </cell>
          <cell r="D5946" t="str">
            <v>RM100</v>
          </cell>
          <cell r="E5946">
            <v>0</v>
          </cell>
          <cell r="G5946">
            <v>127427</v>
          </cell>
        </row>
        <row r="5947">
          <cell r="A5947">
            <v>127519</v>
          </cell>
          <cell r="B5947" t="str">
            <v>TUBE,2-1/2ID,.203WT,12"LENGTH,304SS</v>
          </cell>
          <cell r="C5947" t="str">
            <v>EA</v>
          </cell>
          <cell r="D5947" t="str">
            <v>RM100</v>
          </cell>
          <cell r="E5947">
            <v>114.22</v>
          </cell>
          <cell r="G5947">
            <v>127519</v>
          </cell>
        </row>
        <row r="5948">
          <cell r="A5948">
            <v>127520</v>
          </cell>
          <cell r="B5948" t="str">
            <v>FLANGE,2-1/2ID,SOCKET WELD,300PSI</v>
          </cell>
          <cell r="C5948" t="str">
            <v>EA</v>
          </cell>
          <cell r="D5948" t="str">
            <v>RM100</v>
          </cell>
          <cell r="E5948">
            <v>143.74</v>
          </cell>
          <cell r="G5948">
            <v>127520</v>
          </cell>
        </row>
        <row r="5949">
          <cell r="A5949">
            <v>127533</v>
          </cell>
          <cell r="B5949" t="str">
            <v>BAR,SQ,POLYURETHANE,2"X48"</v>
          </cell>
          <cell r="C5949" t="str">
            <v>FT</v>
          </cell>
          <cell r="D5949" t="str">
            <v>RM100</v>
          </cell>
          <cell r="E5949">
            <v>0</v>
          </cell>
          <cell r="G5949">
            <v>127533</v>
          </cell>
        </row>
        <row r="5950">
          <cell r="A5950">
            <v>127534</v>
          </cell>
          <cell r="B5950" t="str">
            <v>BAR,SQ,POLYURETHANE,3"X48"</v>
          </cell>
          <cell r="C5950" t="str">
            <v>FT</v>
          </cell>
          <cell r="D5950" t="str">
            <v>RM100</v>
          </cell>
          <cell r="E5950">
            <v>0</v>
          </cell>
          <cell r="G5950">
            <v>127534</v>
          </cell>
        </row>
        <row r="5951">
          <cell r="A5951">
            <v>127535</v>
          </cell>
          <cell r="B5951" t="str">
            <v>CHANNEL,ALUM 6063, .125"X2"X3"</v>
          </cell>
          <cell r="C5951" t="str">
            <v>FT</v>
          </cell>
          <cell r="D5951" t="str">
            <v>RM100</v>
          </cell>
          <cell r="E5951">
            <v>0</v>
          </cell>
          <cell r="G5951">
            <v>127535</v>
          </cell>
        </row>
        <row r="5952">
          <cell r="A5952">
            <v>127536</v>
          </cell>
          <cell r="B5952" t="str">
            <v>CYANOACRYLATE, 1g TUBE</v>
          </cell>
          <cell r="C5952" t="str">
            <v>EA</v>
          </cell>
          <cell r="D5952" t="str">
            <v>RM100</v>
          </cell>
          <cell r="E5952">
            <v>0</v>
          </cell>
          <cell r="G5952">
            <v>127536</v>
          </cell>
        </row>
        <row r="5953">
          <cell r="A5953">
            <v>127538</v>
          </cell>
          <cell r="B5953" t="str">
            <v>RUBBER PLUG, OUTSIDE, EVO</v>
          </cell>
          <cell r="C5953" t="str">
            <v>EA</v>
          </cell>
          <cell r="D5953" t="str">
            <v>RM100</v>
          </cell>
          <cell r="E5953">
            <v>0</v>
          </cell>
          <cell r="G5953">
            <v>127538</v>
          </cell>
        </row>
        <row r="5954">
          <cell r="A5954">
            <v>127539</v>
          </cell>
          <cell r="B5954" t="str">
            <v>RUBBER PLUG, INSIDE, EVO</v>
          </cell>
          <cell r="C5954" t="str">
            <v>EA</v>
          </cell>
          <cell r="D5954" t="str">
            <v>RM100</v>
          </cell>
          <cell r="E5954">
            <v>0</v>
          </cell>
          <cell r="G5954">
            <v>127539</v>
          </cell>
        </row>
        <row r="5955">
          <cell r="A5955">
            <v>127540</v>
          </cell>
          <cell r="B5955" t="str">
            <v>PLUG COVER,IS,LH,EVO</v>
          </cell>
          <cell r="C5955" t="str">
            <v>EA</v>
          </cell>
          <cell r="D5955" t="str">
            <v>RM100</v>
          </cell>
          <cell r="E5955">
            <v>0</v>
          </cell>
          <cell r="G5955">
            <v>127540</v>
          </cell>
        </row>
        <row r="5956">
          <cell r="A5956">
            <v>127541</v>
          </cell>
          <cell r="B5956" t="str">
            <v>PLUG COVER,IS,RH,EVO</v>
          </cell>
          <cell r="C5956" t="str">
            <v>EA</v>
          </cell>
          <cell r="D5956" t="str">
            <v>RM100</v>
          </cell>
          <cell r="E5956">
            <v>0</v>
          </cell>
          <cell r="G5956">
            <v>127541</v>
          </cell>
        </row>
        <row r="5957">
          <cell r="A5957">
            <v>127542</v>
          </cell>
          <cell r="B5957" t="str">
            <v>IV PLUG,IS,LH,EVO</v>
          </cell>
          <cell r="C5957" t="str">
            <v>EA</v>
          </cell>
          <cell r="D5957" t="str">
            <v>RM100</v>
          </cell>
          <cell r="E5957">
            <v>0</v>
          </cell>
          <cell r="G5957">
            <v>127542</v>
          </cell>
        </row>
        <row r="5958">
          <cell r="A5958">
            <v>127543</v>
          </cell>
          <cell r="B5958" t="str">
            <v>IV PLUG,IS,RH,EVO</v>
          </cell>
          <cell r="C5958" t="str">
            <v>EA</v>
          </cell>
          <cell r="D5958" t="str">
            <v>RM100</v>
          </cell>
          <cell r="E5958">
            <v>0</v>
          </cell>
          <cell r="G5958">
            <v>127543</v>
          </cell>
        </row>
        <row r="5959">
          <cell r="A5959">
            <v>127555</v>
          </cell>
          <cell r="B5959" t="str">
            <v>HANDLE,PULL,ALUM,#10-24</v>
          </cell>
          <cell r="C5959" t="str">
            <v>EA</v>
          </cell>
          <cell r="D5959" t="str">
            <v>RM100</v>
          </cell>
          <cell r="E5959">
            <v>7.22</v>
          </cell>
          <cell r="G5959">
            <v>127555</v>
          </cell>
        </row>
        <row r="5960">
          <cell r="A5960">
            <v>127556</v>
          </cell>
          <cell r="B5960" t="str">
            <v>PLUG COVER,OS,LH,EVO</v>
          </cell>
          <cell r="C5960" t="str">
            <v>EA</v>
          </cell>
          <cell r="D5960" t="str">
            <v>RM100</v>
          </cell>
          <cell r="E5960">
            <v>0</v>
          </cell>
          <cell r="G5960">
            <v>127556</v>
          </cell>
        </row>
        <row r="5961">
          <cell r="A5961">
            <v>127557</v>
          </cell>
          <cell r="B5961" t="str">
            <v>PLUG COVER,OS,RH,EVO</v>
          </cell>
          <cell r="C5961" t="str">
            <v>EA</v>
          </cell>
          <cell r="D5961" t="str">
            <v>RM100</v>
          </cell>
          <cell r="E5961">
            <v>0</v>
          </cell>
          <cell r="G5961">
            <v>127557</v>
          </cell>
        </row>
        <row r="5962">
          <cell r="A5962">
            <v>127558</v>
          </cell>
          <cell r="B5962" t="str">
            <v>IV PLUG,OS,RH,EVO</v>
          </cell>
          <cell r="C5962" t="str">
            <v>EA</v>
          </cell>
          <cell r="D5962" t="str">
            <v>RM100</v>
          </cell>
          <cell r="E5962">
            <v>0</v>
          </cell>
          <cell r="G5962">
            <v>127558</v>
          </cell>
        </row>
        <row r="5963">
          <cell r="A5963">
            <v>127559</v>
          </cell>
          <cell r="B5963" t="str">
            <v>IV PLUG,OS,LH,EVO</v>
          </cell>
          <cell r="C5963" t="str">
            <v>EA</v>
          </cell>
          <cell r="D5963" t="str">
            <v>RM100</v>
          </cell>
          <cell r="E5963">
            <v>0</v>
          </cell>
          <cell r="G5963">
            <v>127559</v>
          </cell>
        </row>
        <row r="5964">
          <cell r="A5964">
            <v>127611</v>
          </cell>
          <cell r="B5964" t="str">
            <v>EVO FRAME,8' NOM SIDE MEMBER</v>
          </cell>
          <cell r="C5964" t="str">
            <v>EA</v>
          </cell>
          <cell r="D5964" t="str">
            <v>RM100</v>
          </cell>
          <cell r="E5964">
            <v>0</v>
          </cell>
          <cell r="G5964">
            <v>127611</v>
          </cell>
        </row>
        <row r="5965">
          <cell r="A5965">
            <v>127612</v>
          </cell>
          <cell r="B5965" t="str">
            <v>EVO FRAME,8' NOM WIN VERT MEMBER</v>
          </cell>
          <cell r="C5965" t="str">
            <v>EA</v>
          </cell>
          <cell r="D5965" t="str">
            <v>RM100</v>
          </cell>
          <cell r="E5965">
            <v>0</v>
          </cell>
          <cell r="G5965">
            <v>127612</v>
          </cell>
        </row>
        <row r="5966">
          <cell r="A5966">
            <v>127688</v>
          </cell>
          <cell r="B5966" t="str">
            <v>LAM,WILSONART,#7919K-78,AMBER CHERRY</v>
          </cell>
          <cell r="C5966" t="str">
            <v>EA</v>
          </cell>
          <cell r="D5966" t="str">
            <v>RM100</v>
          </cell>
          <cell r="E5966">
            <v>0</v>
          </cell>
          <cell r="G5966">
            <v>127688</v>
          </cell>
        </row>
        <row r="5967">
          <cell r="A5967">
            <v>127690</v>
          </cell>
          <cell r="B5967" t="str">
            <v>LAM,WILSONART,#7924K-07,BILTMORE CHERRY</v>
          </cell>
          <cell r="C5967" t="str">
            <v>EA</v>
          </cell>
          <cell r="D5967" t="str">
            <v>RM100</v>
          </cell>
          <cell r="E5967">
            <v>0</v>
          </cell>
          <cell r="G5967">
            <v>127690</v>
          </cell>
        </row>
        <row r="5968">
          <cell r="A5968">
            <v>127691</v>
          </cell>
          <cell r="B5968" t="str">
            <v>LAM,WILSONART,#10745-60,FONTHILL PEAR</v>
          </cell>
          <cell r="C5968" t="str">
            <v>EA</v>
          </cell>
          <cell r="D5968" t="str">
            <v>RM100</v>
          </cell>
          <cell r="E5968">
            <v>0</v>
          </cell>
          <cell r="G5968">
            <v>127691</v>
          </cell>
        </row>
        <row r="5969">
          <cell r="A5969">
            <v>127693</v>
          </cell>
          <cell r="B5969" t="str">
            <v>LAM,WILSONART,#10776-60,KENSINGTON MAPLE</v>
          </cell>
          <cell r="C5969" t="str">
            <v>EA</v>
          </cell>
          <cell r="D5969" t="str">
            <v>RM100</v>
          </cell>
          <cell r="E5969">
            <v>0</v>
          </cell>
          <cell r="G5969">
            <v>127693</v>
          </cell>
        </row>
        <row r="5970">
          <cell r="A5970">
            <v>127694</v>
          </cell>
          <cell r="B5970" t="str">
            <v>LAM,WILSONART,#D427-60,LINEN</v>
          </cell>
          <cell r="C5970" t="str">
            <v>EA</v>
          </cell>
          <cell r="D5970" t="str">
            <v>RM100</v>
          </cell>
          <cell r="E5970">
            <v>0</v>
          </cell>
          <cell r="G5970">
            <v>127694</v>
          </cell>
        </row>
        <row r="5971">
          <cell r="A5971">
            <v>127695</v>
          </cell>
          <cell r="B5971" t="str">
            <v>LAM,FORMICA,#756-58,NATURAL MAPLE</v>
          </cell>
          <cell r="C5971" t="str">
            <v>EA</v>
          </cell>
          <cell r="D5971" t="str">
            <v>RM100</v>
          </cell>
          <cell r="E5971">
            <v>75.84</v>
          </cell>
          <cell r="G5971">
            <v>127695</v>
          </cell>
        </row>
        <row r="5972">
          <cell r="A5972">
            <v>127696</v>
          </cell>
          <cell r="B5972" t="str">
            <v>LAM,WILSONART,#7965K-12,WALNUT HEIGHTS</v>
          </cell>
          <cell r="C5972" t="str">
            <v>EA</v>
          </cell>
          <cell r="D5972" t="str">
            <v>RM100</v>
          </cell>
          <cell r="E5972">
            <v>0</v>
          </cell>
          <cell r="G5972">
            <v>127696</v>
          </cell>
        </row>
        <row r="5973">
          <cell r="A5973">
            <v>127697</v>
          </cell>
          <cell r="B5973" t="str">
            <v>LAM,WILSONART,#7054-60,WILD CHERRY</v>
          </cell>
          <cell r="C5973" t="str">
            <v>EA</v>
          </cell>
          <cell r="D5973" t="str">
            <v>RM100</v>
          </cell>
          <cell r="E5973">
            <v>75.52</v>
          </cell>
          <cell r="G5973">
            <v>127697</v>
          </cell>
        </row>
        <row r="5974">
          <cell r="A5974">
            <v>127721</v>
          </cell>
          <cell r="B5974" t="str">
            <v>FLAT THRESHOLD ISOLATOR, EVO AIR 48"</v>
          </cell>
          <cell r="C5974" t="str">
            <v>EA</v>
          </cell>
          <cell r="D5974" t="str">
            <v>RM100</v>
          </cell>
          <cell r="E5974">
            <v>76.89</v>
          </cell>
          <cell r="G5974">
            <v>127721</v>
          </cell>
        </row>
        <row r="5975">
          <cell r="A5975">
            <v>127727</v>
          </cell>
          <cell r="B5975" t="str">
            <v>LAM,WILSONART,#7953-38,HARVEST MAPLE</v>
          </cell>
          <cell r="C5975" t="str">
            <v>EA</v>
          </cell>
          <cell r="D5975" t="str">
            <v>RM100</v>
          </cell>
          <cell r="E5975">
            <v>0</v>
          </cell>
          <cell r="G5975">
            <v>127727</v>
          </cell>
        </row>
        <row r="5976">
          <cell r="A5976">
            <v>127739</v>
          </cell>
          <cell r="B5976" t="str">
            <v>FLAT THRESHOLD, EVO AIR 36"</v>
          </cell>
          <cell r="C5976" t="str">
            <v>EA</v>
          </cell>
          <cell r="D5976" t="str">
            <v>RM100</v>
          </cell>
          <cell r="E5976">
            <v>0</v>
          </cell>
          <cell r="G5976">
            <v>127739</v>
          </cell>
        </row>
        <row r="5977">
          <cell r="A5977">
            <v>127740</v>
          </cell>
          <cell r="B5977" t="str">
            <v>FLAT THRESHOLD ISOLATOR, EVO AIR 36"</v>
          </cell>
          <cell r="C5977" t="str">
            <v>EA</v>
          </cell>
          <cell r="D5977" t="str">
            <v>RM100</v>
          </cell>
          <cell r="E5977">
            <v>0</v>
          </cell>
          <cell r="G5977">
            <v>127740</v>
          </cell>
        </row>
        <row r="5978">
          <cell r="A5978">
            <v>127912</v>
          </cell>
          <cell r="B5978" t="str">
            <v>PNEUMATIC SYSTEM CARTRIDGE CORE EVO</v>
          </cell>
          <cell r="C5978" t="str">
            <v>EA</v>
          </cell>
          <cell r="D5978" t="str">
            <v>RM100</v>
          </cell>
          <cell r="E5978">
            <v>0</v>
          </cell>
          <cell r="G5978">
            <v>127912</v>
          </cell>
        </row>
        <row r="5979">
          <cell r="A5979">
            <v>127913</v>
          </cell>
          <cell r="B5979" t="str">
            <v>P. SYSTEM CARTRIDGE CORE EVO PROT.</v>
          </cell>
          <cell r="C5979" t="str">
            <v>EA</v>
          </cell>
          <cell r="D5979" t="str">
            <v>RM100</v>
          </cell>
          <cell r="E5979">
            <v>0</v>
          </cell>
          <cell r="G5979">
            <v>127913</v>
          </cell>
        </row>
        <row r="5980">
          <cell r="A5980">
            <v>127938</v>
          </cell>
          <cell r="B5980" t="str">
            <v>EDGE GUARD BRACKET EVO AIR</v>
          </cell>
          <cell r="C5980" t="str">
            <v>EA</v>
          </cell>
          <cell r="D5980" t="str">
            <v>RM100</v>
          </cell>
          <cell r="E5980">
            <v>0</v>
          </cell>
          <cell r="G5980">
            <v>127938</v>
          </cell>
        </row>
        <row r="5981">
          <cell r="A5981">
            <v>130101</v>
          </cell>
          <cell r="B5981" t="str">
            <v>GASKET, 1/8" X 1" HT805 FIRE RATED</v>
          </cell>
          <cell r="C5981" t="str">
            <v>FT</v>
          </cell>
          <cell r="D5981" t="str">
            <v>RM100</v>
          </cell>
          <cell r="E5981">
            <v>0.66</v>
          </cell>
          <cell r="G5981">
            <v>130101</v>
          </cell>
        </row>
        <row r="5982">
          <cell r="A5982">
            <v>1301010</v>
          </cell>
          <cell r="B5982" t="str">
            <v>GASKET,FIRE RATED,INTUMESCENT,1/8" X 1"</v>
          </cell>
          <cell r="C5982" t="str">
            <v>FT</v>
          </cell>
          <cell r="D5982" t="str">
            <v>RM100</v>
          </cell>
          <cell r="E5982">
            <v>3.16</v>
          </cell>
          <cell r="G5982">
            <v>1301010</v>
          </cell>
        </row>
        <row r="5983">
          <cell r="A5983">
            <v>130102</v>
          </cell>
          <cell r="B5983" t="str">
            <v>GASKET, 1/4" X 6" HT805 FIRE RATED</v>
          </cell>
          <cell r="C5983" t="str">
            <v>FT</v>
          </cell>
          <cell r="D5983" t="str">
            <v>RM100</v>
          </cell>
          <cell r="E5983">
            <v>37.5</v>
          </cell>
          <cell r="G5983">
            <v>130102</v>
          </cell>
        </row>
        <row r="5984">
          <cell r="A5984">
            <v>130402</v>
          </cell>
          <cell r="B5984" t="str">
            <v>NEOPRENE SPONGE,2-1/4"x1/8"x50'RL</v>
          </cell>
          <cell r="C5984" t="str">
            <v>FT</v>
          </cell>
          <cell r="D5984" t="str">
            <v>RM100</v>
          </cell>
          <cell r="E5984">
            <v>0.49</v>
          </cell>
          <cell r="G5984">
            <v>130402</v>
          </cell>
        </row>
        <row r="5985">
          <cell r="A5985">
            <v>130502</v>
          </cell>
          <cell r="B5985" t="str">
            <v>NEOPRENE,4" X 1/2"X25' RL</v>
          </cell>
          <cell r="C5985" t="str">
            <v>FT</v>
          </cell>
          <cell r="D5985" t="str">
            <v>RM100</v>
          </cell>
          <cell r="E5985">
            <v>5.25</v>
          </cell>
          <cell r="G5985">
            <v>130502</v>
          </cell>
        </row>
        <row r="5986">
          <cell r="A5986">
            <v>130504</v>
          </cell>
          <cell r="B5986" t="str">
            <v>NEOPRENE,36" X 1/2"X25' RL, 50A DURO</v>
          </cell>
          <cell r="C5986" t="str">
            <v>FT</v>
          </cell>
          <cell r="D5986" t="str">
            <v>RM100</v>
          </cell>
          <cell r="E5986">
            <v>0</v>
          </cell>
          <cell r="G5986">
            <v>130504</v>
          </cell>
        </row>
        <row r="5987">
          <cell r="A5987">
            <v>130506</v>
          </cell>
          <cell r="B5987" t="str">
            <v>NEOPRENE,SHEET, 3/8"THK,54"WIDTH,FIRM</v>
          </cell>
          <cell r="C5987" t="str">
            <v>FT</v>
          </cell>
          <cell r="D5987" t="str">
            <v>RM100</v>
          </cell>
          <cell r="E5987">
            <v>6.5250000000000004</v>
          </cell>
          <cell r="G5987">
            <v>130506</v>
          </cell>
        </row>
        <row r="5988">
          <cell r="A5988">
            <v>130507</v>
          </cell>
          <cell r="B5988" t="str">
            <v>NEOPRENE,SHEET,3/8"THK,54"WIDE,SOFT</v>
          </cell>
          <cell r="C5988" t="str">
            <v>FT</v>
          </cell>
          <cell r="D5988" t="str">
            <v>RM100</v>
          </cell>
          <cell r="E5988">
            <v>11.45</v>
          </cell>
          <cell r="G5988">
            <v>130507</v>
          </cell>
        </row>
        <row r="5989">
          <cell r="A5989">
            <v>130509</v>
          </cell>
          <cell r="B5989" t="str">
            <v>DYNAMAT XTREME, 24" X 48" SHT</v>
          </cell>
          <cell r="C5989" t="str">
            <v>EA</v>
          </cell>
          <cell r="D5989" t="str">
            <v>RM100</v>
          </cell>
          <cell r="E5989">
            <v>33.77666</v>
          </cell>
          <cell r="G5989">
            <v>130509</v>
          </cell>
        </row>
        <row r="5990">
          <cell r="A5990">
            <v>130510</v>
          </cell>
          <cell r="B5990" t="str">
            <v>NEOPRENE,SHEET,1/2"THK,54"WIDTH,SOFT</v>
          </cell>
          <cell r="C5990" t="str">
            <v>FT</v>
          </cell>
          <cell r="D5990" t="str">
            <v>RM100</v>
          </cell>
          <cell r="E5990">
            <v>19.260000000000002</v>
          </cell>
          <cell r="G5990">
            <v>130510</v>
          </cell>
        </row>
        <row r="5991">
          <cell r="A5991">
            <v>130512</v>
          </cell>
          <cell r="B5991" t="str">
            <v>FOAM,NEOPRENE,2"X3/4",ADHESIVE BACKED</v>
          </cell>
          <cell r="C5991" t="str">
            <v>FT</v>
          </cell>
          <cell r="D5991" t="str">
            <v>RM100</v>
          </cell>
          <cell r="E5991">
            <v>1.429</v>
          </cell>
          <cell r="G5991">
            <v>130512</v>
          </cell>
        </row>
        <row r="5992">
          <cell r="A5992">
            <v>130513</v>
          </cell>
          <cell r="B5992" t="str">
            <v>FOAM,NEOPRENE,2"X1/2",ADHESIVE BACKED</v>
          </cell>
          <cell r="C5992" t="str">
            <v>FT</v>
          </cell>
          <cell r="D5992" t="str">
            <v>RM100</v>
          </cell>
          <cell r="E5992">
            <v>0.41399999999999998</v>
          </cell>
          <cell r="G5992">
            <v>130513</v>
          </cell>
        </row>
        <row r="5993">
          <cell r="A5993">
            <v>130514</v>
          </cell>
          <cell r="B5993" t="str">
            <v>FOAM,NEOPRENE,2"X1",ADHESIVE BACKED</v>
          </cell>
          <cell r="C5993" t="str">
            <v>FT</v>
          </cell>
          <cell r="D5993" t="str">
            <v>RM100</v>
          </cell>
          <cell r="E5993">
            <v>0.86599999999999999</v>
          </cell>
          <cell r="G5993">
            <v>130514</v>
          </cell>
        </row>
        <row r="5994">
          <cell r="A5994">
            <v>130515</v>
          </cell>
          <cell r="B5994" t="str">
            <v>NEOPRENE FOAM,4"X1/2"X25'RL</v>
          </cell>
          <cell r="C5994" t="str">
            <v>FT</v>
          </cell>
          <cell r="D5994" t="str">
            <v>RM100</v>
          </cell>
          <cell r="E5994">
            <v>1.7704</v>
          </cell>
          <cell r="G5994">
            <v>130515</v>
          </cell>
        </row>
        <row r="5995">
          <cell r="A5995">
            <v>140301</v>
          </cell>
          <cell r="B5995" t="str">
            <v>TAPE,DOUBLE SIDED, 3/4" #4408 108'RL</v>
          </cell>
          <cell r="C5995" t="str">
            <v>FT</v>
          </cell>
          <cell r="D5995" t="str">
            <v>RM100</v>
          </cell>
          <cell r="E5995">
            <v>0.34259000000000001</v>
          </cell>
          <cell r="G5995">
            <v>140301</v>
          </cell>
        </row>
        <row r="5996">
          <cell r="A5996">
            <v>140400</v>
          </cell>
          <cell r="B5996" t="str">
            <v>VELCRO TAPE 1" LOOP FASTENAL#45769</v>
          </cell>
          <cell r="C5996" t="str">
            <v>YD</v>
          </cell>
          <cell r="D5996" t="str">
            <v>RM100</v>
          </cell>
          <cell r="E5996">
            <v>1.5529999999999999</v>
          </cell>
          <cell r="G5996">
            <v>140400</v>
          </cell>
        </row>
        <row r="5997">
          <cell r="A5997">
            <v>140402</v>
          </cell>
          <cell r="B5997" t="str">
            <v>TAPE,DOUBLE-SIDED,3/4" #926 54' RL</v>
          </cell>
          <cell r="C5997" t="str">
            <v>EA</v>
          </cell>
          <cell r="D5997" t="str">
            <v>RM100</v>
          </cell>
          <cell r="E5997">
            <v>12.75</v>
          </cell>
          <cell r="G5997">
            <v>140402</v>
          </cell>
        </row>
        <row r="5998">
          <cell r="A5998">
            <v>140403</v>
          </cell>
          <cell r="B5998" t="str">
            <v>TAPE,DOUBLE-SIDED,3/4" #926 108' RL</v>
          </cell>
          <cell r="C5998" t="str">
            <v>FT</v>
          </cell>
          <cell r="D5998" t="str">
            <v>RM100</v>
          </cell>
          <cell r="E5998">
            <v>0.121</v>
          </cell>
          <cell r="G5998">
            <v>140403</v>
          </cell>
        </row>
        <row r="5999">
          <cell r="A5999">
            <v>140405</v>
          </cell>
          <cell r="B5999" t="str">
            <v>1/2"D.S. TAPE #4936 3M 216' RL</v>
          </cell>
          <cell r="C5999" t="str">
            <v>FT</v>
          </cell>
          <cell r="D5999" t="str">
            <v>RM100</v>
          </cell>
          <cell r="E5999">
            <v>0.57899999999999996</v>
          </cell>
          <cell r="G5999">
            <v>140405</v>
          </cell>
        </row>
        <row r="6000">
          <cell r="A6000">
            <v>140406</v>
          </cell>
          <cell r="B6000" t="str">
            <v>1"D.S. TAPE #4936 3M 216' RL</v>
          </cell>
          <cell r="C6000" t="str">
            <v>FT</v>
          </cell>
          <cell r="D6000" t="str">
            <v>RM100</v>
          </cell>
          <cell r="E6000">
            <v>0.98804999999999998</v>
          </cell>
          <cell r="G6000">
            <v>140406</v>
          </cell>
        </row>
        <row r="6001">
          <cell r="A6001">
            <v>140407</v>
          </cell>
          <cell r="B6001" t="str">
            <v>3/4 D.S. VHB TAPE #4611 3M 108' RL</v>
          </cell>
          <cell r="C6001" t="str">
            <v>FT</v>
          </cell>
          <cell r="D6001" t="str">
            <v>RM100</v>
          </cell>
          <cell r="E6001">
            <v>0.48680000000000001</v>
          </cell>
          <cell r="G6001">
            <v>140407</v>
          </cell>
        </row>
        <row r="6002">
          <cell r="A6002">
            <v>140411</v>
          </cell>
          <cell r="B6002" t="str">
            <v>Shims,16 ga. Floor 4X4</v>
          </cell>
          <cell r="C6002" t="str">
            <v>EA</v>
          </cell>
          <cell r="D6002" t="str">
            <v>RM100</v>
          </cell>
          <cell r="E6002">
            <v>0</v>
          </cell>
          <cell r="G6002">
            <v>140411</v>
          </cell>
        </row>
        <row r="6003">
          <cell r="A6003" t="str">
            <v>1493-20</v>
          </cell>
          <cell r="B6003" t="str">
            <v>COLUMN,W6X9X89.69"</v>
          </cell>
          <cell r="C6003" t="str">
            <v>EA</v>
          </cell>
          <cell r="D6003" t="str">
            <v>RM100</v>
          </cell>
          <cell r="E6003">
            <v>190</v>
          </cell>
          <cell r="G6003" t="str">
            <v>1493-20</v>
          </cell>
        </row>
        <row r="6004">
          <cell r="A6004">
            <v>150102</v>
          </cell>
          <cell r="B6004" t="str">
            <v>BAR,ANG CRS 7/8X89 ZINC DICHRO PLTG</v>
          </cell>
          <cell r="C6004" t="str">
            <v>EA</v>
          </cell>
          <cell r="D6004" t="str">
            <v>RM100</v>
          </cell>
          <cell r="E6004">
            <v>22.8</v>
          </cell>
          <cell r="G6004">
            <v>150102</v>
          </cell>
        </row>
        <row r="6005">
          <cell r="A6005">
            <v>150103</v>
          </cell>
          <cell r="B6005" t="str">
            <v>BAR,ANG CRS 1-3/8X89 ZINC DICHRO PLTG</v>
          </cell>
          <cell r="C6005" t="str">
            <v>EA</v>
          </cell>
          <cell r="D6005" t="str">
            <v>RM100</v>
          </cell>
          <cell r="E6005">
            <v>24.12</v>
          </cell>
          <cell r="G6005">
            <v>150103</v>
          </cell>
        </row>
        <row r="6006">
          <cell r="A6006">
            <v>150104</v>
          </cell>
          <cell r="B6006" t="str">
            <v>BAR,ANG CRS 7/8X96 ZINC DICHRO PLTG</v>
          </cell>
          <cell r="C6006" t="str">
            <v>EA</v>
          </cell>
          <cell r="D6006" t="str">
            <v>RM100</v>
          </cell>
          <cell r="E6006">
            <v>24.43</v>
          </cell>
          <cell r="G6006">
            <v>150104</v>
          </cell>
        </row>
        <row r="6007">
          <cell r="A6007">
            <v>150105</v>
          </cell>
          <cell r="B6007" t="str">
            <v>BAR,ANG CRS 1-3/8X96 ZINC DICHRO PLTG</v>
          </cell>
          <cell r="C6007" t="str">
            <v>EA</v>
          </cell>
          <cell r="D6007" t="str">
            <v>RM100</v>
          </cell>
          <cell r="E6007">
            <v>25.67</v>
          </cell>
          <cell r="G6007">
            <v>150105</v>
          </cell>
        </row>
        <row r="6008">
          <cell r="A6008">
            <v>150106</v>
          </cell>
          <cell r="B6008" t="str">
            <v>BAR,ANG CRS 7/8X118 ZINC DICHRO PLTG</v>
          </cell>
          <cell r="C6008" t="str">
            <v>EA</v>
          </cell>
          <cell r="D6008" t="str">
            <v>RM100</v>
          </cell>
          <cell r="E6008">
            <v>30.72</v>
          </cell>
          <cell r="G6008">
            <v>150106</v>
          </cell>
        </row>
        <row r="6009">
          <cell r="A6009">
            <v>150107</v>
          </cell>
          <cell r="B6009" t="str">
            <v>BAR,ANG CRS 1-3/8X118 ZINC DICHRO PLTG</v>
          </cell>
          <cell r="C6009" t="str">
            <v>EA</v>
          </cell>
          <cell r="D6009" t="str">
            <v>RM100</v>
          </cell>
          <cell r="E6009">
            <v>32.04</v>
          </cell>
          <cell r="G6009">
            <v>150107</v>
          </cell>
        </row>
        <row r="6010">
          <cell r="A6010">
            <v>150108</v>
          </cell>
          <cell r="B6010" t="str">
            <v>BAR,ANG CRS 7/8X120 ZINC DICHRO PLTG</v>
          </cell>
          <cell r="C6010" t="str">
            <v>EA</v>
          </cell>
          <cell r="D6010" t="str">
            <v>RM100</v>
          </cell>
          <cell r="E6010">
            <v>35.24</v>
          </cell>
          <cell r="G6010">
            <v>150108</v>
          </cell>
        </row>
        <row r="6011">
          <cell r="A6011">
            <v>150109</v>
          </cell>
          <cell r="B6011" t="str">
            <v>BAR,ANG CRS 1-3/8X120 ZINC DICHRO PLTG</v>
          </cell>
          <cell r="C6011" t="str">
            <v>EA</v>
          </cell>
          <cell r="D6011" t="str">
            <v>RM100</v>
          </cell>
          <cell r="E6011">
            <v>37.67</v>
          </cell>
          <cell r="G6011">
            <v>150109</v>
          </cell>
        </row>
        <row r="6012">
          <cell r="A6012">
            <v>150115</v>
          </cell>
          <cell r="B6012" t="str">
            <v>BAR,Z-ANG 2-1/4X2-3/8X144 10GA (HRS)*</v>
          </cell>
          <cell r="C6012" t="str">
            <v>EA</v>
          </cell>
          <cell r="D6012" t="str">
            <v>RM100</v>
          </cell>
          <cell r="E6012">
            <v>60.75</v>
          </cell>
          <cell r="G6012">
            <v>150115</v>
          </cell>
        </row>
        <row r="6013">
          <cell r="A6013">
            <v>150116</v>
          </cell>
          <cell r="B6013" t="str">
            <v>BAR,ANG 2X7/8X144 10GA (HRS)P/OIL ZN-DIC</v>
          </cell>
          <cell r="C6013" t="str">
            <v>EA</v>
          </cell>
          <cell r="D6013" t="str">
            <v>RM100</v>
          </cell>
          <cell r="E6013">
            <v>54.7</v>
          </cell>
          <cell r="G6013">
            <v>150116</v>
          </cell>
        </row>
        <row r="6014">
          <cell r="A6014">
            <v>150117</v>
          </cell>
          <cell r="B6014" t="str">
            <v>BAR,UNIV ANG (HR) 7/8X142 P/OIL ZN-DIC</v>
          </cell>
          <cell r="C6014" t="str">
            <v>EA</v>
          </cell>
          <cell r="D6014" t="str">
            <v>RM100</v>
          </cell>
          <cell r="E6014">
            <v>61.29</v>
          </cell>
          <cell r="G6014">
            <v>150117</v>
          </cell>
        </row>
        <row r="6015">
          <cell r="A6015">
            <v>150118</v>
          </cell>
          <cell r="B6015" t="str">
            <v>BAR,UNIV ANG (HR) 1-3/8X142 P/OIL ZN-DIC</v>
          </cell>
          <cell r="C6015" t="str">
            <v>EA</v>
          </cell>
          <cell r="D6015" t="str">
            <v>RM100</v>
          </cell>
          <cell r="E6015">
            <v>69.27</v>
          </cell>
          <cell r="G6015">
            <v>150118</v>
          </cell>
        </row>
        <row r="6016">
          <cell r="A6016">
            <v>150124</v>
          </cell>
          <cell r="B6016" t="str">
            <v>CMP,FLAT11GA 2"X46-3/4"DRL&amp;PLTD</v>
          </cell>
          <cell r="C6016" t="str">
            <v>EA</v>
          </cell>
          <cell r="D6016" t="str">
            <v>RM100</v>
          </cell>
          <cell r="E6016">
            <v>3.45</v>
          </cell>
          <cell r="G6016">
            <v>150124</v>
          </cell>
        </row>
        <row r="6017">
          <cell r="A6017">
            <v>150125</v>
          </cell>
          <cell r="B6017" t="str">
            <v>CMP,FLAT11GA 2"X 94-3/4"DRL&amp;PLTD</v>
          </cell>
          <cell r="C6017" t="str">
            <v>EA</v>
          </cell>
          <cell r="D6017" t="str">
            <v>RM100</v>
          </cell>
          <cell r="E6017">
            <v>6.99</v>
          </cell>
          <cell r="G6017">
            <v>150125</v>
          </cell>
        </row>
        <row r="6018">
          <cell r="A6018">
            <v>150126</v>
          </cell>
          <cell r="B6018" t="str">
            <v>CMP,FLAT11GA 2"x118-3/4"DRL&amp;PTLD</v>
          </cell>
          <cell r="C6018" t="str">
            <v>EA</v>
          </cell>
          <cell r="D6018" t="str">
            <v>RM100</v>
          </cell>
          <cell r="E6018">
            <v>8.76</v>
          </cell>
          <cell r="G6018">
            <v>150126</v>
          </cell>
        </row>
        <row r="6019">
          <cell r="A6019">
            <v>150127</v>
          </cell>
          <cell r="B6019" t="str">
            <v>CMP,FLAT11GA 2"X142-3/4"DRL&amp;PLTD***</v>
          </cell>
          <cell r="C6019" t="str">
            <v>EA</v>
          </cell>
          <cell r="D6019" t="str">
            <v>RM100</v>
          </cell>
          <cell r="E6019">
            <v>10.53</v>
          </cell>
          <cell r="G6019">
            <v>150127</v>
          </cell>
        </row>
        <row r="6020">
          <cell r="A6020">
            <v>150128</v>
          </cell>
          <cell r="B6020" t="str">
            <v>CMP,IS CNR 1/8" ALUM 118-3/4DRL 1"LEG*</v>
          </cell>
          <cell r="C6020" t="str">
            <v>EA</v>
          </cell>
          <cell r="D6020" t="str">
            <v>RM100</v>
          </cell>
          <cell r="E6020">
            <v>18.22</v>
          </cell>
          <cell r="G6020">
            <v>150128</v>
          </cell>
        </row>
        <row r="6021">
          <cell r="A6021">
            <v>150133</v>
          </cell>
          <cell r="B6021" t="str">
            <v>CMP,HAT 11GA2"X13-1/2"DRL&amp;PLTD</v>
          </cell>
          <cell r="C6021" t="str">
            <v>EA</v>
          </cell>
          <cell r="D6021" t="str">
            <v>RM100</v>
          </cell>
          <cell r="E6021">
            <v>4.3899999999999997</v>
          </cell>
          <cell r="G6021">
            <v>150133</v>
          </cell>
        </row>
        <row r="6022">
          <cell r="A6022">
            <v>150134</v>
          </cell>
          <cell r="B6022" t="str">
            <v>CMP,HAT 11GA2"X46-3/4"DRL&amp;PLTD</v>
          </cell>
          <cell r="C6022" t="str">
            <v>EA</v>
          </cell>
          <cell r="D6022" t="str">
            <v>RM100</v>
          </cell>
          <cell r="E6022">
            <v>4.3899999999999997</v>
          </cell>
          <cell r="G6022">
            <v>150134</v>
          </cell>
        </row>
        <row r="6023">
          <cell r="A6023">
            <v>150135</v>
          </cell>
          <cell r="B6023" t="str">
            <v>CMP,HAT 11GA2"X94-3/4"DRL</v>
          </cell>
          <cell r="C6023" t="str">
            <v>EA</v>
          </cell>
          <cell r="D6023" t="str">
            <v>RM100</v>
          </cell>
          <cell r="E6023">
            <v>8.89</v>
          </cell>
          <cell r="G6023">
            <v>150135</v>
          </cell>
        </row>
        <row r="6024">
          <cell r="A6024">
            <v>150136</v>
          </cell>
          <cell r="B6024" t="str">
            <v>CMP,HAT 11GA2"X118-3/4DRL&amp;PLTD</v>
          </cell>
          <cell r="C6024" t="str">
            <v>EA</v>
          </cell>
          <cell r="D6024" t="str">
            <v>RM100</v>
          </cell>
          <cell r="E6024">
            <v>11.14</v>
          </cell>
          <cell r="G6024">
            <v>150136</v>
          </cell>
        </row>
        <row r="6025">
          <cell r="A6025">
            <v>150137</v>
          </cell>
          <cell r="B6025" t="str">
            <v>CMP,HAT 11GA2"X142-3/4DRL&amp;PLTD</v>
          </cell>
          <cell r="C6025" t="str">
            <v>EA</v>
          </cell>
          <cell r="D6025" t="str">
            <v>RM100</v>
          </cell>
          <cell r="E6025">
            <v>13.4</v>
          </cell>
          <cell r="G6025">
            <v>150137</v>
          </cell>
        </row>
        <row r="6026">
          <cell r="A6026">
            <v>150138</v>
          </cell>
          <cell r="B6026" t="str">
            <v>CMP,FLAT11GA2 X142-3/4DRL&amp;PLT&amp;ARC</v>
          </cell>
          <cell r="C6026" t="str">
            <v>EA</v>
          </cell>
          <cell r="D6026" t="str">
            <v>MA100</v>
          </cell>
          <cell r="E6026">
            <v>13.4</v>
          </cell>
          <cell r="G6026">
            <v>150138</v>
          </cell>
        </row>
        <row r="6027">
          <cell r="A6027" t="str">
            <v>150138-OP</v>
          </cell>
          <cell r="B6027" t="str">
            <v>CMP,FLAT11GA2 X142-3/4DRL&amp;PLT&amp;ARC</v>
          </cell>
          <cell r="C6027" t="str">
            <v>EA</v>
          </cell>
          <cell r="D6027" t="str">
            <v>MA100</v>
          </cell>
          <cell r="E6027">
            <v>0</v>
          </cell>
          <cell r="G6027" t="str">
            <v>150138-OP</v>
          </cell>
        </row>
        <row r="6028">
          <cell r="A6028">
            <v>150139</v>
          </cell>
          <cell r="B6028" t="str">
            <v>CMP,FLAT ALUM 2"X119-1/2"DRL&amp; ARC SP</v>
          </cell>
          <cell r="C6028" t="str">
            <v>EA</v>
          </cell>
          <cell r="D6028" t="str">
            <v>RM100</v>
          </cell>
          <cell r="E6028">
            <v>23.46</v>
          </cell>
          <cell r="G6028">
            <v>150139</v>
          </cell>
        </row>
        <row r="6029">
          <cell r="A6029">
            <v>150140</v>
          </cell>
          <cell r="B6029" t="str">
            <v>CMP,FLAT11GA2 X142-3/4DRL&amp;CSK&amp;ARC</v>
          </cell>
          <cell r="C6029" t="str">
            <v>EA</v>
          </cell>
          <cell r="D6029" t="str">
            <v>MA100</v>
          </cell>
          <cell r="E6029">
            <v>36.32</v>
          </cell>
          <cell r="G6029">
            <v>150140</v>
          </cell>
        </row>
        <row r="6030">
          <cell r="A6030" t="str">
            <v>150140-OP</v>
          </cell>
          <cell r="B6030" t="str">
            <v>CMP,FLAT11GA2 X142-3/4DRL&amp;CSK&amp;ARC</v>
          </cell>
          <cell r="C6030" t="str">
            <v>EA</v>
          </cell>
          <cell r="D6030" t="str">
            <v>RM100</v>
          </cell>
          <cell r="E6030">
            <v>23.21</v>
          </cell>
          <cell r="G6030" t="str">
            <v>150140-OP</v>
          </cell>
        </row>
        <row r="6031">
          <cell r="A6031">
            <v>150141</v>
          </cell>
          <cell r="B6031" t="str">
            <v>CMP,FLAT11GA2 X94-3/4DRL&amp;PLT&amp;ARC</v>
          </cell>
          <cell r="C6031" t="str">
            <v>EA</v>
          </cell>
          <cell r="D6031" t="str">
            <v>MA100</v>
          </cell>
          <cell r="E6031">
            <v>6.99</v>
          </cell>
          <cell r="G6031">
            <v>150141</v>
          </cell>
        </row>
        <row r="6032">
          <cell r="A6032" t="str">
            <v>150141-OP</v>
          </cell>
          <cell r="B6032" t="str">
            <v>CMP,FLAT11GA2 X 94-3/4DRL&amp;PLT&amp;ARC</v>
          </cell>
          <cell r="C6032" t="str">
            <v>EA</v>
          </cell>
          <cell r="D6032" t="str">
            <v>MA100</v>
          </cell>
          <cell r="E6032">
            <v>0</v>
          </cell>
          <cell r="G6032" t="str">
            <v>150141-OP</v>
          </cell>
        </row>
        <row r="6033">
          <cell r="A6033">
            <v>150142</v>
          </cell>
          <cell r="B6033" t="str">
            <v>CMP,FLAT11GA2"X46-3/4"DRL&amp;PLT&amp;ARC</v>
          </cell>
          <cell r="C6033" t="str">
            <v>EA</v>
          </cell>
          <cell r="D6033" t="str">
            <v>MA100</v>
          </cell>
          <cell r="E6033">
            <v>11.05</v>
          </cell>
          <cell r="G6033">
            <v>150142</v>
          </cell>
        </row>
        <row r="6034">
          <cell r="A6034" t="str">
            <v>150142-OP</v>
          </cell>
          <cell r="B6034" t="str">
            <v>CMP,FLAT11GA2"X46-3/4"DRL&amp;PLT&amp;ARC</v>
          </cell>
          <cell r="C6034" t="str">
            <v>EA</v>
          </cell>
          <cell r="D6034" t="str">
            <v>MA100</v>
          </cell>
          <cell r="E6034">
            <v>7.6</v>
          </cell>
          <cell r="G6034" t="str">
            <v>150142-OP</v>
          </cell>
        </row>
        <row r="6035">
          <cell r="A6035">
            <v>150143</v>
          </cell>
          <cell r="B6035" t="str">
            <v>CMP,FLAT ALUM 2"X118-3/4"DRL&amp;CSK</v>
          </cell>
          <cell r="C6035" t="str">
            <v>EA</v>
          </cell>
          <cell r="D6035" t="str">
            <v>RM100</v>
          </cell>
          <cell r="E6035">
            <v>16.500820000000001</v>
          </cell>
          <cell r="G6035">
            <v>150143</v>
          </cell>
        </row>
        <row r="6036">
          <cell r="A6036">
            <v>150144</v>
          </cell>
          <cell r="B6036" t="str">
            <v>CMP,IS CNR 11GA94-3/4"DRL&amp;PLTD &amp; ARC</v>
          </cell>
          <cell r="C6036" t="str">
            <v>EA</v>
          </cell>
          <cell r="D6036" t="str">
            <v>MA100</v>
          </cell>
          <cell r="E6036">
            <v>6.78</v>
          </cell>
          <cell r="G6036">
            <v>150144</v>
          </cell>
        </row>
        <row r="6037">
          <cell r="A6037" t="str">
            <v>150144-OP</v>
          </cell>
          <cell r="B6037" t="str">
            <v>CMP,IS CNR 11GA94-3/4"DRL&amp;PLTD &amp; ARC</v>
          </cell>
          <cell r="C6037" t="str">
            <v>EA</v>
          </cell>
          <cell r="D6037" t="str">
            <v>MA100</v>
          </cell>
          <cell r="E6037">
            <v>0</v>
          </cell>
          <cell r="G6037" t="str">
            <v>150144-OP</v>
          </cell>
        </row>
        <row r="6038">
          <cell r="A6038">
            <v>150145</v>
          </cell>
          <cell r="B6038" t="str">
            <v>CMP,IS CNR 11GA94-3/4"DRL&amp;PLTD 1'LEG</v>
          </cell>
          <cell r="C6038" t="str">
            <v>EA</v>
          </cell>
          <cell r="D6038" t="str">
            <v>RM100</v>
          </cell>
          <cell r="E6038">
            <v>6.78</v>
          </cell>
          <cell r="G6038">
            <v>150145</v>
          </cell>
        </row>
        <row r="6039">
          <cell r="A6039">
            <v>150146</v>
          </cell>
          <cell r="B6039" t="str">
            <v>CMP,IS CNR 11GA118-3/4DRL&amp;PLTD 1"LEG</v>
          </cell>
          <cell r="C6039" t="str">
            <v>EA</v>
          </cell>
          <cell r="D6039" t="str">
            <v>RM100</v>
          </cell>
          <cell r="E6039">
            <v>8.49</v>
          </cell>
          <cell r="G6039">
            <v>150146</v>
          </cell>
        </row>
        <row r="6040">
          <cell r="A6040">
            <v>150147</v>
          </cell>
          <cell r="B6040" t="str">
            <v>CMP,IS CNR 11GA142-3/4DRL&amp;PLTD 1"LEG</v>
          </cell>
          <cell r="C6040" t="str">
            <v>EA</v>
          </cell>
          <cell r="D6040" t="str">
            <v>RM100</v>
          </cell>
          <cell r="E6040">
            <v>10.210000000000001</v>
          </cell>
          <cell r="G6040">
            <v>150147</v>
          </cell>
        </row>
        <row r="6041">
          <cell r="A6041">
            <v>150148</v>
          </cell>
          <cell r="B6041" t="str">
            <v>CMP,IS CNR 11GA118-3/4DRL&amp;PLTD ARC</v>
          </cell>
          <cell r="C6041" t="str">
            <v>EA</v>
          </cell>
          <cell r="D6041" t="str">
            <v>MA100</v>
          </cell>
          <cell r="E6041">
            <v>8.49</v>
          </cell>
          <cell r="G6041">
            <v>150148</v>
          </cell>
        </row>
        <row r="6042">
          <cell r="A6042" t="str">
            <v>150148-OP</v>
          </cell>
          <cell r="B6042" t="str">
            <v>CMP,IS CNR 11GA118-3/4DRL&amp;PLTD ARC</v>
          </cell>
          <cell r="C6042" t="str">
            <v>EA</v>
          </cell>
          <cell r="D6042" t="str">
            <v>MA100</v>
          </cell>
          <cell r="E6042">
            <v>0</v>
          </cell>
          <cell r="G6042" t="str">
            <v>150148-OP</v>
          </cell>
        </row>
        <row r="6043">
          <cell r="A6043">
            <v>150149</v>
          </cell>
          <cell r="B6043" t="str">
            <v>CMP,IS CNR 11GA142-3/4DRL&amp;PLTD ARC</v>
          </cell>
          <cell r="C6043" t="str">
            <v>EA</v>
          </cell>
          <cell r="D6043" t="str">
            <v>MA100</v>
          </cell>
          <cell r="E6043">
            <v>10.210000000000001</v>
          </cell>
          <cell r="G6043">
            <v>150149</v>
          </cell>
        </row>
        <row r="6044">
          <cell r="A6044" t="str">
            <v>150149-OP</v>
          </cell>
          <cell r="B6044" t="str">
            <v>CMP,IS CNR 11GA142-3/4DRL&amp;PLTD ARC</v>
          </cell>
          <cell r="C6044" t="str">
            <v>EA</v>
          </cell>
          <cell r="D6044" t="str">
            <v>MA100</v>
          </cell>
          <cell r="E6044">
            <v>0</v>
          </cell>
          <cell r="G6044" t="str">
            <v>150149-OP</v>
          </cell>
        </row>
        <row r="6045">
          <cell r="A6045">
            <v>150155</v>
          </cell>
          <cell r="B6045" t="str">
            <v>CMP,W11GA 1.87LEGX94-3/4 DRL&amp;PLTD</v>
          </cell>
          <cell r="C6045" t="str">
            <v>EA</v>
          </cell>
          <cell r="D6045" t="str">
            <v>RM100</v>
          </cell>
          <cell r="E6045">
            <v>9.27</v>
          </cell>
          <cell r="G6045">
            <v>150155</v>
          </cell>
        </row>
        <row r="6046">
          <cell r="A6046">
            <v>150156</v>
          </cell>
          <cell r="B6046" t="str">
            <v>CMP,W11G X1.87LEG X118-3/4 DRL&amp;PLTD</v>
          </cell>
          <cell r="C6046" t="str">
            <v>EA</v>
          </cell>
          <cell r="D6046" t="str">
            <v>RM100</v>
          </cell>
          <cell r="E6046">
            <v>11.35</v>
          </cell>
          <cell r="G6046">
            <v>150156</v>
          </cell>
        </row>
        <row r="6047">
          <cell r="A6047">
            <v>150157</v>
          </cell>
          <cell r="B6047" t="str">
            <v>CMP,W11Gx1.87LEG x142-3/4 DRL&amp;PLTD</v>
          </cell>
          <cell r="C6047" t="str">
            <v>EA</v>
          </cell>
          <cell r="D6047" t="str">
            <v>RM100</v>
          </cell>
          <cell r="E6047">
            <v>13.97</v>
          </cell>
          <cell r="G6047">
            <v>150157</v>
          </cell>
        </row>
        <row r="6048">
          <cell r="A6048">
            <v>150162</v>
          </cell>
          <cell r="B6048" t="str">
            <v>CLIP,CHAIR,SPCR11GAX8"LGDRL&amp;PLTD&amp;RLFRMD</v>
          </cell>
          <cell r="C6048" t="str">
            <v>EA</v>
          </cell>
          <cell r="D6048" t="str">
            <v>RM100</v>
          </cell>
          <cell r="E6048">
            <v>0.28999999999999998</v>
          </cell>
          <cell r="G6048">
            <v>150162</v>
          </cell>
        </row>
        <row r="6049">
          <cell r="A6049">
            <v>150164</v>
          </cell>
          <cell r="B6049" t="str">
            <v>CMP,FLAT11GAX2"X46-3/4"DRL&amp;PLTD&amp;CSK*</v>
          </cell>
          <cell r="C6049" t="str">
            <v>EA</v>
          </cell>
          <cell r="D6049" t="str">
            <v>RM100</v>
          </cell>
          <cell r="E6049">
            <v>4.2699999999999996</v>
          </cell>
          <cell r="G6049">
            <v>150164</v>
          </cell>
        </row>
        <row r="6050">
          <cell r="A6050">
            <v>150165</v>
          </cell>
          <cell r="B6050" t="str">
            <v>CMP,FLAT11GAX2"X94-3/4"DRL&amp;PLTD&amp;CSK*</v>
          </cell>
          <cell r="C6050" t="str">
            <v>EA</v>
          </cell>
          <cell r="D6050" t="str">
            <v>RM100</v>
          </cell>
          <cell r="E6050">
            <v>8.66</v>
          </cell>
          <cell r="G6050">
            <v>150165</v>
          </cell>
        </row>
        <row r="6051">
          <cell r="A6051">
            <v>150166</v>
          </cell>
          <cell r="B6051" t="str">
            <v>CMP,FLAT11GAX2"X118-3/4"DRL&amp;PLTD&amp;CSK*</v>
          </cell>
          <cell r="C6051" t="str">
            <v>EA</v>
          </cell>
          <cell r="D6051" t="str">
            <v>RM100</v>
          </cell>
          <cell r="E6051">
            <v>10.84</v>
          </cell>
          <cell r="G6051">
            <v>150166</v>
          </cell>
        </row>
        <row r="6052">
          <cell r="A6052">
            <v>150167</v>
          </cell>
          <cell r="B6052" t="str">
            <v>CMP,FLAT11GAX2"X142-3/4"DRL&amp;PLTD&amp;CSK*</v>
          </cell>
          <cell r="C6052" t="str">
            <v>EA</v>
          </cell>
          <cell r="D6052" t="str">
            <v>RM100</v>
          </cell>
          <cell r="E6052">
            <v>13.11</v>
          </cell>
          <cell r="G6052">
            <v>150167</v>
          </cell>
        </row>
        <row r="6053">
          <cell r="A6053">
            <v>150169</v>
          </cell>
          <cell r="B6053" t="str">
            <v>CMP,W11GAX1.87LEGX118 3/4DRL&amp;PLTD&amp;ARC</v>
          </cell>
          <cell r="C6053" t="str">
            <v>EA</v>
          </cell>
          <cell r="D6053" t="str">
            <v>MA100</v>
          </cell>
          <cell r="E6053">
            <v>36.536499999999997</v>
          </cell>
          <cell r="G6053">
            <v>150169</v>
          </cell>
        </row>
        <row r="6054">
          <cell r="A6054" t="str">
            <v>150169-OP</v>
          </cell>
          <cell r="B6054" t="str">
            <v>CMP,W11GAX1.87LEGX118 3/4DRL&amp;PLTD&amp;ARC</v>
          </cell>
          <cell r="C6054" t="str">
            <v>EA</v>
          </cell>
          <cell r="D6054" t="str">
            <v>MA100</v>
          </cell>
          <cell r="E6054">
            <v>19.3</v>
          </cell>
          <cell r="G6054" t="str">
            <v>150169-OP</v>
          </cell>
        </row>
        <row r="6055">
          <cell r="A6055">
            <v>150180</v>
          </cell>
          <cell r="B6055" t="str">
            <v>CMP,FLAT11GA2"X46-3/4"DRL&amp;CSK&amp;ARC</v>
          </cell>
          <cell r="C6055" t="str">
            <v>EA</v>
          </cell>
          <cell r="D6055" t="str">
            <v>MA100</v>
          </cell>
          <cell r="E6055">
            <v>11.87</v>
          </cell>
          <cell r="G6055">
            <v>150180</v>
          </cell>
        </row>
        <row r="6056">
          <cell r="A6056" t="str">
            <v>150180-OP</v>
          </cell>
          <cell r="B6056" t="str">
            <v>CMP,FLAT11GA2"X46-3/4"DRL&amp;PLTD&amp;CSK&amp;ARC*</v>
          </cell>
          <cell r="C6056" t="str">
            <v>EA</v>
          </cell>
          <cell r="D6056" t="str">
            <v>MA100</v>
          </cell>
          <cell r="E6056">
            <v>7.6</v>
          </cell>
          <cell r="G6056" t="str">
            <v>150180-OP</v>
          </cell>
        </row>
        <row r="6057">
          <cell r="A6057">
            <v>150181</v>
          </cell>
          <cell r="B6057" t="str">
            <v>CMP,FLAT11GA2"X94-3/4"DRL&amp;CSK&amp;ARC</v>
          </cell>
          <cell r="C6057" t="str">
            <v>EA</v>
          </cell>
          <cell r="D6057" t="str">
            <v>MA100</v>
          </cell>
          <cell r="E6057">
            <v>34.649000000000001</v>
          </cell>
          <cell r="G6057">
            <v>150181</v>
          </cell>
        </row>
        <row r="6058">
          <cell r="A6058" t="str">
            <v>150181-OP</v>
          </cell>
          <cell r="B6058" t="str">
            <v>CMP,FLAT11GA2"X94-3/4"DRL&amp;PLTD&amp;CSK&amp;ARC*</v>
          </cell>
          <cell r="C6058" t="str">
            <v>EA</v>
          </cell>
          <cell r="D6058" t="str">
            <v>MA100</v>
          </cell>
          <cell r="E6058">
            <v>15.4</v>
          </cell>
          <cell r="G6058" t="str">
            <v>150181-OP</v>
          </cell>
        </row>
        <row r="6059">
          <cell r="A6059">
            <v>150182</v>
          </cell>
          <cell r="B6059" t="str">
            <v>CMP,FLAT11GA2 X118-3/4DRL&amp;CSK&amp;ARC</v>
          </cell>
          <cell r="C6059" t="str">
            <v>EA</v>
          </cell>
          <cell r="D6059" t="str">
            <v>MA100</v>
          </cell>
          <cell r="E6059">
            <v>21.435700000000001</v>
          </cell>
          <cell r="G6059">
            <v>150182</v>
          </cell>
        </row>
        <row r="6060">
          <cell r="A6060" t="str">
            <v>150182-OP</v>
          </cell>
          <cell r="B6060" t="str">
            <v>CMP,FLAT11GA2 X118-3/4DRL&amp;PLTD&amp;CSK&amp;ARC</v>
          </cell>
          <cell r="C6060" t="str">
            <v>EA</v>
          </cell>
          <cell r="D6060" t="str">
            <v>MA100</v>
          </cell>
          <cell r="E6060">
            <v>0</v>
          </cell>
          <cell r="G6060" t="str">
            <v>150182-OP</v>
          </cell>
        </row>
        <row r="6061">
          <cell r="A6061">
            <v>150190</v>
          </cell>
          <cell r="B6061" t="str">
            <v>CMP,FLAT11GA2"X118-3/4"DRL&amp;PLTD&amp;ARC</v>
          </cell>
          <cell r="C6061" t="str">
            <v>EA</v>
          </cell>
          <cell r="D6061" t="str">
            <v>MA100</v>
          </cell>
          <cell r="E6061">
            <v>28.06</v>
          </cell>
          <cell r="G6061">
            <v>150190</v>
          </cell>
        </row>
        <row r="6062">
          <cell r="A6062">
            <v>150193</v>
          </cell>
          <cell r="B6062" t="str">
            <v>ACS,SPLICE COVER,AL</v>
          </cell>
          <cell r="C6062" t="str">
            <v>EA</v>
          </cell>
          <cell r="D6062" t="str">
            <v>RM100</v>
          </cell>
          <cell r="E6062">
            <v>11.5</v>
          </cell>
          <cell r="G6062">
            <v>150193</v>
          </cell>
        </row>
        <row r="6063">
          <cell r="A6063">
            <v>150194</v>
          </cell>
          <cell r="B6063" t="str">
            <v>ACS,CORNER COVER,AL</v>
          </cell>
          <cell r="C6063" t="str">
            <v>EA</v>
          </cell>
          <cell r="D6063" t="str">
            <v>RM100</v>
          </cell>
          <cell r="E6063">
            <v>6.48</v>
          </cell>
          <cell r="G6063">
            <v>150194</v>
          </cell>
        </row>
        <row r="6064">
          <cell r="A6064">
            <v>150195</v>
          </cell>
          <cell r="B6064" t="str">
            <v>ACS,ANGLE CLAMP,AL</v>
          </cell>
          <cell r="C6064" t="str">
            <v>EA</v>
          </cell>
          <cell r="D6064" t="str">
            <v>RM100</v>
          </cell>
          <cell r="E6064">
            <v>9.9</v>
          </cell>
          <cell r="G6064">
            <v>150195</v>
          </cell>
        </row>
        <row r="6065">
          <cell r="A6065">
            <v>150196</v>
          </cell>
          <cell r="B6065" t="str">
            <v>ACS,CORNER BRACKET,AL</v>
          </cell>
          <cell r="C6065" t="str">
            <v>EA</v>
          </cell>
          <cell r="D6065" t="str">
            <v>RM100</v>
          </cell>
          <cell r="E6065">
            <v>37.799999999999997</v>
          </cell>
          <cell r="G6065">
            <v>150196</v>
          </cell>
        </row>
        <row r="6066">
          <cell r="A6066">
            <v>150198</v>
          </cell>
          <cell r="B6066" t="str">
            <v>CMP,FLAT,1/8 ALx2"X46-3/4"DRL&amp;CSK</v>
          </cell>
          <cell r="C6066" t="str">
            <v>EA</v>
          </cell>
          <cell r="D6066" t="str">
            <v>RM100</v>
          </cell>
          <cell r="E6066">
            <v>4.1159999999999997</v>
          </cell>
          <cell r="G6066">
            <v>150198</v>
          </cell>
        </row>
        <row r="6067">
          <cell r="A6067">
            <v>150200</v>
          </cell>
          <cell r="B6067" t="str">
            <v>CMP,FLAT,1/8 ALx2"X94-3/4"DRL&amp;CSK</v>
          </cell>
          <cell r="C6067" t="str">
            <v>EA</v>
          </cell>
          <cell r="D6067" t="str">
            <v>RM100</v>
          </cell>
          <cell r="E6067">
            <v>8.3219999999999992</v>
          </cell>
          <cell r="G6067">
            <v>150200</v>
          </cell>
        </row>
        <row r="6068">
          <cell r="A6068">
            <v>150304</v>
          </cell>
          <cell r="B6068" t="str">
            <v>PLT,BR,CRYO/CHILLER,PMS 1.5T, 3/16X13.75</v>
          </cell>
          <cell r="C6068" t="str">
            <v>EA</v>
          </cell>
          <cell r="D6068" t="str">
            <v>RM100</v>
          </cell>
          <cell r="E6068">
            <v>122</v>
          </cell>
          <cell r="G6068">
            <v>150304</v>
          </cell>
        </row>
        <row r="6069">
          <cell r="A6069">
            <v>150305</v>
          </cell>
          <cell r="B6069" t="str">
            <v>PLT,BR,CRYO,PMS 3T,3/16X21.75SQ W/M8X.</v>
          </cell>
          <cell r="C6069" t="str">
            <v>EA</v>
          </cell>
          <cell r="D6069" t="str">
            <v>RM100</v>
          </cell>
          <cell r="E6069">
            <v>324.61</v>
          </cell>
          <cell r="G6069">
            <v>150305</v>
          </cell>
        </row>
        <row r="6070">
          <cell r="A6070">
            <v>150400</v>
          </cell>
          <cell r="B6070" t="str">
            <v>SEAM,FLR,ALUM4"X142-1/4"PEEL OFF PLASTIC</v>
          </cell>
          <cell r="C6070" t="str">
            <v>EA</v>
          </cell>
          <cell r="D6070" t="str">
            <v>RM100</v>
          </cell>
          <cell r="E6070">
            <v>43.07</v>
          </cell>
          <cell r="G6070">
            <v>150400</v>
          </cell>
        </row>
        <row r="6071">
          <cell r="A6071">
            <v>150401</v>
          </cell>
          <cell r="B6071" t="str">
            <v>SEAM,FLR,ALUM4"X118-1/4"PEEL OFF PLASTIC</v>
          </cell>
          <cell r="C6071" t="str">
            <v>EA</v>
          </cell>
          <cell r="D6071" t="str">
            <v>RM100</v>
          </cell>
          <cell r="E6071">
            <v>31.21</v>
          </cell>
          <cell r="G6071">
            <v>150401</v>
          </cell>
        </row>
        <row r="6072">
          <cell r="A6072">
            <v>150405</v>
          </cell>
          <cell r="B6072" t="str">
            <v>STUD CLIP, 1-1/2"X1-1/2"X2" BENT@ 90°</v>
          </cell>
          <cell r="C6072" t="str">
            <v>EA</v>
          </cell>
          <cell r="D6072" t="str">
            <v>MA100</v>
          </cell>
          <cell r="E6072">
            <v>3.066E-2</v>
          </cell>
          <cell r="G6072">
            <v>150405</v>
          </cell>
        </row>
        <row r="6073">
          <cell r="A6073">
            <v>150408</v>
          </cell>
          <cell r="B6073" t="str">
            <v>STL,.006X1"SOFT,TIN,PLT.25 BRIT ACID*</v>
          </cell>
          <cell r="C6073" t="str">
            <v>FT</v>
          </cell>
          <cell r="D6073" t="str">
            <v>RM100</v>
          </cell>
          <cell r="E6073">
            <v>3.5000000000000003E-2</v>
          </cell>
          <cell r="G6073">
            <v>150408</v>
          </cell>
        </row>
        <row r="6074">
          <cell r="A6074">
            <v>150409</v>
          </cell>
          <cell r="B6074" t="str">
            <v>CU,.005"X2" TIN DIPPED, ALLOY 110</v>
          </cell>
          <cell r="C6074" t="str">
            <v>FT</v>
          </cell>
          <cell r="D6074" t="str">
            <v>RM100</v>
          </cell>
          <cell r="E6074">
            <v>0.51010345000000001</v>
          </cell>
          <cell r="G6074">
            <v>150409</v>
          </cell>
        </row>
        <row r="6075">
          <cell r="A6075">
            <v>150619</v>
          </cell>
          <cell r="B6075" t="str">
            <v>VENT,PATIENT ALUM 6"X20" W/10"X24"X1/4*</v>
          </cell>
          <cell r="C6075" t="str">
            <v>EA</v>
          </cell>
          <cell r="D6075" t="str">
            <v>RM100</v>
          </cell>
          <cell r="E6075">
            <v>109.2663</v>
          </cell>
          <cell r="G6075">
            <v>150619</v>
          </cell>
        </row>
        <row r="6076">
          <cell r="A6076">
            <v>151001</v>
          </cell>
          <cell r="B6076" t="str">
            <v>CAP,BSE CU 1-9/16"X1-25/32"X2-21/32"X10'</v>
          </cell>
          <cell r="C6076" t="str">
            <v>EA</v>
          </cell>
          <cell r="D6076" t="str">
            <v>MA100</v>
          </cell>
          <cell r="E6076">
            <v>21.908829999999998</v>
          </cell>
          <cell r="G6076">
            <v>151001</v>
          </cell>
        </row>
        <row r="6077">
          <cell r="A6077">
            <v>151004</v>
          </cell>
          <cell r="B6077" t="str">
            <v>ASSY,HAT&amp;FLAT STD 46-3/4"</v>
          </cell>
          <cell r="C6077" t="str">
            <v>EA</v>
          </cell>
          <cell r="D6077" t="str">
            <v>MA100</v>
          </cell>
          <cell r="E6077">
            <v>12.27</v>
          </cell>
          <cell r="G6077">
            <v>151004</v>
          </cell>
        </row>
        <row r="6078">
          <cell r="A6078">
            <v>151005</v>
          </cell>
          <cell r="B6078" t="str">
            <v>ASSY,HAT&amp;FLAT STD 94-3/4"</v>
          </cell>
          <cell r="C6078" t="str">
            <v>EA</v>
          </cell>
          <cell r="D6078" t="str">
            <v>MA100</v>
          </cell>
          <cell r="E6078">
            <v>21.02</v>
          </cell>
          <cell r="G6078">
            <v>151005</v>
          </cell>
        </row>
        <row r="6079">
          <cell r="A6079">
            <v>151006</v>
          </cell>
          <cell r="B6079" t="str">
            <v>ASSY,HAT&amp;FLAT STD 118-3/4"</v>
          </cell>
          <cell r="C6079" t="str">
            <v>EA</v>
          </cell>
          <cell r="D6079" t="str">
            <v>MA100</v>
          </cell>
          <cell r="E6079">
            <v>25.56</v>
          </cell>
          <cell r="G6079">
            <v>151006</v>
          </cell>
        </row>
        <row r="6080">
          <cell r="A6080">
            <v>151007</v>
          </cell>
          <cell r="B6080" t="str">
            <v>ASSY,HAT&amp;FLAT STD 142-3/4"*</v>
          </cell>
          <cell r="C6080" t="str">
            <v>EA</v>
          </cell>
          <cell r="D6080" t="str">
            <v>MA100</v>
          </cell>
          <cell r="E6080">
            <v>30.3</v>
          </cell>
          <cell r="G6080">
            <v>151007</v>
          </cell>
        </row>
        <row r="6081">
          <cell r="A6081">
            <v>151008</v>
          </cell>
          <cell r="B6081" t="str">
            <v>ASSY,MEDGAS WVGD FDTHRU W/(3)1/2"&amp; (1)*</v>
          </cell>
          <cell r="C6081" t="str">
            <v>EA</v>
          </cell>
          <cell r="D6081" t="str">
            <v>MA100</v>
          </cell>
          <cell r="E6081">
            <v>117.30873</v>
          </cell>
          <cell r="G6081">
            <v>151008</v>
          </cell>
        </row>
        <row r="6082">
          <cell r="A6082">
            <v>151010</v>
          </cell>
          <cell r="B6082" t="str">
            <v>ASS'Y, DOOR STOP, POST/MAGNET</v>
          </cell>
          <cell r="C6082" t="str">
            <v>EA</v>
          </cell>
          <cell r="D6082" t="str">
            <v>MA100</v>
          </cell>
          <cell r="E6082">
            <v>91.77758</v>
          </cell>
          <cell r="G6082">
            <v>151010</v>
          </cell>
        </row>
        <row r="6083">
          <cell r="A6083">
            <v>151014</v>
          </cell>
          <cell r="B6083" t="str">
            <v>ASSY,HAT&amp;FLAT CSK 46-3/4"</v>
          </cell>
          <cell r="C6083" t="str">
            <v>EA</v>
          </cell>
          <cell r="D6083" t="str">
            <v>MA100</v>
          </cell>
          <cell r="E6083">
            <v>13.09</v>
          </cell>
          <cell r="G6083">
            <v>151014</v>
          </cell>
        </row>
        <row r="6084">
          <cell r="A6084">
            <v>151015</v>
          </cell>
          <cell r="B6084" t="str">
            <v>ASSY,HAT&amp;FLAT CSK 94-3/4</v>
          </cell>
          <cell r="C6084" t="str">
            <v>EA</v>
          </cell>
          <cell r="D6084" t="str">
            <v>MA100</v>
          </cell>
          <cell r="E6084">
            <v>22.68</v>
          </cell>
          <cell r="G6084">
            <v>151015</v>
          </cell>
        </row>
        <row r="6085">
          <cell r="A6085">
            <v>151016</v>
          </cell>
          <cell r="B6085" t="str">
            <v>ASSY,HAT&amp;FLAT CSK 118-3/4"</v>
          </cell>
          <cell r="C6085" t="str">
            <v>EA</v>
          </cell>
          <cell r="D6085" t="str">
            <v>MA100</v>
          </cell>
          <cell r="E6085">
            <v>27.63</v>
          </cell>
          <cell r="G6085">
            <v>151016</v>
          </cell>
        </row>
        <row r="6086">
          <cell r="A6086">
            <v>151017</v>
          </cell>
          <cell r="B6086" t="str">
            <v>ASSY,HAT&amp;FLAT CSK 142-3/4"</v>
          </cell>
          <cell r="C6086" t="str">
            <v>EA</v>
          </cell>
          <cell r="D6086" t="str">
            <v>MA100</v>
          </cell>
          <cell r="E6086">
            <v>32.799999999999997</v>
          </cell>
          <cell r="G6086">
            <v>151017</v>
          </cell>
        </row>
        <row r="6087">
          <cell r="A6087">
            <v>151018</v>
          </cell>
          <cell r="B6087" t="str">
            <v>DUCT,PLEN ALUM W/2-8" ROUNDS 14x26*</v>
          </cell>
          <cell r="C6087" t="str">
            <v>EA</v>
          </cell>
          <cell r="D6087" t="str">
            <v>RM100</v>
          </cell>
          <cell r="E6087">
            <v>21.9</v>
          </cell>
          <cell r="G6087">
            <v>151018</v>
          </cell>
        </row>
        <row r="6088">
          <cell r="A6088">
            <v>151019</v>
          </cell>
          <cell r="B6088" t="str">
            <v>ASSY,HAT&amp;FLAT STD 142-3/4"W/ARC SPRAY</v>
          </cell>
          <cell r="C6088" t="str">
            <v>EA</v>
          </cell>
          <cell r="D6088" t="str">
            <v>MA100</v>
          </cell>
          <cell r="E6088">
            <v>26.951599999999999</v>
          </cell>
          <cell r="G6088">
            <v>151019</v>
          </cell>
        </row>
        <row r="6089">
          <cell r="A6089">
            <v>151020</v>
          </cell>
          <cell r="B6089" t="str">
            <v>ASSY,HAT&amp;FLAT STD 118-3/4"W/ARC SPRAY</v>
          </cell>
          <cell r="C6089" t="str">
            <v>EA</v>
          </cell>
          <cell r="D6089" t="str">
            <v>MA100</v>
          </cell>
          <cell r="E6089">
            <v>39.351599999999998</v>
          </cell>
          <cell r="G6089">
            <v>151020</v>
          </cell>
        </row>
        <row r="6090">
          <cell r="A6090">
            <v>151021</v>
          </cell>
          <cell r="B6090" t="str">
            <v>ASSY,HAT&amp;FLAT STD 94-3/4"W/ARC SPRAY</v>
          </cell>
          <cell r="C6090" t="str">
            <v>EA</v>
          </cell>
          <cell r="D6090" t="str">
            <v>MA100</v>
          </cell>
          <cell r="E6090">
            <v>15.9937</v>
          </cell>
          <cell r="G6090">
            <v>151021</v>
          </cell>
        </row>
        <row r="6091">
          <cell r="A6091">
            <v>151022</v>
          </cell>
          <cell r="B6091" t="str">
            <v>ASSY,HAT&amp;FLAT STD 46-3/4"W/ARC SPRAY</v>
          </cell>
          <cell r="C6091" t="str">
            <v>EA</v>
          </cell>
          <cell r="D6091" t="str">
            <v>MA100</v>
          </cell>
          <cell r="E6091">
            <v>15.553699999999999</v>
          </cell>
          <cell r="G6091">
            <v>151022</v>
          </cell>
        </row>
        <row r="6092">
          <cell r="A6092">
            <v>151025</v>
          </cell>
          <cell r="B6092" t="str">
            <v>ASSY,U&amp;W 94-3/4"</v>
          </cell>
          <cell r="C6092" t="str">
            <v>EA</v>
          </cell>
          <cell r="D6092" t="str">
            <v>MA100</v>
          </cell>
          <cell r="E6092">
            <v>21.92</v>
          </cell>
          <cell r="G6092">
            <v>151025</v>
          </cell>
        </row>
        <row r="6093">
          <cell r="A6093">
            <v>151026</v>
          </cell>
          <cell r="B6093" t="str">
            <v>ASSY,U&amp;W 118-3/4"</v>
          </cell>
          <cell r="C6093" t="str">
            <v>EA</v>
          </cell>
          <cell r="D6093" t="str">
            <v>MA100</v>
          </cell>
          <cell r="E6093">
            <v>26.47</v>
          </cell>
          <cell r="G6093">
            <v>151026</v>
          </cell>
        </row>
        <row r="6094">
          <cell r="A6094">
            <v>151027</v>
          </cell>
          <cell r="B6094" t="str">
            <v>ASSY,U&amp;W 142-3/4"*</v>
          </cell>
          <cell r="C6094" t="str">
            <v>EA</v>
          </cell>
          <cell r="D6094" t="str">
            <v>MA100</v>
          </cell>
          <cell r="E6094">
            <v>31.23</v>
          </cell>
          <cell r="G6094">
            <v>151027</v>
          </cell>
        </row>
        <row r="6095">
          <cell r="A6095">
            <v>151028</v>
          </cell>
          <cell r="B6095" t="str">
            <v>ASSY,U&amp;W 94-3/4"W/ARC SPRAY</v>
          </cell>
          <cell r="C6095" t="str">
            <v>EA</v>
          </cell>
          <cell r="D6095" t="str">
            <v>MA100</v>
          </cell>
          <cell r="E6095">
            <v>17.166</v>
          </cell>
          <cell r="G6095">
            <v>151028</v>
          </cell>
        </row>
        <row r="6096">
          <cell r="A6096">
            <v>151029</v>
          </cell>
          <cell r="B6096" t="str">
            <v>ASSY,U&amp;W 118-3/4" W/ARC SPRAY</v>
          </cell>
          <cell r="C6096" t="str">
            <v>EA</v>
          </cell>
          <cell r="D6096" t="str">
            <v>MA100</v>
          </cell>
          <cell r="E6096">
            <v>20.956</v>
          </cell>
          <cell r="G6096">
            <v>151029</v>
          </cell>
        </row>
        <row r="6097">
          <cell r="A6097">
            <v>151030</v>
          </cell>
          <cell r="B6097" t="str">
            <v>ASSY,U&amp;W 142-3/4" W/ARC SPRAY</v>
          </cell>
          <cell r="C6097" t="str">
            <v>EA</v>
          </cell>
          <cell r="D6097" t="str">
            <v>MA100</v>
          </cell>
          <cell r="E6097">
            <v>25.585999999999999</v>
          </cell>
          <cell r="G6097">
            <v>151030</v>
          </cell>
        </row>
        <row r="6098">
          <cell r="A6098">
            <v>151035</v>
          </cell>
          <cell r="B6098" t="str">
            <v>KIT,ALUM CNR CAP,CELL TYPE</v>
          </cell>
          <cell r="C6098" t="str">
            <v>EA</v>
          </cell>
          <cell r="D6098" t="str">
            <v>MA100</v>
          </cell>
          <cell r="E6098">
            <v>1.49</v>
          </cell>
          <cell r="G6098">
            <v>151035</v>
          </cell>
        </row>
        <row r="6099">
          <cell r="A6099">
            <v>151099</v>
          </cell>
          <cell r="B6099" t="str">
            <v>VENT,WG,W/FLG (BRS) 7.0X7.0</v>
          </cell>
          <cell r="C6099" t="str">
            <v>EA</v>
          </cell>
          <cell r="D6099" t="str">
            <v>MA100</v>
          </cell>
          <cell r="E6099">
            <v>287.06252000000001</v>
          </cell>
          <cell r="G6099">
            <v>151099</v>
          </cell>
        </row>
        <row r="6100">
          <cell r="A6100">
            <v>151100</v>
          </cell>
          <cell r="B6100" t="str">
            <v>VENT,WG,W/FLG (BRS) 12.0X12.0</v>
          </cell>
          <cell r="C6100" t="str">
            <v>EA</v>
          </cell>
          <cell r="D6100" t="str">
            <v>MA100</v>
          </cell>
          <cell r="E6100">
            <v>322.29651999999999</v>
          </cell>
          <cell r="G6100">
            <v>151100</v>
          </cell>
        </row>
        <row r="6101">
          <cell r="A6101">
            <v>151101</v>
          </cell>
          <cell r="B6101" t="str">
            <v>VENT,WG,W/FLG (BRS) 10.0X10.0</v>
          </cell>
          <cell r="C6101" t="str">
            <v>EA</v>
          </cell>
          <cell r="D6101" t="str">
            <v>MA100</v>
          </cell>
          <cell r="E6101">
            <v>0</v>
          </cell>
          <cell r="G6101">
            <v>151101</v>
          </cell>
        </row>
        <row r="6102">
          <cell r="A6102">
            <v>151102</v>
          </cell>
          <cell r="B6102" t="str">
            <v>VENT,WG,W/FLG (BRS) 24.0X24.0</v>
          </cell>
          <cell r="C6102" t="str">
            <v>EA</v>
          </cell>
          <cell r="D6102" t="str">
            <v>MA100</v>
          </cell>
          <cell r="E6102">
            <v>995.68179999999995</v>
          </cell>
          <cell r="G6102">
            <v>151102</v>
          </cell>
        </row>
        <row r="6103">
          <cell r="A6103">
            <v>151150</v>
          </cell>
          <cell r="B6103" t="str">
            <v>ASS'Y, 12GA CORNER STRAPS</v>
          </cell>
          <cell r="C6103" t="str">
            <v>EA</v>
          </cell>
          <cell r="D6103" t="str">
            <v>RM100</v>
          </cell>
          <cell r="E6103">
            <v>41.045299999999997</v>
          </cell>
          <cell r="G6103">
            <v>151150</v>
          </cell>
        </row>
        <row r="6104">
          <cell r="A6104">
            <v>151170</v>
          </cell>
          <cell r="B6104" t="str">
            <v>VENT,WG,W/FLG (BRS) 12.0X24.0</v>
          </cell>
          <cell r="C6104" t="str">
            <v>EA</v>
          </cell>
          <cell r="D6104" t="str">
            <v>MA100</v>
          </cell>
          <cell r="E6104">
            <v>372.03525999999999</v>
          </cell>
          <cell r="G6104">
            <v>151170</v>
          </cell>
        </row>
        <row r="6105">
          <cell r="A6105">
            <v>151171</v>
          </cell>
          <cell r="B6105" t="str">
            <v>VENT,WG,W/FLG (BRS) 8.0X8.0</v>
          </cell>
          <cell r="C6105" t="str">
            <v>EA</v>
          </cell>
          <cell r="D6105" t="str">
            <v>MA100</v>
          </cell>
          <cell r="E6105">
            <v>164.76741999999999</v>
          </cell>
          <cell r="G6105">
            <v>151171</v>
          </cell>
        </row>
        <row r="6106">
          <cell r="A6106">
            <v>151175</v>
          </cell>
          <cell r="B6106" t="str">
            <v>VENT,WG,W/FLG (BRS) 18.0X18.0</v>
          </cell>
          <cell r="C6106" t="str">
            <v>EA</v>
          </cell>
          <cell r="D6106" t="str">
            <v>MA100</v>
          </cell>
          <cell r="E6106">
            <v>709.91499999999996</v>
          </cell>
          <cell r="G6106">
            <v>151175</v>
          </cell>
        </row>
        <row r="6107">
          <cell r="A6107">
            <v>151184</v>
          </cell>
          <cell r="B6107" t="str">
            <v>PNL,CONN 8x24 J-FRM &amp; BRASS BLANK CVR</v>
          </cell>
          <cell r="C6107" t="str">
            <v>EA</v>
          </cell>
          <cell r="D6107" t="str">
            <v>MA100</v>
          </cell>
          <cell r="E6107">
            <v>128.16399999999999</v>
          </cell>
          <cell r="G6107">
            <v>151184</v>
          </cell>
        </row>
        <row r="6108">
          <cell r="A6108">
            <v>151195</v>
          </cell>
          <cell r="B6108" t="str">
            <v>ASSY,HAT&amp;FLAT FRAME 21.375x98.75 Philips</v>
          </cell>
          <cell r="C6108" t="str">
            <v>EA</v>
          </cell>
          <cell r="D6108" t="str">
            <v>MA100</v>
          </cell>
          <cell r="E6108">
            <v>154.5</v>
          </cell>
          <cell r="G6108">
            <v>151195</v>
          </cell>
        </row>
        <row r="6109">
          <cell r="A6109">
            <v>151218</v>
          </cell>
          <cell r="B6109" t="str">
            <v>VENT,WG,W/FLG (BRS) 14.0X14.0</v>
          </cell>
          <cell r="C6109" t="str">
            <v>EA</v>
          </cell>
          <cell r="D6109" t="str">
            <v>MA100</v>
          </cell>
          <cell r="E6109">
            <v>194.185</v>
          </cell>
          <cell r="G6109">
            <v>151218</v>
          </cell>
        </row>
        <row r="6110">
          <cell r="A6110">
            <v>151220</v>
          </cell>
          <cell r="B6110" t="str">
            <v>VENT,WG,W/FLG (BRS) 16.0X16.0</v>
          </cell>
          <cell r="C6110" t="str">
            <v>EA</v>
          </cell>
          <cell r="D6110" t="str">
            <v>MA100</v>
          </cell>
          <cell r="E6110">
            <v>551.64700000000005</v>
          </cell>
          <cell r="G6110">
            <v>151220</v>
          </cell>
        </row>
        <row r="6111">
          <cell r="A6111">
            <v>151225</v>
          </cell>
          <cell r="B6111" t="str">
            <v>ASSY,DR/JB 19"RACK MTD 3/16BR 19X17-1*</v>
          </cell>
          <cell r="C6111" t="str">
            <v>EA</v>
          </cell>
          <cell r="D6111" t="str">
            <v>MA100</v>
          </cell>
          <cell r="E6111">
            <v>90.372230000000002</v>
          </cell>
          <cell r="G6111">
            <v>151225</v>
          </cell>
        </row>
        <row r="6112">
          <cell r="A6112">
            <v>151275</v>
          </cell>
          <cell r="B6112" t="str">
            <v>PNL,CONN6X6 J-FRM EXTR 11 GA.CVR</v>
          </cell>
          <cell r="C6112" t="str">
            <v>EA</v>
          </cell>
          <cell r="D6112" t="str">
            <v>MA100</v>
          </cell>
          <cell r="E6112">
            <v>1015.9880000000001</v>
          </cell>
          <cell r="G6112">
            <v>151275</v>
          </cell>
        </row>
        <row r="6113">
          <cell r="A6113">
            <v>151341</v>
          </cell>
          <cell r="B6113" t="str">
            <v>ALUM,1/8"X10"X11" WITH 1" DIA. HOLE</v>
          </cell>
          <cell r="C6113" t="str">
            <v>EA</v>
          </cell>
          <cell r="D6113" t="str">
            <v>MA100</v>
          </cell>
          <cell r="E6113">
            <v>37.567599999999999</v>
          </cell>
          <cell r="G6113">
            <v>151341</v>
          </cell>
        </row>
        <row r="6114">
          <cell r="A6114">
            <v>151351</v>
          </cell>
          <cell r="B6114" t="str">
            <v>*patient tabel*</v>
          </cell>
          <cell r="C6114" t="str">
            <v>EA</v>
          </cell>
          <cell r="D6114" t="str">
            <v>MA100</v>
          </cell>
          <cell r="E6114">
            <v>60.019350000000003</v>
          </cell>
          <cell r="G6114">
            <v>151351</v>
          </cell>
        </row>
        <row r="6115">
          <cell r="A6115">
            <v>151380</v>
          </cell>
          <cell r="B6115" t="str">
            <v>ASSY,U&amp;W 90° 7-7/8X7-7/8 OUTSIDE CORNER</v>
          </cell>
          <cell r="C6115" t="str">
            <v>EA</v>
          </cell>
          <cell r="D6115" t="str">
            <v>MA100</v>
          </cell>
          <cell r="E6115">
            <v>26.016500000000001</v>
          </cell>
          <cell r="G6115">
            <v>151380</v>
          </cell>
        </row>
        <row r="6116">
          <cell r="A6116">
            <v>151391</v>
          </cell>
          <cell r="B6116" t="str">
            <v>ASSY,TOP HAT 24x24x38.625H  W/HAT &amp; FLAT</v>
          </cell>
          <cell r="C6116" t="str">
            <v>EA</v>
          </cell>
          <cell r="D6116" t="str">
            <v>MA100</v>
          </cell>
          <cell r="E6116">
            <v>1133.5334</v>
          </cell>
          <cell r="G6116">
            <v>151391</v>
          </cell>
        </row>
        <row r="6117">
          <cell r="A6117">
            <v>151418</v>
          </cell>
          <cell r="B6117" t="str">
            <v>ASSY,TOP HAT 12x12x12H  W/HAT &amp; FLAT</v>
          </cell>
          <cell r="C6117" t="str">
            <v>EA</v>
          </cell>
          <cell r="D6117" t="str">
            <v>MA100</v>
          </cell>
          <cell r="E6117">
            <v>1628.7411999999999</v>
          </cell>
          <cell r="G6117">
            <v>151418</v>
          </cell>
        </row>
        <row r="6118">
          <cell r="A6118">
            <v>151450</v>
          </cell>
          <cell r="B6118" t="str">
            <v>ASSY, MAGNETIC DOOR STOP</v>
          </cell>
          <cell r="C6118" t="str">
            <v>EA</v>
          </cell>
          <cell r="D6118" t="str">
            <v>MA100</v>
          </cell>
          <cell r="E6118">
            <v>5.0461</v>
          </cell>
          <cell r="G6118">
            <v>151450</v>
          </cell>
        </row>
        <row r="6119">
          <cell r="A6119">
            <v>151453</v>
          </cell>
          <cell r="B6119" t="str">
            <v>ASSY,HAT&amp;FLAT 'T' PREFAB 10 3/4X4 7/8</v>
          </cell>
          <cell r="C6119" t="str">
            <v>EA</v>
          </cell>
          <cell r="D6119" t="str">
            <v>MA100</v>
          </cell>
          <cell r="E6119">
            <v>4.2411899999999996</v>
          </cell>
          <cell r="G6119">
            <v>151453</v>
          </cell>
        </row>
        <row r="6120">
          <cell r="A6120">
            <v>151454</v>
          </cell>
          <cell r="B6120" t="str">
            <v>ASSY,HAT&amp;FLAT'T'PREFAB 10 3/4X4 7/8 CNSK</v>
          </cell>
          <cell r="C6120" t="str">
            <v>EA</v>
          </cell>
          <cell r="D6120" t="str">
            <v>MA100</v>
          </cell>
          <cell r="E6120">
            <v>4.4916999999999998</v>
          </cell>
          <cell r="G6120">
            <v>151454</v>
          </cell>
        </row>
        <row r="6121">
          <cell r="A6121">
            <v>151456</v>
          </cell>
          <cell r="B6121" t="str">
            <v>ASSY,HAT&amp;FLAT CSK 118-3/4"ALUM,FLAT ARC*</v>
          </cell>
          <cell r="C6121" t="str">
            <v>EA</v>
          </cell>
          <cell r="D6121" t="str">
            <v>RM100</v>
          </cell>
          <cell r="E6121">
            <v>38.31</v>
          </cell>
          <cell r="G6121">
            <v>151456</v>
          </cell>
        </row>
        <row r="6122">
          <cell r="A6122">
            <v>151457</v>
          </cell>
          <cell r="B6122" t="str">
            <v>ASSY,HAT&amp;FLAT CSK 46-3/4"ALUM,FLAT ARC*</v>
          </cell>
          <cell r="C6122" t="str">
            <v>EA</v>
          </cell>
          <cell r="D6122" t="str">
            <v>RM100</v>
          </cell>
          <cell r="E6122">
            <v>19</v>
          </cell>
          <cell r="G6122">
            <v>151457</v>
          </cell>
        </row>
        <row r="6123">
          <cell r="A6123">
            <v>151458</v>
          </cell>
          <cell r="B6123" t="str">
            <v>ASSY,HAT&amp;FLAT CSK 94-3/4"ALUM,FLAT ARC*</v>
          </cell>
          <cell r="C6123" t="str">
            <v>EA</v>
          </cell>
          <cell r="D6123" t="str">
            <v>RM100</v>
          </cell>
          <cell r="E6123">
            <v>32.020000000000003</v>
          </cell>
          <cell r="G6123">
            <v>151458</v>
          </cell>
        </row>
        <row r="6124">
          <cell r="A6124">
            <v>151651</v>
          </cell>
          <cell r="B6124" t="str">
            <v>CMP,HAT 11GA X 94 3/4 DRL&amp;PLTD&amp;ARC</v>
          </cell>
          <cell r="C6124" t="str">
            <v>EA</v>
          </cell>
          <cell r="D6124" t="str">
            <v>MA100</v>
          </cell>
          <cell r="E6124">
            <v>24.289000000000001</v>
          </cell>
          <cell r="G6124">
            <v>151651</v>
          </cell>
        </row>
        <row r="6125">
          <cell r="A6125" t="str">
            <v>151651-OP</v>
          </cell>
          <cell r="B6125" t="str">
            <v>CMP,HAT 11GA X 94 3/4 DRL&amp;PLTD&amp;ARC</v>
          </cell>
          <cell r="C6125" t="str">
            <v>EA</v>
          </cell>
          <cell r="D6125" t="str">
            <v>MA100</v>
          </cell>
          <cell r="E6125">
            <v>15.398999999999999</v>
          </cell>
          <cell r="G6125" t="str">
            <v>151651-OP</v>
          </cell>
        </row>
        <row r="6126">
          <cell r="A6126">
            <v>151653</v>
          </cell>
          <cell r="B6126" t="str">
            <v>CMP,HAT 11GA X 46 3/4 DRL&amp;PLTD&amp;ARC</v>
          </cell>
          <cell r="C6126" t="str">
            <v>EA</v>
          </cell>
          <cell r="D6126" t="str">
            <v>MA100</v>
          </cell>
          <cell r="E6126">
            <v>11.99</v>
          </cell>
          <cell r="G6126">
            <v>151653</v>
          </cell>
        </row>
        <row r="6127">
          <cell r="A6127" t="str">
            <v>151653-OP</v>
          </cell>
          <cell r="B6127" t="str">
            <v>CMP,HAT 11GA X 46 3/4 DRL&amp;PLTD&amp;ARC</v>
          </cell>
          <cell r="C6127" t="str">
            <v>EA</v>
          </cell>
          <cell r="D6127" t="str">
            <v>MA100</v>
          </cell>
          <cell r="E6127">
            <v>7.6</v>
          </cell>
          <cell r="G6127" t="str">
            <v>151653-OP</v>
          </cell>
        </row>
        <row r="6128">
          <cell r="A6128" t="str">
            <v>1520.94-01</v>
          </cell>
          <cell r="B6128" t="str">
            <v>PL, 1/2" X 12" X 36"</v>
          </cell>
          <cell r="C6128" t="str">
            <v>EA</v>
          </cell>
          <cell r="D6128" t="str">
            <v>RM100</v>
          </cell>
          <cell r="E6128">
            <v>135</v>
          </cell>
          <cell r="G6128" t="str">
            <v>1520.94-01</v>
          </cell>
        </row>
        <row r="6129">
          <cell r="A6129">
            <v>152011</v>
          </cell>
          <cell r="B6129" t="str">
            <v>GSKT,EPDM, D SHAPE CLEAN SEAL#135P</v>
          </cell>
          <cell r="C6129" t="str">
            <v>FT</v>
          </cell>
          <cell r="D6129" t="str">
            <v>RM100</v>
          </cell>
          <cell r="E6129">
            <v>0.25</v>
          </cell>
          <cell r="G6129">
            <v>152011</v>
          </cell>
        </row>
        <row r="6130">
          <cell r="A6130">
            <v>152175</v>
          </cell>
          <cell r="B6130" t="str">
            <v>BASE,INCADSNT FXTR GALV STL,22GA</v>
          </cell>
          <cell r="C6130" t="str">
            <v>EA</v>
          </cell>
          <cell r="D6130" t="str">
            <v>RM100</v>
          </cell>
          <cell r="E6130">
            <v>19.97</v>
          </cell>
          <cell r="G6130">
            <v>152175</v>
          </cell>
        </row>
        <row r="6131">
          <cell r="A6131">
            <v>152402</v>
          </cell>
          <cell r="B6131" t="str">
            <v>PLT,MAGNT BASE 1/8"X8"SQ. MRI PHILPS</v>
          </cell>
          <cell r="C6131" t="str">
            <v>EA</v>
          </cell>
          <cell r="D6131" t="str">
            <v>MA100</v>
          </cell>
          <cell r="E6131">
            <v>60.659199999999998</v>
          </cell>
          <cell r="G6131">
            <v>152402</v>
          </cell>
        </row>
        <row r="6132">
          <cell r="A6132">
            <v>152406</v>
          </cell>
          <cell r="B6132" t="str">
            <v>PLT,PHILIPS PAT.TAB.ALUM 36"X30-13/16"</v>
          </cell>
          <cell r="C6132" t="str">
            <v>EA</v>
          </cell>
          <cell r="D6132" t="str">
            <v>RM100</v>
          </cell>
          <cell r="E6132">
            <v>184.25</v>
          </cell>
          <cell r="G6132">
            <v>152406</v>
          </cell>
        </row>
        <row r="6133">
          <cell r="A6133">
            <v>152408</v>
          </cell>
          <cell r="B6133" t="str">
            <v>PLT,PHILIPS PAT TABLE ALUM 4-3/4"X6-5/8*</v>
          </cell>
          <cell r="C6133" t="str">
            <v>EA</v>
          </cell>
          <cell r="D6133" t="str">
            <v>MA100</v>
          </cell>
          <cell r="E6133">
            <v>0.59448000000000001</v>
          </cell>
          <cell r="G6133">
            <v>152408</v>
          </cell>
        </row>
        <row r="6134">
          <cell r="A6134">
            <v>154098</v>
          </cell>
          <cell r="B6134" t="str">
            <v>UNISTRUT,P1063 FLAT PLATE w/3/8" HOLE</v>
          </cell>
          <cell r="C6134" t="str">
            <v>EA</v>
          </cell>
          <cell r="D6134" t="str">
            <v>RM100</v>
          </cell>
          <cell r="E6134">
            <v>0.59309999999999996</v>
          </cell>
          <cell r="G6134">
            <v>154098</v>
          </cell>
        </row>
        <row r="6135">
          <cell r="A6135">
            <v>154105</v>
          </cell>
          <cell r="B6135" t="str">
            <v>UNISTRUT,P1008 CHNL NUT SPRING 3/8"-16</v>
          </cell>
          <cell r="C6135" t="str">
            <v>EA</v>
          </cell>
          <cell r="D6135" t="str">
            <v>RM100</v>
          </cell>
          <cell r="E6135">
            <v>0.49320000000000003</v>
          </cell>
          <cell r="G6135">
            <v>154105</v>
          </cell>
        </row>
        <row r="6136">
          <cell r="A6136">
            <v>154455</v>
          </cell>
          <cell r="B6136" t="str">
            <v>PLT,DOCK #2251T29 ALUM 36X48X7 TRUCK</v>
          </cell>
          <cell r="C6136" t="str">
            <v>EA</v>
          </cell>
          <cell r="D6136" t="str">
            <v>RM100</v>
          </cell>
          <cell r="E6136">
            <v>379.04</v>
          </cell>
          <cell r="G6136">
            <v>154455</v>
          </cell>
        </row>
        <row r="6137">
          <cell r="A6137">
            <v>154526</v>
          </cell>
          <cell r="B6137" t="str">
            <v>STRUT,FGLS,1-5/8x1-5/8x10',NO SLOTS</v>
          </cell>
          <cell r="C6137" t="str">
            <v>FT</v>
          </cell>
          <cell r="D6137" t="str">
            <v>RM100</v>
          </cell>
          <cell r="E6137">
            <v>9.8539999999999992</v>
          </cell>
          <cell r="G6137">
            <v>154526</v>
          </cell>
        </row>
        <row r="6138">
          <cell r="A6138">
            <v>154658</v>
          </cell>
          <cell r="B6138" t="str">
            <v>SPCR,RAMP CRS 1-1/2"DIA X1-7/32"H W/ 3/8</v>
          </cell>
          <cell r="C6138" t="str">
            <v>EA</v>
          </cell>
          <cell r="D6138" t="str">
            <v>RM100</v>
          </cell>
          <cell r="E6138">
            <v>15.18</v>
          </cell>
          <cell r="G6138">
            <v>154658</v>
          </cell>
        </row>
        <row r="6139">
          <cell r="A6139">
            <v>155134</v>
          </cell>
          <cell r="B6139" t="str">
            <v>PLT,BR FLTR 3/16X29x29 PHILIPS</v>
          </cell>
          <cell r="C6139" t="str">
            <v>EA</v>
          </cell>
          <cell r="D6139" t="str">
            <v>RM100</v>
          </cell>
          <cell r="E6139">
            <v>440</v>
          </cell>
          <cell r="G6139">
            <v>155134</v>
          </cell>
        </row>
        <row r="6140">
          <cell r="A6140">
            <v>155143</v>
          </cell>
          <cell r="B6140" t="str">
            <v>TUBE CAP "C" CU 1-1/2" NIBCO 617 solder</v>
          </cell>
          <cell r="C6140" t="str">
            <v>EA</v>
          </cell>
          <cell r="D6140" t="str">
            <v>RM100</v>
          </cell>
          <cell r="E6140">
            <v>2.29</v>
          </cell>
          <cell r="G6140">
            <v>155143</v>
          </cell>
        </row>
        <row r="6141">
          <cell r="A6141">
            <v>155282</v>
          </cell>
          <cell r="B6141" t="str">
            <v>PLT,CRYO STL 17"X17"X3/8" W/ 9"X9" C.O.</v>
          </cell>
          <cell r="C6141" t="str">
            <v>EA</v>
          </cell>
          <cell r="D6141" t="str">
            <v>MA100</v>
          </cell>
          <cell r="E6141">
            <v>21.374310000000001</v>
          </cell>
          <cell r="G6141">
            <v>155282</v>
          </cell>
        </row>
        <row r="6142">
          <cell r="A6142">
            <v>155304</v>
          </cell>
          <cell r="B6142" t="str">
            <v>VENT,CRYO ALUM 10"X40" 4"END W/ 16"X16"</v>
          </cell>
          <cell r="C6142" t="str">
            <v>EA</v>
          </cell>
          <cell r="D6142" t="str">
            <v>RM100</v>
          </cell>
          <cell r="E6142">
            <v>496</v>
          </cell>
          <cell r="G6142">
            <v>155304</v>
          </cell>
        </row>
        <row r="6143">
          <cell r="A6143">
            <v>155528</v>
          </cell>
          <cell r="B6143" t="str">
            <v>NUT,3/8-16W/SPR UNISTRUT#P1008 FOR P1000</v>
          </cell>
          <cell r="C6143" t="str">
            <v>EA</v>
          </cell>
          <cell r="D6143" t="str">
            <v>RM100</v>
          </cell>
          <cell r="E6143">
            <v>0.75</v>
          </cell>
          <cell r="G6143">
            <v>155528</v>
          </cell>
        </row>
        <row r="6144">
          <cell r="A6144">
            <v>155531</v>
          </cell>
          <cell r="B6144" t="str">
            <v>NUT,3/8,SADDLE, HILTI MQA-F 3/8(SEISMIC)</v>
          </cell>
          <cell r="C6144" t="str">
            <v>EA</v>
          </cell>
          <cell r="D6144" t="str">
            <v>RM100</v>
          </cell>
          <cell r="E6144">
            <v>1.6508</v>
          </cell>
          <cell r="G6144">
            <v>155531</v>
          </cell>
        </row>
        <row r="6145">
          <cell r="A6145">
            <v>155587</v>
          </cell>
          <cell r="B6145" t="str">
            <v>BRKT,DR O/S SW 3/4X1X3/4X1/16 ALUM*</v>
          </cell>
          <cell r="C6145" t="str">
            <v>EA</v>
          </cell>
          <cell r="D6145" t="str">
            <v>MA100</v>
          </cell>
          <cell r="E6145">
            <v>0</v>
          </cell>
          <cell r="G6145">
            <v>155587</v>
          </cell>
        </row>
        <row r="6146">
          <cell r="A6146">
            <v>155623</v>
          </cell>
          <cell r="B6146" t="str">
            <v>CU,0.001x2xLB 129.42 LF/LB</v>
          </cell>
          <cell r="C6146" t="str">
            <v>LB</v>
          </cell>
          <cell r="D6146" t="str">
            <v>RM100</v>
          </cell>
          <cell r="E6146">
            <v>19.23</v>
          </cell>
          <cell r="G6146">
            <v>155623</v>
          </cell>
        </row>
        <row r="6147">
          <cell r="A6147">
            <v>155714</v>
          </cell>
          <cell r="B6147" t="str">
            <v>NUT,1/2-13,UNISTRUT#P1010,CHAN W/SPRING</v>
          </cell>
          <cell r="C6147" t="str">
            <v>EA</v>
          </cell>
          <cell r="D6147" t="str">
            <v>RM100</v>
          </cell>
          <cell r="E6147">
            <v>0.56759999999999999</v>
          </cell>
          <cell r="G6147">
            <v>155714</v>
          </cell>
        </row>
        <row r="6148">
          <cell r="A6148">
            <v>155716</v>
          </cell>
          <cell r="B6148" t="str">
            <v>STRUT,GALV,1-5/8x1-5/8x20',13/32x3"SLOT</v>
          </cell>
          <cell r="C6148" t="str">
            <v>EA</v>
          </cell>
          <cell r="D6148" t="str">
            <v>RM100</v>
          </cell>
          <cell r="E6148">
            <v>54</v>
          </cell>
          <cell r="G6148">
            <v>155716</v>
          </cell>
        </row>
        <row r="6149">
          <cell r="A6149">
            <v>155718</v>
          </cell>
          <cell r="B6149" t="str">
            <v>UNISTRUT,P2233 BRKT 18" END WELD LEGS UP</v>
          </cell>
          <cell r="C6149" t="str">
            <v>EA</v>
          </cell>
          <cell r="D6149" t="str">
            <v>RM100</v>
          </cell>
          <cell r="E6149">
            <v>23.33</v>
          </cell>
          <cell r="G6149">
            <v>155718</v>
          </cell>
        </row>
        <row r="6150">
          <cell r="A6150">
            <v>155719</v>
          </cell>
          <cell r="B6150" t="str">
            <v>UNISTRUT,P1118 CLMP PIPE/COND 2.875" OD*</v>
          </cell>
          <cell r="C6150" t="str">
            <v>EA</v>
          </cell>
          <cell r="D6150" t="str">
            <v>RM100</v>
          </cell>
          <cell r="E6150">
            <v>3.5615000000000001</v>
          </cell>
          <cell r="G6150">
            <v>155719</v>
          </cell>
        </row>
        <row r="6151">
          <cell r="A6151">
            <v>155730</v>
          </cell>
          <cell r="B6151" t="str">
            <v>STRUT,GALV,1-5/8x1-5/8x10',13/32x3"SLOT</v>
          </cell>
          <cell r="C6151" t="str">
            <v>EA</v>
          </cell>
          <cell r="D6151" t="str">
            <v>RM100</v>
          </cell>
          <cell r="E6151">
            <v>29.4</v>
          </cell>
          <cell r="G6151">
            <v>155730</v>
          </cell>
        </row>
        <row r="6152">
          <cell r="A6152">
            <v>155742</v>
          </cell>
          <cell r="B6152" t="str">
            <v>PLT,15x15x11GA GALV,CVR PLT</v>
          </cell>
          <cell r="C6152" t="str">
            <v>EA</v>
          </cell>
          <cell r="D6152" t="str">
            <v>MA100</v>
          </cell>
          <cell r="E6152">
            <v>55.069899999999997</v>
          </cell>
          <cell r="G6152">
            <v>155742</v>
          </cell>
        </row>
        <row r="6153">
          <cell r="A6153">
            <v>155747</v>
          </cell>
          <cell r="B6153" t="str">
            <v>GSKT,EMI PROTECT MTL 15 PIN NWRK#51F3660</v>
          </cell>
          <cell r="C6153" t="str">
            <v>EA</v>
          </cell>
          <cell r="D6153" t="str">
            <v>RM100</v>
          </cell>
          <cell r="E6153">
            <v>0.98699999999999999</v>
          </cell>
          <cell r="G6153">
            <v>155747</v>
          </cell>
        </row>
        <row r="6154">
          <cell r="A6154">
            <v>155751</v>
          </cell>
          <cell r="B6154" t="str">
            <v>TOP HAT,24x24x38.5x14 GA.  GALV. STL. *</v>
          </cell>
          <cell r="C6154" t="str">
            <v>EA</v>
          </cell>
          <cell r="D6154" t="str">
            <v>RM100</v>
          </cell>
          <cell r="E6154">
            <v>416.39</v>
          </cell>
          <cell r="G6154">
            <v>155751</v>
          </cell>
        </row>
        <row r="6155">
          <cell r="A6155">
            <v>155755</v>
          </cell>
          <cell r="B6155" t="str">
            <v>ASSY,HNGR ROD STIFFENER,B-LINE#SC228</v>
          </cell>
          <cell r="C6155" t="str">
            <v>EA</v>
          </cell>
          <cell r="D6155" t="str">
            <v>RM100</v>
          </cell>
          <cell r="E6155">
            <v>5.8284000000000002</v>
          </cell>
          <cell r="G6155">
            <v>155755</v>
          </cell>
        </row>
        <row r="6156">
          <cell r="A6156">
            <v>155756</v>
          </cell>
          <cell r="B6156" t="str">
            <v>CU,0.001x4x LB 64.71 LF/LB</v>
          </cell>
          <cell r="C6156" t="str">
            <v>LB</v>
          </cell>
          <cell r="D6156" t="str">
            <v>RM100</v>
          </cell>
          <cell r="E6156">
            <v>43.5</v>
          </cell>
          <cell r="G6156">
            <v>155756</v>
          </cell>
        </row>
        <row r="6157">
          <cell r="A6157">
            <v>155767</v>
          </cell>
          <cell r="B6157" t="str">
            <v>TOP HAT,12x12x12x14 GA.  GALV. STL. *</v>
          </cell>
          <cell r="C6157" t="str">
            <v>EA</v>
          </cell>
          <cell r="D6157" t="str">
            <v>MA100</v>
          </cell>
          <cell r="E6157">
            <v>658.15</v>
          </cell>
          <cell r="G6157">
            <v>155767</v>
          </cell>
        </row>
        <row r="6158">
          <cell r="A6158">
            <v>155768</v>
          </cell>
          <cell r="B6158" t="str">
            <v>CONN,D-SUB 15 PIN/SCKT EMI FLTRD SPEC*</v>
          </cell>
          <cell r="C6158" t="str">
            <v>EA</v>
          </cell>
          <cell r="D6158" t="str">
            <v>RM100</v>
          </cell>
          <cell r="E6158">
            <v>50</v>
          </cell>
          <cell r="G6158">
            <v>155768</v>
          </cell>
        </row>
        <row r="6159">
          <cell r="A6159">
            <v>155782</v>
          </cell>
          <cell r="B6159" t="str">
            <v>PLT,27X27 COVER PLT 11GA GALV</v>
          </cell>
          <cell r="C6159" t="str">
            <v>EA</v>
          </cell>
          <cell r="D6159" t="str">
            <v>MA100</v>
          </cell>
          <cell r="E6159">
            <v>228.67439999999999</v>
          </cell>
          <cell r="G6159">
            <v>155782</v>
          </cell>
        </row>
        <row r="6160">
          <cell r="A6160">
            <v>155821</v>
          </cell>
          <cell r="B6160" t="str">
            <v>TOP HAT,24x24x31.75x14 GA.  GALV. STL. *</v>
          </cell>
          <cell r="C6160" t="str">
            <v>EA</v>
          </cell>
          <cell r="D6160" t="str">
            <v>RM100</v>
          </cell>
          <cell r="E6160">
            <v>397.43</v>
          </cell>
          <cell r="G6160">
            <v>155821</v>
          </cell>
        </row>
        <row r="6161">
          <cell r="A6161">
            <v>155822</v>
          </cell>
          <cell r="B6161" t="str">
            <v>BRKT,"Z" SILENCER AIR FLTR 1x1x12" 28GA*</v>
          </cell>
          <cell r="C6161" t="str">
            <v>EA</v>
          </cell>
          <cell r="D6161" t="str">
            <v>MA100</v>
          </cell>
          <cell r="E6161">
            <v>52.970309999999998</v>
          </cell>
          <cell r="G6161">
            <v>155822</v>
          </cell>
        </row>
        <row r="6162">
          <cell r="A6162">
            <v>155867</v>
          </cell>
          <cell r="B6162" t="str">
            <v>TUBE,STL 2"X3"X3/16"X20'</v>
          </cell>
          <cell r="C6162" t="str">
            <v>FT</v>
          </cell>
          <cell r="D6162" t="str">
            <v>RM100</v>
          </cell>
          <cell r="E6162">
            <v>5.8333300000000001</v>
          </cell>
          <cell r="G6162">
            <v>155867</v>
          </cell>
        </row>
        <row r="6163">
          <cell r="A6163">
            <v>155868</v>
          </cell>
          <cell r="B6163" t="str">
            <v>TUBE,STL 2" X 4" X 1/4"</v>
          </cell>
          <cell r="C6163" t="str">
            <v>FT</v>
          </cell>
          <cell r="D6163" t="str">
            <v>RM100</v>
          </cell>
          <cell r="E6163">
            <v>13.72733</v>
          </cell>
          <cell r="G6163">
            <v>155868</v>
          </cell>
        </row>
        <row r="6164">
          <cell r="A6164">
            <v>155933</v>
          </cell>
          <cell r="B6164" t="str">
            <v>STRUT,GALV,3-1/4x1-5/8x20',9/16x1-1/8"*</v>
          </cell>
          <cell r="C6164" t="str">
            <v>EA</v>
          </cell>
          <cell r="D6164" t="str">
            <v>RM100</v>
          </cell>
          <cell r="E6164">
            <v>84</v>
          </cell>
          <cell r="G6164">
            <v>155933</v>
          </cell>
        </row>
        <row r="6165">
          <cell r="A6165">
            <v>155960</v>
          </cell>
          <cell r="B6165" t="str">
            <v>PLT,STL (TOP) 7" X 7" X 1/4" ZN PLTD</v>
          </cell>
          <cell r="C6165" t="str">
            <v>EA</v>
          </cell>
          <cell r="D6165" t="str">
            <v>RM100</v>
          </cell>
          <cell r="E6165">
            <v>13.7</v>
          </cell>
          <cell r="G6165">
            <v>155960</v>
          </cell>
        </row>
        <row r="6166">
          <cell r="A6166">
            <v>155961</v>
          </cell>
          <cell r="B6166" t="str">
            <v>PLT,STL (BTM) 7" X 7" X 1/4" ZN PLTD</v>
          </cell>
          <cell r="C6166" t="str">
            <v>EA</v>
          </cell>
          <cell r="D6166" t="str">
            <v>RM100</v>
          </cell>
          <cell r="E6166">
            <v>14.5</v>
          </cell>
          <cell r="G6166">
            <v>155961</v>
          </cell>
        </row>
        <row r="6167">
          <cell r="A6167">
            <v>155976</v>
          </cell>
          <cell r="B6167" t="str">
            <v>BRKT,1-1/2"X12"X12GA.X135° &amp; 4 HOLES</v>
          </cell>
          <cell r="C6167" t="str">
            <v>EA</v>
          </cell>
          <cell r="D6167" t="str">
            <v>MA100</v>
          </cell>
          <cell r="E6167">
            <v>1.0511900000000001</v>
          </cell>
          <cell r="G6167">
            <v>155976</v>
          </cell>
        </row>
        <row r="6168">
          <cell r="A6168">
            <v>156006</v>
          </cell>
          <cell r="B6168" t="str">
            <v>T/M,ASSY 1/8"AL 17X17X17.5WELDED NO PENE</v>
          </cell>
          <cell r="C6168" t="str">
            <v>EA</v>
          </cell>
          <cell r="D6168" t="str">
            <v>RM100</v>
          </cell>
          <cell r="E6168">
            <v>483</v>
          </cell>
          <cell r="G6168">
            <v>156006</v>
          </cell>
        </row>
        <row r="6169">
          <cell r="A6169">
            <v>156060</v>
          </cell>
          <cell r="B6169" t="str">
            <v>CORE,WGAV,S/S, 1/8" CELLX1",W/O FLG</v>
          </cell>
          <cell r="C6169" t="str">
            <v>SI</v>
          </cell>
          <cell r="D6169" t="str">
            <v>RM100</v>
          </cell>
          <cell r="E6169">
            <v>1.76389</v>
          </cell>
          <cell r="G6169">
            <v>156060</v>
          </cell>
        </row>
        <row r="6170">
          <cell r="A6170">
            <v>156081</v>
          </cell>
          <cell r="B6170" t="str">
            <v>BOX,CCTV 12.5X12.5X6H 1/8ALUM</v>
          </cell>
          <cell r="C6170" t="str">
            <v>EA</v>
          </cell>
          <cell r="D6170" t="str">
            <v>MA100</v>
          </cell>
          <cell r="E6170">
            <v>590.74570000000006</v>
          </cell>
          <cell r="G6170">
            <v>156081</v>
          </cell>
        </row>
        <row r="6171">
          <cell r="A6171">
            <v>156119</v>
          </cell>
          <cell r="B6171" t="str">
            <v>BOX,ALUM CCTV 12.5"X12.5"X6"X1/8" ARC SP</v>
          </cell>
          <cell r="C6171" t="str">
            <v>EA</v>
          </cell>
          <cell r="D6171" t="str">
            <v>MA100</v>
          </cell>
          <cell r="E6171">
            <v>475</v>
          </cell>
          <cell r="G6171">
            <v>156119</v>
          </cell>
        </row>
        <row r="6172">
          <cell r="A6172" t="str">
            <v>156119-OP</v>
          </cell>
          <cell r="B6172" t="str">
            <v>BOX,ALUM CCTV 12.5"X12.5"X6"X1/8(ARC SP)</v>
          </cell>
          <cell r="C6172" t="str">
            <v>EA</v>
          </cell>
          <cell r="D6172" t="str">
            <v>RM100</v>
          </cell>
          <cell r="E6172">
            <v>85</v>
          </cell>
          <cell r="G6172" t="str">
            <v>156119-OP</v>
          </cell>
        </row>
        <row r="6173">
          <cell r="A6173">
            <v>156120</v>
          </cell>
          <cell r="B6173" t="str">
            <v>BOX,ALUM 12.5"X 12.5"X 6"X1/8" THK</v>
          </cell>
          <cell r="C6173" t="str">
            <v>EA</v>
          </cell>
          <cell r="D6173" t="str">
            <v>RM100</v>
          </cell>
          <cell r="E6173">
            <v>390</v>
          </cell>
          <cell r="G6173">
            <v>156120</v>
          </cell>
        </row>
        <row r="6174">
          <cell r="A6174">
            <v>156143</v>
          </cell>
          <cell r="B6174" t="str">
            <v>BX,RECESSED INTRFCE,17-1/16X12X12GA GALV</v>
          </cell>
          <cell r="C6174" t="str">
            <v>EA</v>
          </cell>
          <cell r="D6174" t="str">
            <v>MA100</v>
          </cell>
          <cell r="E6174">
            <v>79.891540000000006</v>
          </cell>
          <cell r="G6174">
            <v>156143</v>
          </cell>
        </row>
        <row r="6175">
          <cell r="A6175">
            <v>156144</v>
          </cell>
          <cell r="B6175" t="str">
            <v>PLT, MAGNET MOUNTING, 14 GA. GALV. STL*</v>
          </cell>
          <cell r="C6175" t="str">
            <v>EA</v>
          </cell>
          <cell r="D6175" t="str">
            <v>MA100</v>
          </cell>
          <cell r="E6175">
            <v>1.8499000000000001</v>
          </cell>
          <cell r="G6175">
            <v>156144</v>
          </cell>
        </row>
        <row r="6176">
          <cell r="A6176">
            <v>156210</v>
          </cell>
          <cell r="B6176" t="str">
            <v>PNL, FRONT, PXI MSA FACEPLATE</v>
          </cell>
          <cell r="C6176" t="str">
            <v>EA</v>
          </cell>
          <cell r="D6176" t="str">
            <v>RM100</v>
          </cell>
          <cell r="E6176">
            <v>27</v>
          </cell>
          <cell r="G6176">
            <v>156210</v>
          </cell>
        </row>
        <row r="6177">
          <cell r="A6177">
            <v>156217</v>
          </cell>
          <cell r="B6177" t="str">
            <v>PNL,FRONT NAD AMP</v>
          </cell>
          <cell r="C6177" t="str">
            <v>EA</v>
          </cell>
          <cell r="D6177" t="str">
            <v>RM100</v>
          </cell>
          <cell r="E6177">
            <v>43.65</v>
          </cell>
          <cell r="G6177">
            <v>156217</v>
          </cell>
        </row>
        <row r="6178">
          <cell r="A6178">
            <v>156218</v>
          </cell>
          <cell r="B6178" t="str">
            <v>ADPT,NAD AMP LEFT</v>
          </cell>
          <cell r="C6178" t="str">
            <v>EA</v>
          </cell>
          <cell r="D6178" t="str">
            <v>RM100</v>
          </cell>
          <cell r="E6178">
            <v>23.65</v>
          </cell>
          <cell r="G6178">
            <v>156218</v>
          </cell>
        </row>
        <row r="6179">
          <cell r="A6179">
            <v>156219</v>
          </cell>
          <cell r="B6179" t="str">
            <v>ADPT,NAD AMP RIGHT</v>
          </cell>
          <cell r="C6179" t="str">
            <v>EA</v>
          </cell>
          <cell r="D6179" t="str">
            <v>RM100</v>
          </cell>
          <cell r="E6179">
            <v>23.65</v>
          </cell>
          <cell r="G6179">
            <v>156219</v>
          </cell>
        </row>
        <row r="6180">
          <cell r="A6180">
            <v>156220</v>
          </cell>
          <cell r="B6180" t="str">
            <v>ADPT,NAD AMP LEFT</v>
          </cell>
          <cell r="C6180" t="str">
            <v>EA</v>
          </cell>
          <cell r="D6180" t="str">
            <v>RM100</v>
          </cell>
          <cell r="E6180">
            <v>25.65</v>
          </cell>
          <cell r="G6180">
            <v>156220</v>
          </cell>
        </row>
        <row r="6181">
          <cell r="A6181">
            <v>156221</v>
          </cell>
          <cell r="B6181" t="str">
            <v>ADPT,NAD AMP RIGHT</v>
          </cell>
          <cell r="C6181" t="str">
            <v>EA</v>
          </cell>
          <cell r="D6181" t="str">
            <v>RM100</v>
          </cell>
          <cell r="E6181">
            <v>25.65</v>
          </cell>
          <cell r="G6181">
            <v>156221</v>
          </cell>
        </row>
        <row r="6182">
          <cell r="A6182">
            <v>156231</v>
          </cell>
          <cell r="B6182" t="str">
            <v>CAP,ALUM INSIDE CORNER FOR CELL TYPE RM*</v>
          </cell>
          <cell r="C6182" t="str">
            <v>EA</v>
          </cell>
          <cell r="D6182" t="str">
            <v>RM100</v>
          </cell>
          <cell r="E6182">
            <v>4.92</v>
          </cell>
          <cell r="G6182">
            <v>156231</v>
          </cell>
        </row>
        <row r="6183">
          <cell r="A6183">
            <v>156232</v>
          </cell>
          <cell r="B6183" t="str">
            <v>CAP,ALUM OUTSIDE CORNER FOR CELL TYPE RM</v>
          </cell>
          <cell r="C6183" t="str">
            <v>EA</v>
          </cell>
          <cell r="D6183" t="str">
            <v>RM100</v>
          </cell>
          <cell r="E6183">
            <v>9.14</v>
          </cell>
          <cell r="G6183">
            <v>156232</v>
          </cell>
        </row>
        <row r="6184">
          <cell r="A6184">
            <v>156622</v>
          </cell>
          <cell r="B6184" t="str">
            <v>PLT,GALV 11GA CVR 21X21</v>
          </cell>
          <cell r="C6184" t="str">
            <v>EA</v>
          </cell>
          <cell r="D6184" t="str">
            <v>MA100</v>
          </cell>
          <cell r="E6184">
            <v>127.23309999999999</v>
          </cell>
          <cell r="G6184">
            <v>156622</v>
          </cell>
        </row>
        <row r="6185">
          <cell r="A6185">
            <v>156820</v>
          </cell>
          <cell r="B6185" t="str">
            <v>UNISTRUT,P1873 FLAT PLT FTNG 90DEG MNT</v>
          </cell>
          <cell r="C6185" t="str">
            <v>EA</v>
          </cell>
          <cell r="D6185" t="str">
            <v>RM100</v>
          </cell>
          <cell r="E6185">
            <v>5.18</v>
          </cell>
          <cell r="G6185">
            <v>156820</v>
          </cell>
        </row>
        <row r="6186">
          <cell r="A6186">
            <v>156855</v>
          </cell>
          <cell r="B6186" t="str">
            <v>UNISTRUT,P1008T CHNL NUT 3/8"-16 *</v>
          </cell>
          <cell r="C6186" t="str">
            <v>EA</v>
          </cell>
          <cell r="D6186" t="str">
            <v>RM100</v>
          </cell>
          <cell r="E6186">
            <v>1.04</v>
          </cell>
          <cell r="G6186">
            <v>156855</v>
          </cell>
        </row>
        <row r="6187">
          <cell r="A6187">
            <v>156860</v>
          </cell>
          <cell r="B6187" t="str">
            <v>STRUT,GALV,7/8X1-5/8x10',13/32X3"SLOTS</v>
          </cell>
          <cell r="C6187" t="str">
            <v>EA</v>
          </cell>
          <cell r="D6187" t="str">
            <v>RM100</v>
          </cell>
          <cell r="E6187">
            <v>37</v>
          </cell>
          <cell r="G6187">
            <v>156860</v>
          </cell>
        </row>
        <row r="6188">
          <cell r="A6188">
            <v>156861</v>
          </cell>
          <cell r="B6188" t="str">
            <v>SILICON MTG PLATE W-P3300-SL 10'</v>
          </cell>
          <cell r="C6188" t="str">
            <v>EA</v>
          </cell>
          <cell r="D6188" t="str">
            <v>RM100</v>
          </cell>
          <cell r="E6188">
            <v>106.39</v>
          </cell>
          <cell r="G6188">
            <v>156861</v>
          </cell>
        </row>
        <row r="6189">
          <cell r="A6189">
            <v>156897</v>
          </cell>
          <cell r="B6189" t="str">
            <v>UNISTRUT,P1036 FLAT PLATE RT-ANG 3-HOLE</v>
          </cell>
          <cell r="C6189" t="str">
            <v>EA</v>
          </cell>
          <cell r="D6189" t="str">
            <v>RM100</v>
          </cell>
          <cell r="E6189">
            <v>2.48</v>
          </cell>
          <cell r="G6189">
            <v>156897</v>
          </cell>
        </row>
        <row r="6190">
          <cell r="A6190">
            <v>156940</v>
          </cell>
          <cell r="B6190" t="str">
            <v>VENT,ALUM 7X21  W/10.5X10.5X1/4 *</v>
          </cell>
          <cell r="C6190" t="str">
            <v>EA</v>
          </cell>
          <cell r="D6190" t="str">
            <v>RM100</v>
          </cell>
          <cell r="E6190">
            <v>142</v>
          </cell>
          <cell r="G6190">
            <v>156940</v>
          </cell>
        </row>
        <row r="6191">
          <cell r="A6191">
            <v>156943</v>
          </cell>
          <cell r="B6191" t="str">
            <v>VENT,CRYO ALUM 8X36  W/14X14X1/4 *</v>
          </cell>
          <cell r="C6191" t="str">
            <v>EA</v>
          </cell>
          <cell r="D6191" t="str">
            <v>RM100</v>
          </cell>
          <cell r="E6191">
            <v>109</v>
          </cell>
          <cell r="G6191">
            <v>156943</v>
          </cell>
        </row>
        <row r="6192">
          <cell r="A6192">
            <v>156946</v>
          </cell>
          <cell r="B6192" t="str">
            <v>VENT,ALUM 4X16 W/9X9X1/8*</v>
          </cell>
          <cell r="C6192" t="str">
            <v>EA</v>
          </cell>
          <cell r="D6192" t="str">
            <v>RM100</v>
          </cell>
          <cell r="E6192">
            <v>50.97</v>
          </cell>
          <cell r="G6192">
            <v>156946</v>
          </cell>
        </row>
        <row r="6193">
          <cell r="A6193">
            <v>156951</v>
          </cell>
          <cell r="B6193" t="str">
            <v>PNL,SS 12x12 ACCESS W\3/16 COVER</v>
          </cell>
          <cell r="C6193" t="str">
            <v>EA</v>
          </cell>
          <cell r="D6193" t="str">
            <v>RM100</v>
          </cell>
          <cell r="E6193">
            <v>240</v>
          </cell>
          <cell r="G6193">
            <v>156951</v>
          </cell>
        </row>
        <row r="6194">
          <cell r="A6194">
            <v>156952</v>
          </cell>
          <cell r="B6194" t="str">
            <v>PNL,SS 18x18 ACCESS W\3/16 COVER</v>
          </cell>
          <cell r="C6194" t="str">
            <v>EA</v>
          </cell>
          <cell r="D6194" t="str">
            <v>RM100</v>
          </cell>
          <cell r="E6194">
            <v>260</v>
          </cell>
          <cell r="G6194">
            <v>156952</v>
          </cell>
        </row>
        <row r="6195">
          <cell r="A6195">
            <v>156973</v>
          </cell>
          <cell r="B6195" t="str">
            <v>PNL,SS 24X24 ACCESS W\3/16 COVER</v>
          </cell>
          <cell r="C6195" t="str">
            <v>EA</v>
          </cell>
          <cell r="D6195" t="str">
            <v>RM100</v>
          </cell>
          <cell r="E6195">
            <v>313.89</v>
          </cell>
          <cell r="G6195">
            <v>156973</v>
          </cell>
        </row>
        <row r="6196">
          <cell r="A6196">
            <v>156975</v>
          </cell>
          <cell r="B6196" t="str">
            <v>PNL,SS 12x24 ACCESS W\3/16 COVER</v>
          </cell>
          <cell r="C6196" t="str">
            <v>EA</v>
          </cell>
          <cell r="D6196" t="str">
            <v>RM100</v>
          </cell>
          <cell r="E6196">
            <v>366</v>
          </cell>
          <cell r="G6196">
            <v>156975</v>
          </cell>
        </row>
        <row r="6197">
          <cell r="A6197">
            <v>1604101</v>
          </cell>
          <cell r="B6197" t="str">
            <v>PANEL,S81,4'X8',18/18</v>
          </cell>
          <cell r="C6197" t="str">
            <v>EA</v>
          </cell>
          <cell r="D6197" t="str">
            <v>MA100</v>
          </cell>
          <cell r="E6197">
            <v>132.9</v>
          </cell>
          <cell r="G6197">
            <v>1604101</v>
          </cell>
        </row>
        <row r="6198">
          <cell r="A6198">
            <v>1604104</v>
          </cell>
          <cell r="B6198" t="str">
            <v>PANEL,S81,4'X10',18/18</v>
          </cell>
          <cell r="C6198" t="str">
            <v>EA</v>
          </cell>
          <cell r="D6198" t="str">
            <v>MA100</v>
          </cell>
          <cell r="E6198">
            <v>159.29650000000001</v>
          </cell>
          <cell r="G6198">
            <v>1604104</v>
          </cell>
        </row>
        <row r="6199">
          <cell r="A6199">
            <v>1606541</v>
          </cell>
          <cell r="B6199" t="str">
            <v>PANEL,S81,2'x8',12Ga/28Ga</v>
          </cell>
          <cell r="C6199" t="str">
            <v>EA</v>
          </cell>
          <cell r="D6199" t="str">
            <v>MA100</v>
          </cell>
          <cell r="E6199">
            <v>169.37633</v>
          </cell>
          <cell r="G6199">
            <v>1606541</v>
          </cell>
        </row>
        <row r="6200">
          <cell r="A6200">
            <v>1606544</v>
          </cell>
          <cell r="B6200" t="str">
            <v>PANEL,S81,2'x10',12Ga/28Ga</v>
          </cell>
          <cell r="C6200" t="str">
            <v>EA</v>
          </cell>
          <cell r="D6200" t="str">
            <v>MA100</v>
          </cell>
          <cell r="E6200">
            <v>212.5</v>
          </cell>
          <cell r="G6200">
            <v>1606544</v>
          </cell>
        </row>
        <row r="6201">
          <cell r="A6201">
            <v>1704350</v>
          </cell>
          <cell r="B6201" t="str">
            <v>FLAT THRESHOLD ISOLATOR, EVO AIR 96"</v>
          </cell>
          <cell r="C6201" t="str">
            <v>EA</v>
          </cell>
          <cell r="E6201">
            <v>400</v>
          </cell>
          <cell r="G6201">
            <v>1704350</v>
          </cell>
        </row>
        <row r="6202">
          <cell r="A6202" t="str">
            <v>Filter Allowance</v>
          </cell>
          <cell r="B6202" t="str">
            <v>Filter Allowance</v>
          </cell>
        </row>
        <row r="6203">
          <cell r="A6203">
            <v>880000</v>
          </cell>
          <cell r="B6203" t="str">
            <v>PANEL,S81,4'x4',12Ga/12Ga</v>
          </cell>
          <cell r="C6203" t="str">
            <v>EA</v>
          </cell>
          <cell r="E6203">
            <v>230</v>
          </cell>
          <cell r="G6203">
            <v>880000</v>
          </cell>
        </row>
        <row r="6204">
          <cell r="A6204">
            <v>880007</v>
          </cell>
          <cell r="B6204" t="str">
            <v>PANEL,S81,4'x8',12Ga/12Ga</v>
          </cell>
          <cell r="C6204" t="str">
            <v>EA</v>
          </cell>
          <cell r="E6204">
            <v>460</v>
          </cell>
          <cell r="G6204">
            <v>880007</v>
          </cell>
        </row>
        <row r="6205">
          <cell r="A6205">
            <v>880009</v>
          </cell>
          <cell r="B6205" t="str">
            <v>PANEL,S81,2'x8',12Ga/12Ga</v>
          </cell>
          <cell r="C6205" t="str">
            <v>EA</v>
          </cell>
          <cell r="E6205">
            <v>230</v>
          </cell>
          <cell r="G6205">
            <v>880009</v>
          </cell>
        </row>
        <row r="6206">
          <cell r="A6206">
            <v>880010</v>
          </cell>
          <cell r="B6206" t="str">
            <v>PANEL,S81,2'x10',12Ga/12Ga</v>
          </cell>
          <cell r="C6206" t="str">
            <v>EA</v>
          </cell>
          <cell r="E6206">
            <v>280</v>
          </cell>
          <cell r="G6206">
            <v>880010</v>
          </cell>
        </row>
        <row r="6207">
          <cell r="A6207">
            <v>703013</v>
          </cell>
          <cell r="B6207" t="str">
            <v>FMDS, CEIA MSDW1 Single Wall Mount </v>
          </cell>
          <cell r="C6207" t="str">
            <v>EA</v>
          </cell>
          <cell r="E6207">
            <v>7500</v>
          </cell>
          <cell r="G6207">
            <v>703013</v>
          </cell>
        </row>
        <row r="6208">
          <cell r="A6208">
            <v>703014</v>
          </cell>
          <cell r="B6208" t="str">
            <v>FMDS, CEIA MSDW2 Dual Wall Mount </v>
          </cell>
          <cell r="C6208" t="str">
            <v>EA</v>
          </cell>
          <cell r="E6208">
            <v>15000</v>
          </cell>
          <cell r="G6208">
            <v>703014</v>
          </cell>
        </row>
        <row r="6209">
          <cell r="A6209">
            <v>703015</v>
          </cell>
          <cell r="B6209" t="str">
            <v>FMDS, CEIA MSDH1 Single Portable</v>
          </cell>
          <cell r="C6209" t="str">
            <v>EA</v>
          </cell>
          <cell r="E6209">
            <v>8550</v>
          </cell>
          <cell r="G6209">
            <v>703015</v>
          </cell>
        </row>
        <row r="6210">
          <cell r="A6210">
            <v>703016</v>
          </cell>
          <cell r="B6210" t="str">
            <v>FMDS, CEIA AC/DC Adapter</v>
          </cell>
          <cell r="C6210" t="str">
            <v>EA</v>
          </cell>
          <cell r="E6210">
            <v>250</v>
          </cell>
          <cell r="G6210">
            <v>703016</v>
          </cell>
        </row>
      </sheetData>
      <sheetData sheetId="43" refreshError="1">
        <row r="238">
          <cell r="A238" t="str">
            <v>Label WW</v>
          </cell>
        </row>
        <row r="239">
          <cell r="A239" t="str">
            <v>Patient view</v>
          </cell>
        </row>
        <row r="240">
          <cell r="A240" t="str">
            <v>Sky Light</v>
          </cell>
        </row>
        <row r="241">
          <cell r="A241" t="str">
            <v>Magnet entry</v>
          </cell>
        </row>
        <row r="242">
          <cell r="A242" t="str">
            <v>Other interior</v>
          </cell>
        </row>
        <row r="243">
          <cell r="A243" t="str">
            <v>Exterior - N</v>
          </cell>
        </row>
        <row r="244">
          <cell r="A244" t="str">
            <v>Exterior - S</v>
          </cell>
        </row>
        <row r="245">
          <cell r="A245" t="str">
            <v>Exterior - E</v>
          </cell>
        </row>
        <row r="246">
          <cell r="A246" t="str">
            <v>Exterior - W</v>
          </cell>
        </row>
        <row r="650">
          <cell r="A650" t="str">
            <v>MR-CU</v>
          </cell>
        </row>
        <row r="651">
          <cell r="A651" t="str">
            <v>MR-CELL</v>
          </cell>
        </row>
        <row r="652">
          <cell r="A652" t="str">
            <v>MISC</v>
          </cell>
        </row>
        <row r="692">
          <cell r="A692" t="str">
            <v>Select test/trip type</v>
          </cell>
        </row>
        <row r="693">
          <cell r="A693" t="str">
            <v>RF Qualification Test</v>
          </cell>
        </row>
        <row r="694">
          <cell r="A694" t="str">
            <v>RF Acceptance Test</v>
          </cell>
        </row>
        <row r="695">
          <cell r="A695" t="str">
            <v>RF Shield Close-Up Test</v>
          </cell>
        </row>
        <row r="696">
          <cell r="A696" t="str">
            <v>RF Shield Final Test</v>
          </cell>
        </row>
        <row r="697">
          <cell r="A697" t="str">
            <v>RF Shield Pre-Test</v>
          </cell>
        </row>
        <row r="698">
          <cell r="A698" t="str">
            <v>RF Shield Post-Test</v>
          </cell>
        </row>
        <row r="699">
          <cell r="A699" t="str">
            <v>RF Test - service</v>
          </cell>
        </row>
        <row r="700">
          <cell r="A700" t="str">
            <v>Enginering Services</v>
          </cell>
        </row>
        <row r="701">
          <cell r="A701" t="str">
            <v>Site Visit</v>
          </cell>
        </row>
        <row r="702">
          <cell r="A702" t="str">
            <v>Supervision Initial Mobilization Trip</v>
          </cell>
        </row>
        <row r="703">
          <cell r="A703" t="str">
            <v>PM Visit</v>
          </cell>
        </row>
        <row r="704">
          <cell r="A704" t="str">
            <v>EMI Service</v>
          </cell>
        </row>
        <row r="705">
          <cell r="A705" t="str">
            <v>Phase 1 - Steel Install Labor</v>
          </cell>
        </row>
        <row r="716">
          <cell r="C716">
            <v>17.305181000000001</v>
          </cell>
        </row>
        <row r="717">
          <cell r="C717">
            <v>19.523987000000002</v>
          </cell>
        </row>
        <row r="735">
          <cell r="C735">
            <v>7.1323699999999999</v>
          </cell>
        </row>
        <row r="736">
          <cell r="C736">
            <v>8.6094743000000005</v>
          </cell>
        </row>
        <row r="750">
          <cell r="C750">
            <v>4.0982900000000004</v>
          </cell>
        </row>
        <row r="751">
          <cell r="C751">
            <v>3.0496729999999999</v>
          </cell>
        </row>
        <row r="783">
          <cell r="A783" t="str">
            <v>Select contractor scope</v>
          </cell>
        </row>
        <row r="784">
          <cell r="A784" t="str">
            <v>General Contractor</v>
          </cell>
        </row>
        <row r="785">
          <cell r="A785" t="str">
            <v>Union Labor</v>
          </cell>
        </row>
        <row r="786">
          <cell r="A786" t="str">
            <v>Steel erector</v>
          </cell>
        </row>
        <row r="787">
          <cell r="A787" t="str">
            <v>Electrical</v>
          </cell>
        </row>
        <row r="788">
          <cell r="A788" t="str">
            <v>Drywall</v>
          </cell>
        </row>
        <row r="789">
          <cell r="A789" t="str">
            <v>HVAC</v>
          </cell>
        </row>
        <row r="790">
          <cell r="A790" t="str">
            <v>Plumbing</v>
          </cell>
        </row>
        <row r="791">
          <cell r="A791" t="str">
            <v>Flooring</v>
          </cell>
        </row>
        <row r="793">
          <cell r="A793" t="str">
            <v>Select labor type</v>
          </cell>
        </row>
        <row r="794">
          <cell r="A794" t="str">
            <v>Labor RF</v>
          </cell>
        </row>
        <row r="795">
          <cell r="A795" t="str">
            <v>Labor Magnetic</v>
          </cell>
        </row>
        <row r="796">
          <cell r="A796" t="str">
            <v>Materials</v>
          </cell>
        </row>
        <row r="797">
          <cell r="A797" t="str">
            <v>Equipment</v>
          </cell>
        </row>
        <row r="798">
          <cell r="A798" t="str">
            <v>Miscellaneous</v>
          </cell>
        </row>
      </sheetData>
      <sheetData sheetId="44" refreshError="1">
        <row r="20">
          <cell r="AR20">
            <v>0</v>
          </cell>
        </row>
      </sheetData>
      <sheetData sheetId="45" refreshError="1"/>
      <sheetData sheetId="46" refreshError="1"/>
      <sheetData sheetId="47" refreshError="1"/>
      <sheetData sheetId="48" refreshError="1">
        <row r="1">
          <cell r="B1">
            <v>0</v>
          </cell>
        </row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C7">
            <v>48</v>
          </cell>
        </row>
        <row r="27">
          <cell r="E27" t="str">
            <v>No</v>
          </cell>
        </row>
        <row r="42">
          <cell r="E42" t="str">
            <v>No</v>
          </cell>
        </row>
        <row r="88">
          <cell r="I88" t="str">
            <v>No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GET Summary"/>
      <sheetName val="Estimate"/>
      <sheetName val="calcs"/>
      <sheetName val="Combine All - Price Table"/>
      <sheetName val="Production Cover"/>
      <sheetName val="BOM"/>
      <sheetName val="Order Entry Summary"/>
      <sheetName val="Flash"/>
      <sheetName val="State Tax Tables"/>
      <sheetName val="Project Drafting Information"/>
      <sheetName val="Tech Support"/>
      <sheetName val="Service&amp;Survey worksht"/>
      <sheetName val="Lost Business Report"/>
      <sheetName val="Instrument panel"/>
      <sheetName val="Europe Cost &amp; Sale Sum"/>
      <sheetName val="Field Labor Rate 2016"/>
      <sheetName val="CO - 2"/>
      <sheetName val="CO - 3"/>
      <sheetName val="PM Selections"/>
      <sheetName val="PASTE_ME"/>
      <sheetName val="Mfg Check list"/>
      <sheetName val="Philips 1T Mfg"/>
      <sheetName val="Window Wall"/>
      <sheetName val="Cell Mfg list"/>
      <sheetName val="Window 1 Sheet"/>
      <sheetName val="Window 2 Sheet"/>
      <sheetName val="Window 3 Sheet"/>
      <sheetName val="Window 4 Sheet"/>
      <sheetName val="PMS - AE - tiers 1-2-3"/>
      <sheetName val="WWcalc"/>
      <sheetName val="ETS-TESS"/>
      <sheetName val="Cell room"/>
      <sheetName val="Lookup number"/>
      <sheetName val="Overhead Mat Labor"/>
      <sheetName val="Doors"/>
      <sheetName val="Magnets"/>
      <sheetName val="Lookup name"/>
      <sheetName val="Lookup tables"/>
      <sheetName val="parts"/>
      <sheetName val="Lookup text"/>
      <sheetName val="Silicon Sheet"/>
      <sheetName val="Service"/>
      <sheetName val="Shield"/>
      <sheetName val="Inplace"/>
      <sheetName val="Module1"/>
      <sheetName val="Module2"/>
      <sheetName val="Module3"/>
      <sheetName val="Module4"/>
      <sheetName val="partssql"/>
    </sheetNames>
    <sheetDataSet>
      <sheetData sheetId="0" refreshError="1"/>
      <sheetData sheetId="1" refreshError="1"/>
      <sheetData sheetId="2">
        <row r="32">
          <cell r="B32" t="str">
            <v>*</v>
          </cell>
        </row>
      </sheetData>
      <sheetData sheetId="3">
        <row r="3">
          <cell r="E3">
            <v>1</v>
          </cell>
        </row>
      </sheetData>
      <sheetData sheetId="4" refreshError="1"/>
      <sheetData sheetId="5">
        <row r="2">
          <cell r="B2" t="str">
            <v>*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E5">
            <v>22.41</v>
          </cell>
        </row>
      </sheetData>
      <sheetData sheetId="17" refreshError="1"/>
      <sheetData sheetId="18" refreshError="1"/>
      <sheetData sheetId="19">
        <row r="38">
          <cell r="J38" t="str">
            <v>No</v>
          </cell>
        </row>
        <row r="41">
          <cell r="J41" t="str">
            <v>No</v>
          </cell>
        </row>
        <row r="42">
          <cell r="J42" t="str">
            <v>No</v>
          </cell>
        </row>
      </sheetData>
      <sheetData sheetId="20" refreshError="1"/>
      <sheetData sheetId="21" refreshError="1"/>
      <sheetData sheetId="22" refreshError="1"/>
      <sheetData sheetId="23">
        <row r="31">
          <cell r="F31">
            <v>22.409988403320313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M2">
            <v>0</v>
          </cell>
        </row>
      </sheetData>
      <sheetData sheetId="33" refreshError="1"/>
      <sheetData sheetId="34">
        <row r="1">
          <cell r="I1">
            <v>58.87</v>
          </cell>
        </row>
      </sheetData>
      <sheetData sheetId="35">
        <row r="19">
          <cell r="AR19">
            <v>0</v>
          </cell>
        </row>
      </sheetData>
      <sheetData sheetId="36">
        <row r="3">
          <cell r="A3">
            <v>190</v>
          </cell>
        </row>
      </sheetData>
      <sheetData sheetId="37">
        <row r="1">
          <cell r="A1">
            <v>1</v>
          </cell>
        </row>
      </sheetData>
      <sheetData sheetId="38">
        <row r="165">
          <cell r="H165" t="str">
            <v>Select State</v>
          </cell>
        </row>
      </sheetData>
      <sheetData sheetId="39">
        <row r="1">
          <cell r="A1" t="str">
            <v>Item</v>
          </cell>
        </row>
      </sheetData>
      <sheetData sheetId="40" refreshError="1"/>
      <sheetData sheetId="41" refreshError="1"/>
      <sheetData sheetId="42" refreshError="1"/>
      <sheetData sheetId="43">
        <row r="1">
          <cell r="B1">
            <v>0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a RSM Simple"/>
      <sheetName val="#1b Dashboard"/>
      <sheetName val="#1c Notes"/>
      <sheetName val="1d  PS"/>
      <sheetName val="#2 BOM"/>
      <sheetName val="#3 Summary Long"/>
      <sheetName val="#4 Ferrite"/>
      <sheetName val="#5 Microwave"/>
      <sheetName val="#6  VITAL STATS"/>
      <sheetName val="#7 Database Freight"/>
      <sheetName val="#8 Database Ferrite  Finland"/>
    </sheetNames>
    <sheetDataSet>
      <sheetData sheetId="0">
        <row r="6">
          <cell r="M6">
            <v>1.2849999999999999</v>
          </cell>
        </row>
      </sheetData>
      <sheetData sheetId="1">
        <row r="4">
          <cell r="C4" t="str">
            <v xml:space="preserve">Germany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B5">
            <v>2.25</v>
          </cell>
          <cell r="C5">
            <v>2.4360310277777777</v>
          </cell>
        </row>
        <row r="23">
          <cell r="A23">
            <v>1.2849999999999999</v>
          </cell>
        </row>
        <row r="26">
          <cell r="I26">
            <v>24</v>
          </cell>
        </row>
        <row r="39">
          <cell r="C39">
            <v>0.08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AE64-951D-45C8-A682-DC75086A7CCE}">
  <sheetPr>
    <tabColor theme="5" tint="0.39997558519241921"/>
  </sheetPr>
  <dimension ref="A1:S296"/>
  <sheetViews>
    <sheetView tabSelected="1" topLeftCell="A140" zoomScale="85" zoomScaleNormal="85" workbookViewId="0">
      <selection activeCell="C134" sqref="C134"/>
    </sheetView>
  </sheetViews>
  <sheetFormatPr defaultColWidth="9.36328125" defaultRowHeight="12.5" outlineLevelCol="1" x14ac:dyDescent="0.25"/>
  <cols>
    <col min="1" max="1" width="11.453125" style="42" customWidth="1" outlineLevel="1"/>
    <col min="2" max="2" width="48.90625" style="42" customWidth="1" outlineLevel="1"/>
    <col min="3" max="3" width="15.54296875" style="42" customWidth="1" outlineLevel="1"/>
    <col min="4" max="4" width="6.90625" style="42" customWidth="1" outlineLevel="1"/>
    <col min="5" max="5" width="13.453125" style="42" customWidth="1" outlineLevel="1"/>
    <col min="6" max="6" width="3.81640625" style="42" customWidth="1"/>
    <col min="7" max="7" width="11.54296875" style="42" customWidth="1" outlineLevel="1"/>
    <col min="8" max="8" width="45.6328125" style="42" customWidth="1" outlineLevel="1"/>
    <col min="9" max="9" width="14.54296875" style="42" customWidth="1" outlineLevel="1"/>
    <col min="10" max="10" width="6.08984375" style="42" customWidth="1" outlineLevel="1"/>
    <col min="11" max="11" width="16.1796875" style="42" customWidth="1" outlineLevel="1"/>
    <col min="12" max="16384" width="9.36328125" style="42"/>
  </cols>
  <sheetData>
    <row r="1" spans="1:19" s="4" customFormat="1" ht="16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1" t="s">
        <v>0</v>
      </c>
      <c r="H1" s="5" t="s">
        <v>1</v>
      </c>
      <c r="I1" s="2" t="s">
        <v>2</v>
      </c>
      <c r="J1" s="2" t="s">
        <v>3</v>
      </c>
      <c r="K1" s="3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</row>
    <row r="2" spans="1:19" s="4" customFormat="1" ht="16.5" customHeight="1" x14ac:dyDescent="0.25">
      <c r="A2" s="6" t="s">
        <v>12</v>
      </c>
      <c r="B2" s="7" t="s">
        <v>13</v>
      </c>
      <c r="C2" s="8">
        <v>336.702</v>
      </c>
      <c r="D2" s="9">
        <f>M2</f>
        <v>0</v>
      </c>
      <c r="E2" s="10">
        <f>C2*D2</f>
        <v>0</v>
      </c>
      <c r="F2" s="11"/>
      <c r="G2" s="12">
        <v>1785455</v>
      </c>
      <c r="H2" s="13" t="s">
        <v>14</v>
      </c>
      <c r="I2" s="8">
        <v>327.43</v>
      </c>
      <c r="J2" s="9">
        <f>M2</f>
        <v>0</v>
      </c>
      <c r="K2" s="10">
        <f>I2*J2</f>
        <v>0</v>
      </c>
      <c r="M2" s="4">
        <f>SUM(N2:S2)</f>
        <v>0</v>
      </c>
    </row>
    <row r="3" spans="1:19" s="4" customFormat="1" ht="16.5" customHeight="1" x14ac:dyDescent="0.25">
      <c r="A3" s="14" t="s">
        <v>15</v>
      </c>
      <c r="B3" s="7" t="s">
        <v>16</v>
      </c>
      <c r="C3" s="8">
        <f>550/1.13</f>
        <v>486.72566371681421</v>
      </c>
      <c r="D3" s="9">
        <f>M3</f>
        <v>0</v>
      </c>
      <c r="E3" s="10">
        <f>C3*D3</f>
        <v>0</v>
      </c>
      <c r="F3" s="11"/>
      <c r="G3" s="12" t="s">
        <v>17</v>
      </c>
      <c r="H3" s="13" t="s">
        <v>18</v>
      </c>
      <c r="I3" s="8"/>
      <c r="J3" s="9">
        <f>M3</f>
        <v>0</v>
      </c>
      <c r="K3" s="10">
        <f>I3*J3</f>
        <v>0</v>
      </c>
    </row>
    <row r="4" spans="1:19" s="4" customFormat="1" ht="16.5" customHeight="1" x14ac:dyDescent="0.25">
      <c r="A4" s="6" t="s">
        <v>19</v>
      </c>
      <c r="B4" s="7" t="s">
        <v>20</v>
      </c>
      <c r="C4" s="8">
        <v>354.42200000000003</v>
      </c>
      <c r="D4" s="9">
        <f t="shared" ref="D4:D72" si="0">M4</f>
        <v>0</v>
      </c>
      <c r="E4" s="10">
        <f t="shared" ref="E4:E120" si="1">C4*D4</f>
        <v>0</v>
      </c>
      <c r="F4" s="11"/>
      <c r="G4" s="12">
        <v>1785453</v>
      </c>
      <c r="H4" s="13" t="s">
        <v>21</v>
      </c>
      <c r="I4" s="8">
        <v>327.43299999999999</v>
      </c>
      <c r="J4" s="9">
        <f t="shared" ref="J4:J119" si="2">M4</f>
        <v>0</v>
      </c>
      <c r="K4" s="10">
        <f t="shared" ref="K4:K119" si="3">I4*J4</f>
        <v>0</v>
      </c>
      <c r="M4" s="4">
        <f t="shared" ref="M4:M120" si="4">SUM(N4:S4)</f>
        <v>0</v>
      </c>
    </row>
    <row r="5" spans="1:19" s="4" customFormat="1" ht="16.5" customHeight="1" x14ac:dyDescent="0.35">
      <c r="A5" s="14" t="s">
        <v>22</v>
      </c>
      <c r="B5" s="7" t="s">
        <v>23</v>
      </c>
      <c r="C5" s="8">
        <f>392.25/1.13</f>
        <v>347.12389380530976</v>
      </c>
      <c r="D5" s="9"/>
      <c r="E5" s="10"/>
      <c r="F5" s="11"/>
      <c r="G5" s="12"/>
      <c r="H5" s="13"/>
      <c r="I5" s="8"/>
      <c r="J5" s="9"/>
      <c r="K5" s="10"/>
    </row>
    <row r="6" spans="1:19" s="4" customFormat="1" ht="16.5" customHeight="1" x14ac:dyDescent="0.25">
      <c r="A6" s="6" t="s">
        <v>24</v>
      </c>
      <c r="B6" s="7" t="s">
        <v>25</v>
      </c>
      <c r="C6" s="8">
        <v>598.58100000000002</v>
      </c>
      <c r="D6" s="9">
        <f t="shared" si="0"/>
        <v>0</v>
      </c>
      <c r="E6" s="10">
        <f t="shared" si="1"/>
        <v>0</v>
      </c>
      <c r="F6" s="11"/>
      <c r="G6" s="1"/>
      <c r="H6" s="5"/>
      <c r="I6" s="8"/>
      <c r="J6" s="9"/>
      <c r="K6" s="10"/>
      <c r="M6" s="4">
        <f t="shared" si="4"/>
        <v>0</v>
      </c>
    </row>
    <row r="7" spans="1:19" s="4" customFormat="1" ht="16.5" customHeight="1" thickBot="1" x14ac:dyDescent="0.3">
      <c r="A7" s="6" t="s">
        <v>26</v>
      </c>
      <c r="B7" s="7" t="s">
        <v>27</v>
      </c>
      <c r="C7" s="8">
        <v>308.54700000000003</v>
      </c>
      <c r="D7" s="9">
        <f t="shared" si="0"/>
        <v>0</v>
      </c>
      <c r="E7" s="10">
        <f t="shared" si="1"/>
        <v>0</v>
      </c>
      <c r="F7" s="11"/>
      <c r="G7" s="12">
        <v>1785456</v>
      </c>
      <c r="H7" s="13" t="s">
        <v>28</v>
      </c>
      <c r="I7" s="8">
        <v>292.03500000000003</v>
      </c>
      <c r="J7" s="9">
        <f t="shared" si="2"/>
        <v>0</v>
      </c>
      <c r="K7" s="10">
        <f t="shared" si="3"/>
        <v>0</v>
      </c>
      <c r="M7" s="4">
        <f t="shared" si="4"/>
        <v>0</v>
      </c>
    </row>
    <row r="8" spans="1:19" s="4" customFormat="1" ht="16.5" customHeight="1" thickBot="1" x14ac:dyDescent="0.45">
      <c r="A8" s="6">
        <v>1802993</v>
      </c>
      <c r="B8" s="15" t="s">
        <v>29</v>
      </c>
      <c r="C8" s="16">
        <v>339.16</v>
      </c>
      <c r="D8" s="9"/>
      <c r="E8" s="10"/>
      <c r="F8" s="11"/>
      <c r="G8" s="12"/>
      <c r="H8" s="13"/>
      <c r="I8" s="8"/>
      <c r="J8" s="9"/>
      <c r="K8" s="10"/>
    </row>
    <row r="9" spans="1:19" s="4" customFormat="1" ht="16.5" customHeight="1" x14ac:dyDescent="0.25">
      <c r="A9" s="14" t="s">
        <v>30</v>
      </c>
      <c r="B9" s="7" t="s">
        <v>31</v>
      </c>
      <c r="C9" s="8">
        <f>367/1.13</f>
        <v>324.77876106194691</v>
      </c>
      <c r="D9" s="9">
        <f t="shared" si="0"/>
        <v>0</v>
      </c>
      <c r="E9" s="10">
        <f t="shared" si="1"/>
        <v>0</v>
      </c>
      <c r="F9" s="11"/>
      <c r="G9" s="1"/>
      <c r="H9" s="5"/>
      <c r="I9" s="8"/>
      <c r="J9" s="9"/>
      <c r="K9" s="10"/>
      <c r="M9" s="4">
        <f t="shared" si="4"/>
        <v>0</v>
      </c>
    </row>
    <row r="10" spans="1:19" s="4" customFormat="1" ht="16.5" customHeight="1" x14ac:dyDescent="0.25">
      <c r="A10" s="14" t="s">
        <v>32</v>
      </c>
      <c r="B10" s="17" t="s">
        <v>33</v>
      </c>
      <c r="C10" s="8">
        <f>2888/1.13</f>
        <v>2555.7522123893809</v>
      </c>
      <c r="D10" s="9">
        <f t="shared" si="0"/>
        <v>0</v>
      </c>
      <c r="E10" s="10">
        <f t="shared" si="1"/>
        <v>0</v>
      </c>
      <c r="F10" s="11"/>
      <c r="G10" s="1"/>
      <c r="H10" s="5"/>
      <c r="I10" s="8"/>
      <c r="J10" s="9"/>
      <c r="K10" s="10"/>
    </row>
    <row r="11" spans="1:19" s="4" customFormat="1" ht="16.5" customHeight="1" x14ac:dyDescent="0.25">
      <c r="A11" s="6">
        <v>1794786</v>
      </c>
      <c r="B11" s="18" t="s">
        <v>34</v>
      </c>
      <c r="C11" s="8">
        <v>3098.8490000000002</v>
      </c>
      <c r="D11" s="9">
        <f t="shared" si="0"/>
        <v>0</v>
      </c>
      <c r="E11" s="10">
        <f t="shared" si="1"/>
        <v>0</v>
      </c>
      <c r="F11" s="11"/>
      <c r="G11" s="1"/>
      <c r="H11" s="5"/>
      <c r="I11" s="8"/>
      <c r="J11" s="9"/>
      <c r="K11" s="10"/>
      <c r="M11" s="4">
        <f t="shared" si="4"/>
        <v>0</v>
      </c>
    </row>
    <row r="12" spans="1:19" s="4" customFormat="1" ht="16.5" customHeight="1" x14ac:dyDescent="0.25">
      <c r="A12" s="6" t="s">
        <v>35</v>
      </c>
      <c r="B12" s="18" t="s">
        <v>36</v>
      </c>
      <c r="C12" s="8">
        <v>308.54700000000003</v>
      </c>
      <c r="D12" s="9">
        <f t="shared" si="0"/>
        <v>0</v>
      </c>
      <c r="E12" s="10">
        <f t="shared" si="1"/>
        <v>0</v>
      </c>
      <c r="F12" s="11"/>
      <c r="G12" s="12">
        <v>1785454</v>
      </c>
      <c r="H12" s="13" t="s">
        <v>37</v>
      </c>
      <c r="I12" s="8">
        <v>292.04000000000002</v>
      </c>
      <c r="J12" s="9">
        <f t="shared" si="2"/>
        <v>0</v>
      </c>
      <c r="K12" s="10">
        <f t="shared" si="3"/>
        <v>0</v>
      </c>
      <c r="M12" s="4">
        <f t="shared" si="4"/>
        <v>0</v>
      </c>
    </row>
    <row r="13" spans="1:19" s="4" customFormat="1" ht="16.5" customHeight="1" x14ac:dyDescent="0.25">
      <c r="A13" s="14" t="s">
        <v>38</v>
      </c>
      <c r="B13" s="18" t="s">
        <v>39</v>
      </c>
      <c r="C13" s="8">
        <f>3800/1.13</f>
        <v>3362.8318584070798</v>
      </c>
      <c r="D13" s="9">
        <f t="shared" si="0"/>
        <v>0</v>
      </c>
      <c r="E13" s="10">
        <f t="shared" si="1"/>
        <v>0</v>
      </c>
      <c r="F13" s="11"/>
      <c r="G13" s="12"/>
      <c r="H13" s="13"/>
      <c r="I13" s="10"/>
      <c r="J13" s="9"/>
      <c r="K13" s="10"/>
    </row>
    <row r="14" spans="1:19" s="4" customFormat="1" ht="16.5" customHeight="1" x14ac:dyDescent="0.25">
      <c r="A14" s="6"/>
      <c r="B14" s="19" t="s">
        <v>40</v>
      </c>
      <c r="C14" s="8">
        <f>550/1.13</f>
        <v>486.72566371681421</v>
      </c>
      <c r="D14" s="9">
        <f t="shared" si="0"/>
        <v>0</v>
      </c>
      <c r="E14" s="10">
        <f t="shared" si="1"/>
        <v>0</v>
      </c>
      <c r="F14" s="11"/>
      <c r="G14" s="1"/>
      <c r="H14" s="5"/>
      <c r="I14" s="8"/>
      <c r="J14" s="9"/>
      <c r="K14" s="10"/>
      <c r="M14" s="4">
        <f t="shared" si="4"/>
        <v>0</v>
      </c>
    </row>
    <row r="15" spans="1:19" s="4" customFormat="1" ht="16.5" customHeight="1" x14ac:dyDescent="0.25">
      <c r="A15" s="6">
        <v>1784265</v>
      </c>
      <c r="B15" s="20" t="s">
        <v>41</v>
      </c>
      <c r="C15" s="8">
        <v>598.54200000000003</v>
      </c>
      <c r="D15" s="9">
        <f t="shared" si="0"/>
        <v>0</v>
      </c>
      <c r="E15" s="10">
        <f t="shared" si="1"/>
        <v>0</v>
      </c>
      <c r="F15" s="11"/>
      <c r="G15" s="1"/>
      <c r="H15" s="13" t="s">
        <v>42</v>
      </c>
      <c r="I15" s="10">
        <f>ROUND(370/1.13,2)</f>
        <v>327.43</v>
      </c>
      <c r="J15" s="9"/>
      <c r="K15" s="10"/>
      <c r="M15" s="4">
        <f t="shared" si="4"/>
        <v>0</v>
      </c>
    </row>
    <row r="16" spans="1:19" s="4" customFormat="1" ht="16.5" customHeight="1" x14ac:dyDescent="0.25">
      <c r="A16" s="14" t="s">
        <v>43</v>
      </c>
      <c r="B16" s="21" t="s">
        <v>44</v>
      </c>
      <c r="C16" s="8">
        <f>1350/1.13</f>
        <v>1194.6902654867258</v>
      </c>
      <c r="D16" s="9"/>
      <c r="E16" s="10"/>
      <c r="F16" s="11"/>
      <c r="G16" s="1"/>
      <c r="H16" s="5"/>
      <c r="I16" s="8"/>
      <c r="J16" s="9"/>
      <c r="K16" s="10"/>
    </row>
    <row r="17" spans="1:13" s="4" customFormat="1" ht="16.5" customHeight="1" x14ac:dyDescent="0.25">
      <c r="A17" s="6">
        <v>1794883</v>
      </c>
      <c r="B17" s="22" t="s">
        <v>45</v>
      </c>
      <c r="C17" s="8">
        <v>815.48699999999997</v>
      </c>
      <c r="D17" s="9">
        <f t="shared" ref="D17:D24" si="5">M17</f>
        <v>0</v>
      </c>
      <c r="E17" s="10">
        <f t="shared" ref="E17:E25" si="6">C17*D17</f>
        <v>0</v>
      </c>
      <c r="F17" s="11"/>
      <c r="G17" s="1"/>
      <c r="H17" s="5"/>
      <c r="I17" s="8"/>
      <c r="J17" s="9"/>
      <c r="K17" s="10"/>
    </row>
    <row r="18" spans="1:13" s="4" customFormat="1" ht="16.5" customHeight="1" x14ac:dyDescent="0.25">
      <c r="A18" s="6"/>
      <c r="B18" s="19" t="s">
        <v>46</v>
      </c>
      <c r="C18" s="8">
        <f>1468.04/1.13</f>
        <v>1299.1504424778761</v>
      </c>
      <c r="D18" s="9">
        <f t="shared" si="5"/>
        <v>0</v>
      </c>
      <c r="E18" s="10">
        <f t="shared" si="6"/>
        <v>0</v>
      </c>
      <c r="F18" s="11"/>
      <c r="G18" s="1"/>
      <c r="H18" s="5"/>
      <c r="I18" s="8"/>
      <c r="J18" s="9"/>
      <c r="K18" s="10"/>
      <c r="M18" s="4">
        <f t="shared" si="4"/>
        <v>0</v>
      </c>
    </row>
    <row r="19" spans="1:13" s="4" customFormat="1" ht="16.5" customHeight="1" x14ac:dyDescent="0.25">
      <c r="A19" s="6" t="s">
        <v>47</v>
      </c>
      <c r="B19" s="7" t="s">
        <v>48</v>
      </c>
      <c r="C19" s="8">
        <v>1496.5</v>
      </c>
      <c r="D19" s="9">
        <f t="shared" si="5"/>
        <v>0</v>
      </c>
      <c r="E19" s="10">
        <f t="shared" si="6"/>
        <v>0</v>
      </c>
      <c r="F19" s="11"/>
      <c r="G19" s="12">
        <v>1762315</v>
      </c>
      <c r="H19" s="13" t="s">
        <v>49</v>
      </c>
      <c r="I19" s="8">
        <v>1481.96</v>
      </c>
      <c r="J19" s="9">
        <f t="shared" si="2"/>
        <v>0</v>
      </c>
      <c r="K19" s="10">
        <f t="shared" si="3"/>
        <v>0</v>
      </c>
      <c r="M19" s="4">
        <f t="shared" si="4"/>
        <v>0</v>
      </c>
    </row>
    <row r="20" spans="1:13" s="4" customFormat="1" ht="16.5" customHeight="1" x14ac:dyDescent="0.25">
      <c r="A20" s="6" t="s">
        <v>50</v>
      </c>
      <c r="B20" s="7" t="s">
        <v>51</v>
      </c>
      <c r="C20" s="8">
        <v>2314.1019999999999</v>
      </c>
      <c r="D20" s="9">
        <f t="shared" si="5"/>
        <v>0</v>
      </c>
      <c r="E20" s="10">
        <f t="shared" si="6"/>
        <v>0</v>
      </c>
      <c r="F20" s="11"/>
      <c r="G20" s="12">
        <v>1762314</v>
      </c>
      <c r="H20" s="13" t="s">
        <v>52</v>
      </c>
      <c r="I20" s="8">
        <v>2067.44</v>
      </c>
      <c r="J20" s="9">
        <f t="shared" si="2"/>
        <v>0</v>
      </c>
      <c r="K20" s="10">
        <f t="shared" si="3"/>
        <v>0</v>
      </c>
      <c r="M20" s="4">
        <f t="shared" si="4"/>
        <v>0</v>
      </c>
    </row>
    <row r="21" spans="1:13" s="4" customFormat="1" ht="16.5" customHeight="1" x14ac:dyDescent="0.25">
      <c r="A21" s="6">
        <v>1762254</v>
      </c>
      <c r="B21" s="7" t="s">
        <v>53</v>
      </c>
      <c r="C21" s="8">
        <v>2446.46</v>
      </c>
      <c r="D21" s="9">
        <f t="shared" si="5"/>
        <v>0</v>
      </c>
      <c r="E21" s="10">
        <f t="shared" si="6"/>
        <v>0</v>
      </c>
      <c r="F21" s="11"/>
      <c r="G21" s="23"/>
      <c r="H21" s="5"/>
      <c r="I21" s="8"/>
      <c r="J21" s="9"/>
      <c r="K21" s="10"/>
      <c r="M21" s="4">
        <f t="shared" si="4"/>
        <v>0</v>
      </c>
    </row>
    <row r="22" spans="1:13" s="4" customFormat="1" ht="16.5" customHeight="1" x14ac:dyDescent="0.25">
      <c r="A22" s="6">
        <v>1762255</v>
      </c>
      <c r="B22" s="7" t="s">
        <v>54</v>
      </c>
      <c r="C22" s="8">
        <v>3362.8319999999999</v>
      </c>
      <c r="D22" s="9">
        <f t="shared" si="5"/>
        <v>0</v>
      </c>
      <c r="E22" s="10">
        <f t="shared" si="6"/>
        <v>0</v>
      </c>
      <c r="F22" s="11"/>
      <c r="G22" s="12">
        <v>1762314</v>
      </c>
      <c r="H22" s="13" t="s">
        <v>52</v>
      </c>
      <c r="I22" s="8">
        <v>2067.44</v>
      </c>
      <c r="J22" s="9">
        <f t="shared" ref="J22" si="7">M22</f>
        <v>0</v>
      </c>
      <c r="K22" s="10">
        <f t="shared" ref="K22" si="8">I22*J22</f>
        <v>0</v>
      </c>
      <c r="M22" s="4">
        <f t="shared" si="4"/>
        <v>0</v>
      </c>
    </row>
    <row r="23" spans="1:13" s="4" customFormat="1" ht="16.5" customHeight="1" x14ac:dyDescent="0.25">
      <c r="A23" s="14" t="s">
        <v>55</v>
      </c>
      <c r="B23" s="7" t="s">
        <v>56</v>
      </c>
      <c r="C23" s="8">
        <f>2922.42/1.13</f>
        <v>2586.2123893805315</v>
      </c>
      <c r="D23" s="9">
        <f t="shared" si="5"/>
        <v>0</v>
      </c>
      <c r="E23" s="10">
        <f t="shared" si="6"/>
        <v>0</v>
      </c>
      <c r="F23" s="11"/>
      <c r="G23" s="23"/>
      <c r="H23" s="5"/>
      <c r="I23" s="8"/>
      <c r="J23" s="9"/>
      <c r="K23" s="10"/>
    </row>
    <row r="24" spans="1:13" s="4" customFormat="1" ht="16.5" customHeight="1" x14ac:dyDescent="0.25">
      <c r="A24" s="14" t="s">
        <v>55</v>
      </c>
      <c r="B24" s="7" t="s">
        <v>57</v>
      </c>
      <c r="C24" s="8">
        <f>3896.55/1.13</f>
        <v>3448.2743362831861</v>
      </c>
      <c r="D24" s="9">
        <f t="shared" si="5"/>
        <v>0</v>
      </c>
      <c r="E24" s="10">
        <f t="shared" si="6"/>
        <v>0</v>
      </c>
      <c r="F24" s="11"/>
      <c r="G24" s="23"/>
      <c r="H24" s="5"/>
      <c r="I24" s="8"/>
      <c r="J24" s="9"/>
      <c r="K24" s="10"/>
    </row>
    <row r="25" spans="1:13" s="4" customFormat="1" ht="16.5" customHeight="1" x14ac:dyDescent="0.25">
      <c r="A25" s="14" t="s">
        <v>58</v>
      </c>
      <c r="B25" s="7" t="s">
        <v>59</v>
      </c>
      <c r="C25" s="8">
        <f>19880/1.13</f>
        <v>17592.920353982303</v>
      </c>
      <c r="D25" s="9">
        <v>0</v>
      </c>
      <c r="E25" s="10">
        <f t="shared" si="6"/>
        <v>0</v>
      </c>
      <c r="F25" s="11"/>
      <c r="G25" s="12"/>
      <c r="H25" s="13"/>
      <c r="I25" s="8"/>
      <c r="J25" s="9"/>
      <c r="K25" s="10"/>
    </row>
    <row r="26" spans="1:13" s="4" customFormat="1" ht="16.5" customHeight="1" x14ac:dyDescent="0.25">
      <c r="A26" s="6" t="s">
        <v>60</v>
      </c>
      <c r="B26" s="7" t="s">
        <v>61</v>
      </c>
      <c r="C26" s="8">
        <v>1084.9290000000001</v>
      </c>
      <c r="D26" s="9">
        <f t="shared" si="0"/>
        <v>0</v>
      </c>
      <c r="E26" s="10">
        <f t="shared" si="1"/>
        <v>0</v>
      </c>
      <c r="F26" s="11"/>
      <c r="G26" s="12">
        <v>1785457</v>
      </c>
      <c r="H26" s="13" t="s">
        <v>62</v>
      </c>
      <c r="I26" s="8">
        <v>1106.194</v>
      </c>
      <c r="J26" s="9">
        <f t="shared" si="2"/>
        <v>0</v>
      </c>
      <c r="K26" s="10">
        <f t="shared" si="3"/>
        <v>0</v>
      </c>
      <c r="M26" s="4">
        <f t="shared" si="4"/>
        <v>0</v>
      </c>
    </row>
    <row r="27" spans="1:13" s="4" customFormat="1" ht="16.5" customHeight="1" x14ac:dyDescent="0.25">
      <c r="A27" s="6" t="s">
        <v>63</v>
      </c>
      <c r="B27" s="7" t="s">
        <v>64</v>
      </c>
      <c r="C27" s="8">
        <v>617.09400000000005</v>
      </c>
      <c r="D27" s="9">
        <f t="shared" si="0"/>
        <v>0</v>
      </c>
      <c r="E27" s="10">
        <f t="shared" si="1"/>
        <v>0</v>
      </c>
      <c r="F27" s="11"/>
      <c r="G27" s="12">
        <v>1785452</v>
      </c>
      <c r="H27" s="13" t="s">
        <v>65</v>
      </c>
      <c r="I27" s="8">
        <v>353.98200000000003</v>
      </c>
      <c r="J27" s="9">
        <f t="shared" si="2"/>
        <v>0</v>
      </c>
      <c r="K27" s="10">
        <f t="shared" si="3"/>
        <v>0</v>
      </c>
      <c r="M27" s="4">
        <f t="shared" si="4"/>
        <v>0</v>
      </c>
    </row>
    <row r="28" spans="1:13" s="4" customFormat="1" ht="16.5" customHeight="1" x14ac:dyDescent="0.25">
      <c r="A28" s="6" t="s">
        <v>66</v>
      </c>
      <c r="B28" s="18" t="s">
        <v>67</v>
      </c>
      <c r="C28" s="8">
        <v>374.113</v>
      </c>
      <c r="D28" s="9">
        <f t="shared" si="0"/>
        <v>0</v>
      </c>
      <c r="E28" s="10">
        <f t="shared" si="1"/>
        <v>0</v>
      </c>
      <c r="F28" s="11"/>
      <c r="G28" s="12">
        <v>1785451</v>
      </c>
      <c r="H28" s="24" t="s">
        <v>68</v>
      </c>
      <c r="I28" s="8">
        <v>353.98200000000003</v>
      </c>
      <c r="J28" s="9">
        <f t="shared" si="2"/>
        <v>0</v>
      </c>
      <c r="K28" s="10">
        <f t="shared" si="3"/>
        <v>0</v>
      </c>
      <c r="M28" s="4">
        <f t="shared" si="4"/>
        <v>0</v>
      </c>
    </row>
    <row r="29" spans="1:13" s="4" customFormat="1" ht="16.5" customHeight="1" x14ac:dyDescent="0.25">
      <c r="A29" s="6"/>
      <c r="B29" s="7" t="s">
        <v>69</v>
      </c>
      <c r="C29" s="8">
        <f>750/1.13</f>
        <v>663.71681415929208</v>
      </c>
      <c r="D29" s="9">
        <v>0</v>
      </c>
      <c r="E29" s="10">
        <f t="shared" si="1"/>
        <v>0</v>
      </c>
      <c r="F29" s="11"/>
      <c r="G29" s="12"/>
      <c r="H29" s="13"/>
      <c r="I29" s="8"/>
      <c r="J29" s="9"/>
      <c r="K29" s="10"/>
    </row>
    <row r="30" spans="1:13" s="4" customFormat="1" ht="16.5" customHeight="1" x14ac:dyDescent="0.25">
      <c r="A30" s="6"/>
      <c r="B30" s="7" t="s">
        <v>70</v>
      </c>
      <c r="C30" s="8">
        <f>5000/1.13</f>
        <v>4424.7787610619471</v>
      </c>
      <c r="D30" s="9">
        <v>0</v>
      </c>
      <c r="E30" s="10">
        <f t="shared" si="1"/>
        <v>0</v>
      </c>
      <c r="F30" s="11"/>
      <c r="G30" s="12"/>
      <c r="H30" s="13"/>
      <c r="I30" s="8"/>
      <c r="J30" s="9"/>
      <c r="K30" s="10"/>
    </row>
    <row r="31" spans="1:13" s="4" customFormat="1" ht="16.5" customHeight="1" x14ac:dyDescent="0.25">
      <c r="A31" s="14" t="s">
        <v>30</v>
      </c>
      <c r="B31" s="7" t="s">
        <v>71</v>
      </c>
      <c r="C31" s="8">
        <f>3670.1/1.13</f>
        <v>3247.8761061946907</v>
      </c>
      <c r="D31" s="9">
        <f t="shared" si="0"/>
        <v>0</v>
      </c>
      <c r="E31" s="10">
        <f t="shared" si="1"/>
        <v>0</v>
      </c>
      <c r="F31" s="11"/>
      <c r="G31" s="12"/>
      <c r="H31" s="24"/>
      <c r="I31" s="8"/>
      <c r="J31" s="9"/>
      <c r="K31" s="10"/>
    </row>
    <row r="32" spans="1:13" s="4" customFormat="1" ht="16.5" customHeight="1" x14ac:dyDescent="0.25">
      <c r="A32" s="14" t="s">
        <v>72</v>
      </c>
      <c r="B32" s="7" t="s">
        <v>73</v>
      </c>
      <c r="C32" s="8">
        <f>921.5/1.13</f>
        <v>815.48672566371692</v>
      </c>
      <c r="D32" s="9">
        <f t="shared" si="0"/>
        <v>0</v>
      </c>
      <c r="E32" s="10">
        <f t="shared" si="1"/>
        <v>0</v>
      </c>
      <c r="F32" s="11"/>
      <c r="G32" s="12"/>
      <c r="H32" s="24"/>
      <c r="I32" s="8"/>
      <c r="J32" s="9"/>
      <c r="K32" s="10"/>
    </row>
    <row r="33" spans="1:13" s="4" customFormat="1" ht="16.5" customHeight="1" x14ac:dyDescent="0.25">
      <c r="A33" s="14" t="s">
        <v>72</v>
      </c>
      <c r="B33" s="7" t="s">
        <v>74</v>
      </c>
      <c r="C33" s="8">
        <f>1105.8/1.13</f>
        <v>978.5840707964602</v>
      </c>
      <c r="D33" s="9">
        <f t="shared" si="0"/>
        <v>0</v>
      </c>
      <c r="E33" s="10">
        <f t="shared" si="1"/>
        <v>0</v>
      </c>
      <c r="F33" s="11"/>
      <c r="G33" s="12"/>
      <c r="H33" s="24"/>
      <c r="I33" s="8"/>
      <c r="J33" s="9"/>
      <c r="K33" s="10"/>
    </row>
    <row r="34" spans="1:13" s="4" customFormat="1" ht="16.5" customHeight="1" x14ac:dyDescent="0.25">
      <c r="A34" s="14" t="s">
        <v>75</v>
      </c>
      <c r="B34" s="7" t="s">
        <v>76</v>
      </c>
      <c r="C34" s="8">
        <f>1350/1.13</f>
        <v>1194.6902654867258</v>
      </c>
      <c r="D34" s="9">
        <f t="shared" si="0"/>
        <v>0</v>
      </c>
      <c r="E34" s="10">
        <f t="shared" si="1"/>
        <v>0</v>
      </c>
      <c r="F34" s="11"/>
      <c r="G34" s="12"/>
      <c r="H34" s="13"/>
      <c r="I34" s="8"/>
      <c r="J34" s="9"/>
      <c r="K34" s="10"/>
    </row>
    <row r="35" spans="1:13" s="4" customFormat="1" ht="16.5" customHeight="1" x14ac:dyDescent="0.4">
      <c r="A35" s="14" t="s">
        <v>77</v>
      </c>
      <c r="B35" s="7" t="s">
        <v>78</v>
      </c>
      <c r="C35" s="8">
        <f>1100/1.13</f>
        <v>973.45132743362842</v>
      </c>
      <c r="D35" s="9">
        <f t="shared" si="0"/>
        <v>0</v>
      </c>
      <c r="E35" s="10">
        <f t="shared" si="1"/>
        <v>0</v>
      </c>
      <c r="F35" s="11"/>
      <c r="G35" s="12"/>
      <c r="H35" s="13"/>
      <c r="I35" s="8"/>
      <c r="J35" s="9"/>
      <c r="K35" s="10"/>
    </row>
    <row r="36" spans="1:13" s="4" customFormat="1" ht="16.5" customHeight="1" x14ac:dyDescent="0.25">
      <c r="A36" s="14" t="s">
        <v>75</v>
      </c>
      <c r="B36" s="7" t="s">
        <v>79</v>
      </c>
      <c r="C36" s="8">
        <f>2500/1.13</f>
        <v>2212.3893805309735</v>
      </c>
      <c r="D36" s="9">
        <v>0</v>
      </c>
      <c r="E36" s="10">
        <f t="shared" si="1"/>
        <v>0</v>
      </c>
      <c r="F36" s="11"/>
      <c r="G36" s="12"/>
      <c r="H36" s="13"/>
      <c r="I36" s="8"/>
      <c r="J36" s="9"/>
      <c r="K36" s="10"/>
    </row>
    <row r="37" spans="1:13" s="4" customFormat="1" ht="16.5" customHeight="1" x14ac:dyDescent="0.25">
      <c r="A37" s="6" t="s">
        <v>80</v>
      </c>
      <c r="B37" s="25" t="s">
        <v>81</v>
      </c>
      <c r="C37" s="8">
        <v>19284.955000000002</v>
      </c>
      <c r="D37" s="9"/>
      <c r="E37" s="10"/>
      <c r="F37" s="11"/>
      <c r="G37" s="12"/>
      <c r="H37" s="13"/>
      <c r="I37" s="8"/>
      <c r="J37" s="9"/>
      <c r="K37" s="10"/>
    </row>
    <row r="38" spans="1:13" s="4" customFormat="1" ht="16.5" customHeight="1" x14ac:dyDescent="0.25">
      <c r="A38" s="6"/>
      <c r="B38" s="7" t="s">
        <v>82</v>
      </c>
      <c r="C38" s="8">
        <f>3451.73/1.13</f>
        <v>3054.6283185840712</v>
      </c>
      <c r="D38" s="9">
        <f t="shared" si="0"/>
        <v>0</v>
      </c>
      <c r="E38" s="10">
        <f t="shared" si="1"/>
        <v>0</v>
      </c>
      <c r="F38" s="11"/>
      <c r="G38" s="12">
        <v>1785458</v>
      </c>
      <c r="H38" s="13" t="s">
        <v>83</v>
      </c>
      <c r="I38" s="8">
        <v>3053.0970000000002</v>
      </c>
      <c r="J38" s="9">
        <f t="shared" si="2"/>
        <v>0</v>
      </c>
      <c r="K38" s="10">
        <f t="shared" si="3"/>
        <v>0</v>
      </c>
      <c r="M38" s="4">
        <f t="shared" si="4"/>
        <v>0</v>
      </c>
    </row>
    <row r="39" spans="1:13" s="4" customFormat="1" ht="16.5" customHeight="1" x14ac:dyDescent="0.25">
      <c r="A39" s="14" t="s">
        <v>32</v>
      </c>
      <c r="B39" s="26" t="s">
        <v>84</v>
      </c>
      <c r="C39" s="8">
        <f>1140/1.13</f>
        <v>1008.849557522124</v>
      </c>
      <c r="D39" s="9">
        <f t="shared" si="0"/>
        <v>0</v>
      </c>
      <c r="E39" s="10">
        <f t="shared" si="1"/>
        <v>0</v>
      </c>
      <c r="F39" s="11"/>
      <c r="G39" s="12">
        <v>1785459</v>
      </c>
      <c r="H39" s="13" t="s">
        <v>85</v>
      </c>
      <c r="I39" s="8">
        <v>442.47699999999998</v>
      </c>
      <c r="J39" s="9">
        <f t="shared" si="2"/>
        <v>0</v>
      </c>
      <c r="K39" s="10">
        <f t="shared" si="3"/>
        <v>0</v>
      </c>
      <c r="M39" s="4">
        <f t="shared" si="4"/>
        <v>0</v>
      </c>
    </row>
    <row r="40" spans="1:13" s="4" customFormat="1" ht="16.5" customHeight="1" x14ac:dyDescent="0.25">
      <c r="A40" s="6"/>
      <c r="B40" s="7" t="s">
        <v>86</v>
      </c>
      <c r="C40" s="8">
        <f>4449.51/1.13</f>
        <v>3937.6194690265493</v>
      </c>
      <c r="D40" s="9">
        <f t="shared" si="0"/>
        <v>0</v>
      </c>
      <c r="E40" s="10">
        <f t="shared" si="1"/>
        <v>0</v>
      </c>
      <c r="F40" s="11"/>
      <c r="G40" s="12">
        <v>1785460</v>
      </c>
      <c r="H40" s="24" t="s">
        <v>87</v>
      </c>
      <c r="I40" s="8">
        <v>3929.203</v>
      </c>
      <c r="J40" s="9">
        <f t="shared" si="2"/>
        <v>0</v>
      </c>
      <c r="K40" s="10">
        <f t="shared" si="3"/>
        <v>0</v>
      </c>
      <c r="M40" s="4">
        <f t="shared" si="4"/>
        <v>0</v>
      </c>
    </row>
    <row r="41" spans="1:13" s="4" customFormat="1" ht="16.5" customHeight="1" x14ac:dyDescent="0.25">
      <c r="A41" s="14" t="s">
        <v>72</v>
      </c>
      <c r="B41" s="7" t="s">
        <v>88</v>
      </c>
      <c r="C41" s="8">
        <f>950.6/1.13</f>
        <v>841.2389380530974</v>
      </c>
      <c r="D41" s="9">
        <f t="shared" si="0"/>
        <v>0</v>
      </c>
      <c r="E41" s="10">
        <f t="shared" si="1"/>
        <v>0</v>
      </c>
      <c r="F41" s="11"/>
      <c r="G41" s="12"/>
      <c r="H41" s="24"/>
      <c r="I41" s="8"/>
      <c r="J41" s="9"/>
      <c r="K41" s="10"/>
    </row>
    <row r="42" spans="1:13" s="4" customFormat="1" ht="16.5" customHeight="1" x14ac:dyDescent="0.25">
      <c r="A42" s="14" t="s">
        <v>72</v>
      </c>
      <c r="B42" s="7" t="s">
        <v>89</v>
      </c>
      <c r="C42" s="8">
        <f>1880/1.13</f>
        <v>1663.7168141592922</v>
      </c>
      <c r="D42" s="9">
        <f t="shared" si="0"/>
        <v>0</v>
      </c>
      <c r="E42" s="10">
        <f t="shared" si="1"/>
        <v>0</v>
      </c>
      <c r="F42" s="11"/>
      <c r="G42" s="12"/>
      <c r="H42" s="24"/>
      <c r="I42" s="8"/>
      <c r="J42" s="9"/>
      <c r="K42" s="10"/>
    </row>
    <row r="43" spans="1:13" s="4" customFormat="1" ht="16.5" customHeight="1" x14ac:dyDescent="0.25">
      <c r="A43" s="6"/>
      <c r="B43" s="18" t="s">
        <v>90</v>
      </c>
      <c r="C43" s="8">
        <f>7862.58/1.13</f>
        <v>6958.0353982300894</v>
      </c>
      <c r="D43" s="9">
        <f t="shared" si="0"/>
        <v>0</v>
      </c>
      <c r="E43" s="10">
        <f t="shared" si="1"/>
        <v>0</v>
      </c>
      <c r="F43" s="11"/>
      <c r="G43" s="12">
        <v>1785461</v>
      </c>
      <c r="H43" s="13" t="s">
        <v>91</v>
      </c>
      <c r="I43" s="8">
        <v>6955.7520000000004</v>
      </c>
      <c r="J43" s="9">
        <f t="shared" si="2"/>
        <v>0</v>
      </c>
      <c r="K43" s="10">
        <f t="shared" si="3"/>
        <v>0</v>
      </c>
      <c r="M43" s="4">
        <f t="shared" si="4"/>
        <v>0</v>
      </c>
    </row>
    <row r="44" spans="1:13" s="4" customFormat="1" ht="5.5" customHeight="1" x14ac:dyDescent="0.25">
      <c r="A44" s="27"/>
      <c r="B44" s="27"/>
      <c r="C44" s="27"/>
      <c r="D44" s="27"/>
      <c r="E44" s="10"/>
      <c r="F44" s="27"/>
      <c r="G44" s="28"/>
      <c r="H44" s="27"/>
      <c r="I44" s="8"/>
      <c r="J44" s="9"/>
      <c r="K44" s="10"/>
    </row>
    <row r="45" spans="1:13" s="4" customFormat="1" ht="16.5" customHeight="1" x14ac:dyDescent="0.25">
      <c r="A45" s="6" t="s">
        <v>92</v>
      </c>
      <c r="B45" s="7" t="s">
        <v>93</v>
      </c>
      <c r="C45" s="8">
        <v>374.113</v>
      </c>
      <c r="D45" s="9">
        <f t="shared" si="0"/>
        <v>0</v>
      </c>
      <c r="E45" s="10">
        <f t="shared" si="1"/>
        <v>0</v>
      </c>
      <c r="F45" s="11"/>
      <c r="G45" s="1"/>
      <c r="H45" s="5"/>
      <c r="I45" s="8"/>
      <c r="J45" s="9"/>
      <c r="K45" s="10"/>
      <c r="M45" s="4">
        <f t="shared" si="4"/>
        <v>0</v>
      </c>
    </row>
    <row r="46" spans="1:13" s="4" customFormat="1" ht="16.5" customHeight="1" x14ac:dyDescent="0.25">
      <c r="A46" s="6">
        <v>1789333</v>
      </c>
      <c r="B46" s="7" t="s">
        <v>94</v>
      </c>
      <c r="C46" s="8">
        <v>300.44200000000001</v>
      </c>
      <c r="D46" s="9">
        <f t="shared" si="0"/>
        <v>0</v>
      </c>
      <c r="E46" s="10">
        <f t="shared" si="1"/>
        <v>0</v>
      </c>
      <c r="F46" s="11"/>
      <c r="G46" s="1"/>
      <c r="H46" s="5"/>
      <c r="I46" s="11"/>
      <c r="J46" s="9"/>
      <c r="K46" s="10"/>
    </row>
    <row r="47" spans="1:13" s="4" customFormat="1" ht="16.5" customHeight="1" x14ac:dyDescent="0.25">
      <c r="A47" s="6"/>
      <c r="B47" s="29" t="s">
        <v>95</v>
      </c>
      <c r="D47" s="9"/>
      <c r="E47" s="10"/>
      <c r="G47" s="1"/>
      <c r="H47" s="5"/>
      <c r="J47" s="9"/>
      <c r="K47" s="10"/>
      <c r="M47" s="4">
        <f t="shared" si="4"/>
        <v>0</v>
      </c>
    </row>
    <row r="48" spans="1:13" s="4" customFormat="1" ht="16.5" customHeight="1" x14ac:dyDescent="0.25">
      <c r="A48" s="6" t="s">
        <v>96</v>
      </c>
      <c r="B48" s="7" t="s">
        <v>97</v>
      </c>
      <c r="C48" s="8">
        <v>324.786</v>
      </c>
      <c r="D48" s="9">
        <f t="shared" si="0"/>
        <v>0</v>
      </c>
      <c r="E48" s="10">
        <f t="shared" si="1"/>
        <v>0</v>
      </c>
      <c r="F48" s="11"/>
      <c r="G48" s="1"/>
      <c r="H48" s="5"/>
      <c r="I48" s="8"/>
      <c r="J48" s="9"/>
      <c r="K48" s="10"/>
      <c r="M48" s="4">
        <f t="shared" si="4"/>
        <v>0</v>
      </c>
    </row>
    <row r="49" spans="1:13" s="4" customFormat="1" ht="16.5" customHeight="1" x14ac:dyDescent="0.25">
      <c r="A49" s="6">
        <v>1793616</v>
      </c>
      <c r="B49" s="7" t="s">
        <v>98</v>
      </c>
      <c r="C49" s="8">
        <v>336.71</v>
      </c>
      <c r="D49" s="9">
        <f t="shared" si="0"/>
        <v>0</v>
      </c>
      <c r="E49" s="10">
        <f t="shared" si="1"/>
        <v>0</v>
      </c>
      <c r="F49" s="11"/>
      <c r="G49" s="1"/>
      <c r="H49" s="5"/>
      <c r="I49" s="8"/>
      <c r="J49" s="9"/>
      <c r="K49" s="10"/>
    </row>
    <row r="50" spans="1:13" s="4" customFormat="1" ht="16.5" customHeight="1" x14ac:dyDescent="0.25">
      <c r="A50" s="6" t="s">
        <v>99</v>
      </c>
      <c r="B50" s="7" t="s">
        <v>100</v>
      </c>
      <c r="C50" s="8">
        <v>324.786</v>
      </c>
      <c r="D50" s="9">
        <f t="shared" si="0"/>
        <v>0</v>
      </c>
      <c r="E50" s="10">
        <f t="shared" si="1"/>
        <v>0</v>
      </c>
      <c r="F50" s="11"/>
      <c r="G50" s="1"/>
      <c r="H50" s="5"/>
      <c r="I50" s="8"/>
      <c r="J50" s="9"/>
      <c r="K50" s="10"/>
      <c r="M50" s="4">
        <f t="shared" si="4"/>
        <v>0</v>
      </c>
    </row>
    <row r="51" spans="1:13" s="4" customFormat="1" ht="16.5" customHeight="1" x14ac:dyDescent="0.25">
      <c r="A51" s="6" t="s">
        <v>101</v>
      </c>
      <c r="B51" s="7" t="s">
        <v>102</v>
      </c>
      <c r="C51" s="8">
        <v>365.38400000000001</v>
      </c>
      <c r="D51" s="9">
        <f t="shared" si="0"/>
        <v>0</v>
      </c>
      <c r="E51" s="10">
        <f t="shared" si="1"/>
        <v>0</v>
      </c>
      <c r="F51" s="11"/>
      <c r="G51" s="1"/>
      <c r="H51" s="5"/>
      <c r="I51" s="8"/>
      <c r="J51" s="9"/>
      <c r="K51" s="10"/>
      <c r="M51" s="4">
        <f t="shared" si="4"/>
        <v>0</v>
      </c>
    </row>
    <row r="52" spans="1:13" s="4" customFormat="1" ht="16.5" customHeight="1" x14ac:dyDescent="0.25">
      <c r="A52" s="14" t="s">
        <v>103</v>
      </c>
      <c r="B52" s="7" t="s">
        <v>104</v>
      </c>
      <c r="C52" s="8">
        <f>1825/1.13</f>
        <v>1615.0442477876109</v>
      </c>
      <c r="D52" s="9">
        <f t="shared" si="0"/>
        <v>0</v>
      </c>
      <c r="E52" s="10">
        <f t="shared" si="1"/>
        <v>0</v>
      </c>
      <c r="F52" s="11"/>
      <c r="G52" s="1"/>
      <c r="H52" s="5"/>
      <c r="I52" s="8"/>
      <c r="J52" s="9"/>
      <c r="K52" s="10"/>
    </row>
    <row r="53" spans="1:13" s="4" customFormat="1" ht="16.5" customHeight="1" x14ac:dyDescent="0.25">
      <c r="A53" s="6" t="s">
        <v>105</v>
      </c>
      <c r="B53" s="7" t="s">
        <v>106</v>
      </c>
      <c r="C53" s="8">
        <v>1346.807</v>
      </c>
      <c r="D53" s="9">
        <f t="shared" si="0"/>
        <v>0</v>
      </c>
      <c r="E53" s="10">
        <f t="shared" si="1"/>
        <v>0</v>
      </c>
      <c r="F53" s="11"/>
      <c r="G53" s="23"/>
      <c r="H53" s="5"/>
      <c r="I53" s="8"/>
      <c r="J53" s="9"/>
      <c r="K53" s="10"/>
      <c r="M53" s="4">
        <f t="shared" si="4"/>
        <v>0</v>
      </c>
    </row>
    <row r="54" spans="1:13" s="4" customFormat="1" ht="16.5" customHeight="1" x14ac:dyDescent="0.25">
      <c r="A54" s="6" t="s">
        <v>107</v>
      </c>
      <c r="B54" s="7" t="s">
        <v>108</v>
      </c>
      <c r="C54" s="8">
        <v>1614.5889999999999</v>
      </c>
      <c r="D54" s="9">
        <f t="shared" si="0"/>
        <v>0</v>
      </c>
      <c r="E54" s="10">
        <f t="shared" si="1"/>
        <v>0</v>
      </c>
      <c r="F54" s="11"/>
      <c r="G54" s="23"/>
      <c r="H54" s="5"/>
      <c r="I54" s="8"/>
      <c r="J54" s="9"/>
      <c r="K54" s="10"/>
      <c r="M54" s="4">
        <f t="shared" si="4"/>
        <v>0</v>
      </c>
    </row>
    <row r="55" spans="1:13" s="4" customFormat="1" ht="16.5" customHeight="1" x14ac:dyDescent="0.25">
      <c r="A55" s="6" t="s">
        <v>109</v>
      </c>
      <c r="B55" s="7" t="s">
        <v>110</v>
      </c>
      <c r="C55" s="8">
        <v>3591.4870000000001</v>
      </c>
      <c r="D55" s="9">
        <f t="shared" si="0"/>
        <v>0</v>
      </c>
      <c r="E55" s="10">
        <f t="shared" si="1"/>
        <v>0</v>
      </c>
      <c r="F55" s="11"/>
      <c r="G55" s="23"/>
      <c r="H55" s="5"/>
      <c r="I55" s="8"/>
      <c r="J55" s="9"/>
      <c r="K55" s="10"/>
      <c r="M55" s="4">
        <f t="shared" si="4"/>
        <v>0</v>
      </c>
    </row>
    <row r="56" spans="1:13" s="4" customFormat="1" ht="16.5" customHeight="1" x14ac:dyDescent="0.25">
      <c r="A56" s="6"/>
      <c r="B56" s="7"/>
      <c r="C56" s="8"/>
      <c r="D56" s="9"/>
      <c r="E56" s="10"/>
      <c r="F56" s="11"/>
      <c r="G56" s="23"/>
      <c r="H56" s="5"/>
      <c r="I56" s="8"/>
      <c r="J56" s="9"/>
      <c r="K56" s="10"/>
      <c r="M56" s="4">
        <f t="shared" si="4"/>
        <v>0</v>
      </c>
    </row>
    <row r="57" spans="1:13" s="4" customFormat="1" ht="16.5" customHeight="1" x14ac:dyDescent="0.25">
      <c r="A57" s="6" t="s">
        <v>111</v>
      </c>
      <c r="B57" s="7" t="s">
        <v>112</v>
      </c>
      <c r="C57" s="8">
        <v>349.14499999999998</v>
      </c>
      <c r="D57" s="9">
        <f t="shared" si="0"/>
        <v>0</v>
      </c>
      <c r="E57" s="10">
        <f t="shared" si="1"/>
        <v>0</v>
      </c>
      <c r="F57" s="11"/>
      <c r="G57" s="23"/>
      <c r="H57" s="5"/>
      <c r="I57" s="8"/>
      <c r="J57" s="9"/>
      <c r="K57" s="10"/>
      <c r="M57" s="4">
        <f t="shared" si="4"/>
        <v>0</v>
      </c>
    </row>
    <row r="58" spans="1:13" s="4" customFormat="1" ht="16.5" customHeight="1" x14ac:dyDescent="0.25">
      <c r="A58" s="6" t="s">
        <v>113</v>
      </c>
      <c r="B58" s="18" t="s">
        <v>114</v>
      </c>
      <c r="C58" s="8">
        <v>354.42200000000003</v>
      </c>
      <c r="D58" s="9">
        <f t="shared" si="0"/>
        <v>0</v>
      </c>
      <c r="E58" s="10">
        <f t="shared" si="1"/>
        <v>0</v>
      </c>
      <c r="F58" s="11"/>
      <c r="G58" s="1"/>
      <c r="H58" s="5"/>
      <c r="I58" s="8"/>
      <c r="J58" s="9"/>
      <c r="K58" s="10"/>
      <c r="M58" s="4">
        <f t="shared" si="4"/>
        <v>0</v>
      </c>
    </row>
    <row r="59" spans="1:13" s="4" customFormat="1" ht="16.5" customHeight="1" x14ac:dyDescent="0.25">
      <c r="A59" s="6">
        <v>1792183</v>
      </c>
      <c r="B59" s="18" t="s">
        <v>115</v>
      </c>
      <c r="C59" s="8">
        <v>2856.779</v>
      </c>
      <c r="D59" s="9">
        <f t="shared" si="0"/>
        <v>0</v>
      </c>
      <c r="E59" s="10">
        <f t="shared" si="1"/>
        <v>0</v>
      </c>
      <c r="F59" s="11"/>
      <c r="G59" s="1"/>
      <c r="H59" s="5"/>
      <c r="I59" s="8"/>
      <c r="J59" s="9"/>
      <c r="K59" s="10"/>
    </row>
    <row r="60" spans="1:13" s="4" customFormat="1" ht="16.5" customHeight="1" x14ac:dyDescent="0.25">
      <c r="A60" s="14" t="s">
        <v>116</v>
      </c>
      <c r="B60" s="30" t="s">
        <v>117</v>
      </c>
      <c r="C60" s="31">
        <f>889.07/1.13</f>
        <v>786.78761061946909</v>
      </c>
      <c r="D60" s="9">
        <f t="shared" si="0"/>
        <v>0</v>
      </c>
      <c r="E60" s="10">
        <f t="shared" si="1"/>
        <v>0</v>
      </c>
      <c r="F60" s="11"/>
      <c r="G60" s="14" t="s">
        <v>116</v>
      </c>
      <c r="H60" s="30" t="s">
        <v>118</v>
      </c>
      <c r="I60" s="8">
        <f>1028.15/1.13</f>
        <v>909.86725663716834</v>
      </c>
      <c r="J60" s="9"/>
      <c r="K60" s="10"/>
    </row>
    <row r="61" spans="1:13" s="4" customFormat="1" ht="16.5" customHeight="1" x14ac:dyDescent="0.25">
      <c r="A61" s="14" t="s">
        <v>116</v>
      </c>
      <c r="B61" s="30" t="s">
        <v>119</v>
      </c>
      <c r="C61" s="31">
        <f>1037.26/1.13</f>
        <v>917.92920353982311</v>
      </c>
      <c r="D61" s="9">
        <f t="shared" si="0"/>
        <v>0</v>
      </c>
      <c r="E61" s="10">
        <f t="shared" si="1"/>
        <v>0</v>
      </c>
      <c r="F61" s="11"/>
      <c r="G61" s="14" t="s">
        <v>116</v>
      </c>
      <c r="H61" s="30" t="s">
        <v>120</v>
      </c>
      <c r="I61" s="8">
        <f>1167.06/1.13</f>
        <v>1032.7964601769911</v>
      </c>
      <c r="J61" s="9"/>
      <c r="K61" s="10"/>
    </row>
    <row r="62" spans="1:13" s="4" customFormat="1" ht="16.5" customHeight="1" x14ac:dyDescent="0.25">
      <c r="A62" s="14" t="s">
        <v>116</v>
      </c>
      <c r="B62" s="30" t="s">
        <v>121</v>
      </c>
      <c r="C62" s="31">
        <f>1778.15/1.13</f>
        <v>1573.5840707964603</v>
      </c>
      <c r="D62" s="9">
        <f t="shared" si="0"/>
        <v>0</v>
      </c>
      <c r="E62" s="10">
        <f t="shared" si="1"/>
        <v>0</v>
      </c>
      <c r="F62" s="11"/>
      <c r="G62" s="14" t="s">
        <v>116</v>
      </c>
      <c r="H62" s="30" t="s">
        <v>122</v>
      </c>
      <c r="I62" s="8">
        <f>2042.83/1.13</f>
        <v>1807.8141592920356</v>
      </c>
      <c r="J62" s="9"/>
      <c r="K62" s="10"/>
    </row>
    <row r="63" spans="1:13" s="4" customFormat="1" ht="16.5" customHeight="1" x14ac:dyDescent="0.25">
      <c r="A63" s="14" t="s">
        <v>123</v>
      </c>
      <c r="B63" s="30" t="s">
        <v>124</v>
      </c>
      <c r="C63" s="31">
        <f>2580/1.13</f>
        <v>2283.1858407079649</v>
      </c>
      <c r="D63" s="9">
        <f t="shared" si="0"/>
        <v>0</v>
      </c>
      <c r="E63" s="10">
        <f t="shared" si="1"/>
        <v>0</v>
      </c>
      <c r="F63" s="11"/>
      <c r="G63" s="14" t="s">
        <v>116</v>
      </c>
      <c r="H63" s="30" t="s">
        <v>125</v>
      </c>
      <c r="I63" s="8">
        <f>5617.82/1.13</f>
        <v>4971.5221238938057</v>
      </c>
      <c r="J63" s="9"/>
      <c r="K63" s="10"/>
    </row>
    <row r="64" spans="1:13" s="4" customFormat="1" ht="16.5" customHeight="1" x14ac:dyDescent="0.25">
      <c r="A64" s="14" t="s">
        <v>116</v>
      </c>
      <c r="B64" s="30" t="s">
        <v>126</v>
      </c>
      <c r="C64" s="31">
        <f>3550/1.13</f>
        <v>3141.5929203539827</v>
      </c>
      <c r="D64" s="9">
        <f t="shared" si="0"/>
        <v>0</v>
      </c>
      <c r="E64" s="10">
        <f t="shared" si="1"/>
        <v>0</v>
      </c>
      <c r="F64" s="11"/>
      <c r="G64" s="1"/>
      <c r="H64" s="30"/>
      <c r="I64" s="8"/>
      <c r="J64" s="9"/>
      <c r="K64" s="10"/>
    </row>
    <row r="65" spans="1:19" s="4" customFormat="1" ht="16.5" customHeight="1" x14ac:dyDescent="0.25">
      <c r="A65" s="14" t="s">
        <v>127</v>
      </c>
      <c r="B65" s="30" t="s">
        <v>128</v>
      </c>
      <c r="C65" s="31">
        <f>8215/1.13</f>
        <v>7269.9115044247792</v>
      </c>
      <c r="D65" s="9">
        <f t="shared" si="0"/>
        <v>0</v>
      </c>
      <c r="E65" s="10">
        <f t="shared" si="1"/>
        <v>0</v>
      </c>
      <c r="F65" s="11"/>
      <c r="G65" s="1"/>
      <c r="H65" s="30"/>
      <c r="I65" s="8"/>
      <c r="J65" s="9"/>
      <c r="K65" s="10"/>
    </row>
    <row r="66" spans="1:19" s="4" customFormat="1" ht="16.5" customHeight="1" x14ac:dyDescent="0.25">
      <c r="A66" s="14" t="s">
        <v>116</v>
      </c>
      <c r="B66" s="30" t="s">
        <v>129</v>
      </c>
      <c r="C66" s="31">
        <f>3049.5/1.13</f>
        <v>2698.6725663716816</v>
      </c>
      <c r="D66" s="9">
        <f t="shared" si="0"/>
        <v>0</v>
      </c>
      <c r="E66" s="10">
        <f t="shared" si="1"/>
        <v>0</v>
      </c>
      <c r="F66" s="11"/>
      <c r="G66" s="14" t="s">
        <v>116</v>
      </c>
      <c r="H66" s="30" t="s">
        <v>130</v>
      </c>
      <c r="I66" s="8">
        <f>3076.74/1.13</f>
        <v>2722.7787610619471</v>
      </c>
      <c r="J66" s="9"/>
      <c r="K66" s="10"/>
    </row>
    <row r="67" spans="1:19" s="4" customFormat="1" ht="16.5" customHeight="1" x14ac:dyDescent="0.25">
      <c r="A67" s="14" t="s">
        <v>116</v>
      </c>
      <c r="B67" s="30" t="s">
        <v>131</v>
      </c>
      <c r="C67" s="31">
        <f>3556.66/1.13</f>
        <v>3147.4867256637172</v>
      </c>
      <c r="D67" s="9">
        <f t="shared" si="0"/>
        <v>0</v>
      </c>
      <c r="E67" s="10">
        <f t="shared" si="1"/>
        <v>0</v>
      </c>
      <c r="F67" s="11"/>
      <c r="G67" s="14" t="s">
        <v>116</v>
      </c>
      <c r="H67" s="30" t="s">
        <v>132</v>
      </c>
      <c r="I67" s="8">
        <f>4073.32/1.13</f>
        <v>3604.7079646017705</v>
      </c>
      <c r="J67" s="9"/>
      <c r="K67" s="10"/>
    </row>
    <row r="68" spans="1:19" s="4" customFormat="1" ht="16.5" customHeight="1" x14ac:dyDescent="0.25">
      <c r="A68" s="14" t="s">
        <v>123</v>
      </c>
      <c r="B68" s="30" t="s">
        <v>133</v>
      </c>
      <c r="C68" s="31">
        <f>5250/1.13</f>
        <v>4646.0176991150447</v>
      </c>
      <c r="D68" s="9">
        <f t="shared" si="0"/>
        <v>0</v>
      </c>
      <c r="E68" s="10">
        <f t="shared" si="1"/>
        <v>0</v>
      </c>
      <c r="F68" s="11"/>
      <c r="G68" s="1"/>
      <c r="H68" s="5"/>
      <c r="I68" s="8"/>
      <c r="J68" s="9"/>
      <c r="K68" s="10"/>
    </row>
    <row r="69" spans="1:19" s="4" customFormat="1" ht="16.5" customHeight="1" x14ac:dyDescent="0.25">
      <c r="A69" s="14" t="s">
        <v>127</v>
      </c>
      <c r="B69" s="30" t="s">
        <v>134</v>
      </c>
      <c r="C69" s="31">
        <f>16180/1.13</f>
        <v>14318.584070796462</v>
      </c>
      <c r="D69" s="9">
        <f t="shared" si="0"/>
        <v>0</v>
      </c>
      <c r="E69" s="10">
        <f t="shared" si="1"/>
        <v>0</v>
      </c>
      <c r="F69" s="11"/>
      <c r="G69" s="1"/>
      <c r="H69" s="5"/>
      <c r="I69" s="8"/>
      <c r="J69" s="9"/>
      <c r="K69" s="10"/>
    </row>
    <row r="70" spans="1:19" s="4" customFormat="1" ht="16.5" customHeight="1" x14ac:dyDescent="0.25">
      <c r="A70" s="14" t="s">
        <v>123</v>
      </c>
      <c r="B70" s="30" t="s">
        <v>135</v>
      </c>
      <c r="C70" s="31">
        <f>28310/1.13</f>
        <v>25053.097345132745</v>
      </c>
      <c r="D70" s="9">
        <f>M70*2</f>
        <v>0</v>
      </c>
      <c r="E70" s="10">
        <f t="shared" si="1"/>
        <v>0</v>
      </c>
      <c r="F70" s="11"/>
      <c r="G70" s="1"/>
      <c r="H70" s="5"/>
      <c r="I70" s="8"/>
      <c r="J70" s="9"/>
      <c r="K70" s="10"/>
    </row>
    <row r="71" spans="1:19" s="4" customFormat="1" ht="16.5" customHeight="1" x14ac:dyDescent="0.25">
      <c r="A71" s="14" t="s">
        <v>123</v>
      </c>
      <c r="B71" s="30" t="s">
        <v>136</v>
      </c>
      <c r="C71" s="31">
        <f>23500/1.13</f>
        <v>20796.460176991153</v>
      </c>
      <c r="D71" s="9">
        <f>M71*4</f>
        <v>0</v>
      </c>
      <c r="E71" s="10">
        <f t="shared" si="1"/>
        <v>0</v>
      </c>
      <c r="F71" s="11"/>
      <c r="G71" s="1"/>
      <c r="H71" s="5"/>
      <c r="I71" s="8"/>
      <c r="J71" s="9"/>
      <c r="K71" s="10"/>
    </row>
    <row r="72" spans="1:19" s="4" customFormat="1" ht="16.5" customHeight="1" x14ac:dyDescent="0.25">
      <c r="A72" s="14" t="s">
        <v>137</v>
      </c>
      <c r="B72" s="18" t="s">
        <v>138</v>
      </c>
      <c r="C72" s="8">
        <f>22638/1.13</f>
        <v>20033.628318584073</v>
      </c>
      <c r="D72" s="9">
        <f t="shared" si="0"/>
        <v>0</v>
      </c>
      <c r="E72" s="10">
        <f t="shared" si="1"/>
        <v>0</v>
      </c>
      <c r="F72" s="11"/>
      <c r="G72" s="1"/>
      <c r="H72" s="5"/>
      <c r="I72" s="8"/>
      <c r="J72" s="9"/>
      <c r="K72" s="10"/>
    </row>
    <row r="73" spans="1:19" s="4" customFormat="1" ht="4.5" customHeight="1" x14ac:dyDescent="0.25">
      <c r="A73" s="27"/>
      <c r="B73" s="27"/>
      <c r="C73" s="27"/>
      <c r="D73" s="27"/>
      <c r="E73" s="28"/>
      <c r="F73" s="2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</row>
    <row r="74" spans="1:19" s="4" customFormat="1" ht="16.5" hidden="1" customHeight="1" x14ac:dyDescent="0.25">
      <c r="A74" s="32" t="s">
        <v>139</v>
      </c>
      <c r="B74" s="33" t="s">
        <v>140</v>
      </c>
      <c r="C74" s="34">
        <v>925.64</v>
      </c>
      <c r="D74" s="35"/>
      <c r="E74" s="1"/>
      <c r="F74" s="3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s="4" customFormat="1" ht="16.5" hidden="1" customHeight="1" x14ac:dyDescent="0.25">
      <c r="A75" s="32" t="s">
        <v>141</v>
      </c>
      <c r="B75" s="33" t="s">
        <v>142</v>
      </c>
      <c r="C75" s="34">
        <v>1079.913</v>
      </c>
      <c r="D75" s="35"/>
      <c r="E75" s="1"/>
      <c r="F75" s="3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s="4" customFormat="1" ht="16.5" hidden="1" customHeight="1" x14ac:dyDescent="0.25">
      <c r="A76" s="32" t="s">
        <v>143</v>
      </c>
      <c r="B76" s="33" t="s">
        <v>144</v>
      </c>
      <c r="C76" s="34">
        <v>1465.598</v>
      </c>
      <c r="D76" s="35"/>
      <c r="E76" s="1"/>
      <c r="F76" s="3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s="4" customFormat="1" ht="16.5" hidden="1" customHeight="1" x14ac:dyDescent="0.25">
      <c r="A77" s="32" t="s">
        <v>145</v>
      </c>
      <c r="B77" s="33" t="s">
        <v>146</v>
      </c>
      <c r="C77" s="34">
        <v>1851.2819999999999</v>
      </c>
      <c r="D77" s="35"/>
      <c r="E77" s="1"/>
      <c r="F77" s="3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s="4" customFormat="1" ht="16.5" hidden="1" customHeight="1" x14ac:dyDescent="0.25">
      <c r="A78" s="32" t="s">
        <v>147</v>
      </c>
      <c r="B78" s="33" t="s">
        <v>148</v>
      </c>
      <c r="C78" s="34">
        <v>1619.8720000000001</v>
      </c>
      <c r="D78" s="35"/>
      <c r="E78" s="1"/>
      <c r="F78" s="3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s="4" customFormat="1" ht="16.5" hidden="1" customHeight="1" x14ac:dyDescent="0.25">
      <c r="A79" s="32" t="s">
        <v>149</v>
      </c>
      <c r="B79" s="33" t="s">
        <v>150</v>
      </c>
      <c r="C79" s="34">
        <v>3239.7429999999999</v>
      </c>
      <c r="D79" s="35"/>
      <c r="E79" s="1"/>
      <c r="F79" s="3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s="4" customFormat="1" ht="16.5" hidden="1" customHeight="1" x14ac:dyDescent="0.25">
      <c r="A80" s="32" t="s">
        <v>151</v>
      </c>
      <c r="B80" s="33" t="s">
        <v>152</v>
      </c>
      <c r="C80" s="34">
        <v>2468.3760000000002</v>
      </c>
      <c r="D80" s="35"/>
      <c r="E80" s="1"/>
      <c r="F80" s="3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s="4" customFormat="1" ht="16.5" hidden="1" customHeight="1" x14ac:dyDescent="0.25">
      <c r="A81" s="32" t="s">
        <v>153</v>
      </c>
      <c r="B81" s="33" t="s">
        <v>154</v>
      </c>
      <c r="C81" s="34">
        <v>2776.9229999999998</v>
      </c>
      <c r="D81" s="35"/>
      <c r="E81" s="1"/>
      <c r="F81" s="3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s="4" customFormat="1" ht="16.5" hidden="1" customHeight="1" x14ac:dyDescent="0.25">
      <c r="A82" s="32" t="s">
        <v>155</v>
      </c>
      <c r="B82" s="33" t="s">
        <v>156</v>
      </c>
      <c r="C82" s="34">
        <v>2931.1970000000001</v>
      </c>
      <c r="D82" s="35"/>
      <c r="E82" s="1"/>
      <c r="F82" s="3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s="4" customFormat="1" ht="16.5" hidden="1" customHeight="1" x14ac:dyDescent="0.25">
      <c r="A83" s="32" t="s">
        <v>157</v>
      </c>
      <c r="B83" s="33" t="s">
        <v>158</v>
      </c>
      <c r="C83" s="34">
        <v>2931.1970000000001</v>
      </c>
      <c r="D83" s="35"/>
      <c r="E83" s="1"/>
      <c r="F83" s="3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s="4" customFormat="1" ht="16.5" hidden="1" customHeight="1" x14ac:dyDescent="0.25">
      <c r="A84" s="32" t="s">
        <v>159</v>
      </c>
      <c r="B84" s="33" t="s">
        <v>160</v>
      </c>
      <c r="C84" s="34">
        <v>3702.5639999999999</v>
      </c>
      <c r="D84" s="35"/>
      <c r="E84" s="1"/>
      <c r="F84" s="3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s="4" customFormat="1" ht="16.5" hidden="1" customHeight="1" x14ac:dyDescent="0.25">
      <c r="A85" s="32" t="s">
        <v>161</v>
      </c>
      <c r="B85" s="33" t="s">
        <v>162</v>
      </c>
      <c r="C85" s="34">
        <v>6479.4870000000001</v>
      </c>
      <c r="D85" s="35"/>
      <c r="E85" s="1"/>
      <c r="F85" s="3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s="4" customFormat="1" ht="5.5" customHeight="1" x14ac:dyDescent="0.25">
      <c r="A86" s="27"/>
      <c r="B86" s="27"/>
      <c r="C86" s="27"/>
      <c r="D86" s="27"/>
      <c r="E86" s="28"/>
      <c r="F86" s="27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</row>
    <row r="87" spans="1:19" s="4" customFormat="1" ht="16.5" customHeight="1" x14ac:dyDescent="0.25">
      <c r="A87" s="6"/>
      <c r="B87" s="29" t="s">
        <v>163</v>
      </c>
      <c r="C87" s="8"/>
      <c r="D87" s="9"/>
      <c r="E87" s="10"/>
      <c r="F87" s="11"/>
      <c r="G87" s="12"/>
      <c r="H87" s="13"/>
      <c r="I87" s="8"/>
      <c r="J87" s="9"/>
      <c r="K87" s="10"/>
    </row>
    <row r="88" spans="1:19" s="4" customFormat="1" ht="16.5" customHeight="1" x14ac:dyDescent="0.25">
      <c r="A88" s="6"/>
      <c r="B88" s="7" t="s">
        <v>164</v>
      </c>
      <c r="C88" s="8">
        <f>2480/1.13</f>
        <v>2194.6902654867258</v>
      </c>
      <c r="D88" s="9">
        <f t="shared" ref="D88:D149" si="9">M88</f>
        <v>0</v>
      </c>
      <c r="E88" s="10">
        <f t="shared" ref="E88" si="10">C88*D88</f>
        <v>0</v>
      </c>
      <c r="F88" s="11"/>
      <c r="G88" s="12"/>
      <c r="H88" s="13"/>
      <c r="I88" s="8"/>
      <c r="J88" s="9"/>
      <c r="K88" s="10"/>
    </row>
    <row r="89" spans="1:19" s="4" customFormat="1" ht="16.5" customHeight="1" x14ac:dyDescent="0.25">
      <c r="A89" s="6" t="s">
        <v>165</v>
      </c>
      <c r="B89" s="7" t="s">
        <v>166</v>
      </c>
      <c r="C89" s="8">
        <v>897.86800000000005</v>
      </c>
      <c r="D89" s="9">
        <f t="shared" si="9"/>
        <v>0</v>
      </c>
      <c r="E89" s="10">
        <f t="shared" si="1"/>
        <v>0</v>
      </c>
      <c r="F89" s="11"/>
      <c r="G89" s="12">
        <v>1762290</v>
      </c>
      <c r="H89" s="13" t="s">
        <v>167</v>
      </c>
      <c r="I89" s="8">
        <v>909.87</v>
      </c>
      <c r="J89" s="9">
        <f t="shared" si="2"/>
        <v>0</v>
      </c>
      <c r="K89" s="10">
        <f t="shared" si="3"/>
        <v>0</v>
      </c>
      <c r="M89" s="4">
        <f t="shared" si="4"/>
        <v>0</v>
      </c>
    </row>
    <row r="90" spans="1:19" s="4" customFormat="1" ht="16.5" customHeight="1" x14ac:dyDescent="0.25">
      <c r="A90" s="14" t="s">
        <v>168</v>
      </c>
      <c r="B90" s="7" t="s">
        <v>169</v>
      </c>
      <c r="C90" s="8">
        <f>3280/1.13</f>
        <v>2902.6548672566373</v>
      </c>
      <c r="D90" s="9">
        <f t="shared" si="9"/>
        <v>0</v>
      </c>
      <c r="E90" s="10">
        <f t="shared" si="1"/>
        <v>0</v>
      </c>
      <c r="F90" s="11"/>
      <c r="G90" s="12"/>
      <c r="H90" s="13"/>
      <c r="I90" s="8"/>
      <c r="J90" s="9"/>
      <c r="K90" s="10"/>
    </row>
    <row r="91" spans="1:19" s="4" customFormat="1" ht="16.5" customHeight="1" x14ac:dyDescent="0.25">
      <c r="A91" s="6" t="s">
        <v>170</v>
      </c>
      <c r="B91" s="18" t="s">
        <v>171</v>
      </c>
      <c r="C91" s="8">
        <v>1047.519</v>
      </c>
      <c r="D91" s="9">
        <f t="shared" si="9"/>
        <v>0</v>
      </c>
      <c r="E91" s="10">
        <f t="shared" si="1"/>
        <v>0</v>
      </c>
      <c r="F91" s="11"/>
      <c r="G91" s="12">
        <v>1762291</v>
      </c>
      <c r="H91" s="13" t="s">
        <v>172</v>
      </c>
      <c r="I91" s="8">
        <v>1032.8</v>
      </c>
      <c r="J91" s="9">
        <f t="shared" si="2"/>
        <v>0</v>
      </c>
      <c r="K91" s="10">
        <f t="shared" si="3"/>
        <v>0</v>
      </c>
      <c r="M91" s="4">
        <f t="shared" si="4"/>
        <v>0</v>
      </c>
    </row>
    <row r="92" spans="1:19" s="4" customFormat="1" ht="16.5" customHeight="1" x14ac:dyDescent="0.25">
      <c r="A92" s="14" t="s">
        <v>173</v>
      </c>
      <c r="B92" s="17" t="s">
        <v>174</v>
      </c>
      <c r="C92" s="8">
        <f>3800/1.13</f>
        <v>3362.8318584070798</v>
      </c>
      <c r="D92" s="9">
        <f t="shared" si="9"/>
        <v>0</v>
      </c>
      <c r="E92" s="10">
        <f t="shared" si="1"/>
        <v>0</v>
      </c>
      <c r="F92" s="11"/>
      <c r="G92" s="12"/>
      <c r="H92" s="13"/>
      <c r="I92" s="8"/>
      <c r="J92" s="9"/>
      <c r="K92" s="10"/>
    </row>
    <row r="93" spans="1:19" s="4" customFormat="1" ht="16.5" customHeight="1" x14ac:dyDescent="0.25">
      <c r="A93" s="14" t="s">
        <v>32</v>
      </c>
      <c r="B93" s="17" t="s">
        <v>175</v>
      </c>
      <c r="C93" s="8">
        <f>5850/1.13</f>
        <v>5176.9911504424781</v>
      </c>
      <c r="D93" s="9">
        <f t="shared" si="9"/>
        <v>0</v>
      </c>
      <c r="E93" s="10">
        <f t="shared" si="1"/>
        <v>0</v>
      </c>
      <c r="F93" s="11"/>
      <c r="G93" s="12"/>
      <c r="H93" s="13"/>
      <c r="I93" s="8"/>
      <c r="J93" s="9"/>
      <c r="K93" s="10"/>
      <c r="M93" s="4">
        <f t="shared" si="4"/>
        <v>0</v>
      </c>
    </row>
    <row r="94" spans="1:19" s="4" customFormat="1" ht="16.5" customHeight="1" x14ac:dyDescent="0.25">
      <c r="A94" s="14" t="s">
        <v>176</v>
      </c>
      <c r="B94" s="17" t="s">
        <v>177</v>
      </c>
      <c r="C94" s="8">
        <f>6500/1.13</f>
        <v>5752.2123893805319</v>
      </c>
      <c r="D94" s="9">
        <f t="shared" si="9"/>
        <v>0</v>
      </c>
      <c r="E94" s="10">
        <f t="shared" si="1"/>
        <v>0</v>
      </c>
      <c r="F94" s="11"/>
      <c r="G94" s="12"/>
      <c r="H94" s="13"/>
      <c r="I94" s="8"/>
      <c r="J94" s="9"/>
      <c r="K94" s="10"/>
    </row>
    <row r="95" spans="1:19" s="4" customFormat="1" ht="16.5" customHeight="1" x14ac:dyDescent="0.25">
      <c r="A95" s="14"/>
      <c r="B95" s="17"/>
      <c r="C95" s="8"/>
      <c r="D95" s="9"/>
      <c r="E95" s="10"/>
      <c r="F95" s="11"/>
      <c r="G95" s="12">
        <v>1762292</v>
      </c>
      <c r="H95" s="13" t="s">
        <v>178</v>
      </c>
      <c r="I95" s="8">
        <v>1667.21</v>
      </c>
      <c r="J95" s="9">
        <f>M93</f>
        <v>0</v>
      </c>
      <c r="K95" s="10">
        <f>I95*J95</f>
        <v>0</v>
      </c>
    </row>
    <row r="96" spans="1:19" s="4" customFormat="1" ht="16.5" customHeight="1" x14ac:dyDescent="0.25">
      <c r="A96" s="14"/>
      <c r="B96" s="17"/>
      <c r="C96" s="8"/>
      <c r="D96" s="9"/>
      <c r="E96" s="10"/>
      <c r="F96" s="11"/>
      <c r="G96" s="14" t="s">
        <v>179</v>
      </c>
      <c r="H96" s="13" t="s">
        <v>180</v>
      </c>
      <c r="I96" s="8">
        <f>3968.75/1.13</f>
        <v>3512.1681415929206</v>
      </c>
      <c r="J96" s="9"/>
      <c r="K96" s="10"/>
    </row>
    <row r="97" spans="1:13" s="4" customFormat="1" ht="16.5" customHeight="1" x14ac:dyDescent="0.25">
      <c r="A97" s="6" t="s">
        <v>181</v>
      </c>
      <c r="B97" s="7" t="s">
        <v>182</v>
      </c>
      <c r="C97" s="8">
        <v>1795.7449999999999</v>
      </c>
      <c r="D97" s="9">
        <f t="shared" si="9"/>
        <v>0</v>
      </c>
      <c r="E97" s="10">
        <f t="shared" si="1"/>
        <v>0</v>
      </c>
      <c r="F97" s="11"/>
      <c r="G97" s="12">
        <v>1762293</v>
      </c>
      <c r="H97" s="13" t="s">
        <v>183</v>
      </c>
      <c r="I97" s="8">
        <v>1807.81</v>
      </c>
      <c r="J97" s="9">
        <f t="shared" si="2"/>
        <v>0</v>
      </c>
      <c r="K97" s="10">
        <f t="shared" si="3"/>
        <v>0</v>
      </c>
      <c r="M97" s="4">
        <f t="shared" si="4"/>
        <v>0</v>
      </c>
    </row>
    <row r="98" spans="1:13" s="4" customFormat="1" ht="16.5" customHeight="1" x14ac:dyDescent="0.25">
      <c r="A98" s="14" t="s">
        <v>184</v>
      </c>
      <c r="B98" s="7" t="s">
        <v>185</v>
      </c>
      <c r="C98" s="8">
        <f>2280/1.13</f>
        <v>2017.6991150442479</v>
      </c>
      <c r="D98" s="9">
        <f t="shared" si="9"/>
        <v>0</v>
      </c>
      <c r="E98" s="10">
        <f t="shared" si="1"/>
        <v>0</v>
      </c>
      <c r="F98" s="11"/>
      <c r="G98" s="12"/>
      <c r="H98" s="13"/>
      <c r="I98" s="8"/>
      <c r="J98" s="9"/>
      <c r="K98" s="10"/>
    </row>
    <row r="99" spans="1:13" s="4" customFormat="1" ht="16.5" customHeight="1" x14ac:dyDescent="0.25">
      <c r="A99" s="6" t="s">
        <v>186</v>
      </c>
      <c r="B99" s="7" t="s">
        <v>187</v>
      </c>
      <c r="C99" s="8">
        <v>3486.2060000000001</v>
      </c>
      <c r="D99" s="9">
        <f t="shared" si="9"/>
        <v>0</v>
      </c>
      <c r="E99" s="10">
        <f t="shared" si="1"/>
        <v>0</v>
      </c>
      <c r="F99" s="11"/>
      <c r="G99" s="12">
        <v>1762306</v>
      </c>
      <c r="H99" s="13" t="s">
        <v>188</v>
      </c>
      <c r="I99" s="8">
        <v>3406.8</v>
      </c>
      <c r="J99" s="9">
        <f t="shared" si="2"/>
        <v>0</v>
      </c>
      <c r="K99" s="10">
        <f t="shared" si="3"/>
        <v>0</v>
      </c>
      <c r="M99" s="4">
        <f t="shared" si="4"/>
        <v>0</v>
      </c>
    </row>
    <row r="100" spans="1:13" s="4" customFormat="1" ht="16.5" customHeight="1" x14ac:dyDescent="0.25">
      <c r="A100" s="14" t="s">
        <v>189</v>
      </c>
      <c r="B100" s="7" t="s">
        <v>190</v>
      </c>
      <c r="C100" s="8">
        <f>5800/1.13</f>
        <v>5132.7433628318586</v>
      </c>
      <c r="D100" s="9">
        <f t="shared" si="9"/>
        <v>0</v>
      </c>
      <c r="E100" s="10">
        <f t="shared" si="1"/>
        <v>0</v>
      </c>
      <c r="F100" s="11"/>
      <c r="G100" s="23"/>
      <c r="H100" s="5"/>
      <c r="I100" s="8"/>
      <c r="J100" s="9"/>
      <c r="K100" s="10"/>
      <c r="M100" s="4">
        <f t="shared" si="4"/>
        <v>0</v>
      </c>
    </row>
    <row r="101" spans="1:13" s="4" customFormat="1" ht="16.5" customHeight="1" x14ac:dyDescent="0.25">
      <c r="A101" s="14" t="s">
        <v>191</v>
      </c>
      <c r="B101" s="7" t="s">
        <v>192</v>
      </c>
      <c r="C101" s="8">
        <f>5510/1.13</f>
        <v>4876.1061946902655</v>
      </c>
      <c r="D101" s="9">
        <f>M101</f>
        <v>0</v>
      </c>
      <c r="E101" s="10">
        <f t="shared" si="1"/>
        <v>0</v>
      </c>
      <c r="F101" s="11"/>
      <c r="G101" s="23"/>
      <c r="H101" s="5"/>
      <c r="I101" s="8"/>
      <c r="J101" s="9"/>
      <c r="K101" s="10"/>
    </row>
    <row r="102" spans="1:13" s="4" customFormat="1" ht="16.5" customHeight="1" x14ac:dyDescent="0.25">
      <c r="A102" s="6" t="s">
        <v>193</v>
      </c>
      <c r="B102" s="7" t="s">
        <v>194</v>
      </c>
      <c r="C102" s="8">
        <v>3239.7429999999999</v>
      </c>
      <c r="D102" s="9">
        <f t="shared" si="9"/>
        <v>0</v>
      </c>
      <c r="E102" s="10">
        <f t="shared" si="1"/>
        <v>0</v>
      </c>
      <c r="F102" s="11"/>
      <c r="G102" s="12">
        <v>1762294</v>
      </c>
      <c r="H102" s="13" t="s">
        <v>195</v>
      </c>
      <c r="I102" s="8">
        <v>3146.49</v>
      </c>
      <c r="J102" s="9">
        <f t="shared" si="2"/>
        <v>0</v>
      </c>
      <c r="K102" s="10">
        <f t="shared" si="3"/>
        <v>0</v>
      </c>
      <c r="M102" s="4">
        <f t="shared" si="4"/>
        <v>0</v>
      </c>
    </row>
    <row r="103" spans="1:13" s="4" customFormat="1" ht="16.5" customHeight="1" x14ac:dyDescent="0.25">
      <c r="A103" s="14" t="s">
        <v>196</v>
      </c>
      <c r="B103" s="7" t="s">
        <v>197</v>
      </c>
      <c r="C103" s="8">
        <f>4350/1.13</f>
        <v>3849.5575221238942</v>
      </c>
      <c r="D103" s="9">
        <f t="shared" si="9"/>
        <v>0</v>
      </c>
      <c r="E103" s="10">
        <f t="shared" si="1"/>
        <v>0</v>
      </c>
      <c r="F103" s="11"/>
      <c r="G103" s="14" t="s">
        <v>196</v>
      </c>
      <c r="H103" s="13" t="s">
        <v>198</v>
      </c>
      <c r="I103" s="8">
        <v>4971.5200000000004</v>
      </c>
      <c r="J103" s="9">
        <f t="shared" si="2"/>
        <v>0</v>
      </c>
      <c r="K103" s="10">
        <f t="shared" si="3"/>
        <v>0</v>
      </c>
    </row>
    <row r="104" spans="1:13" s="4" customFormat="1" ht="16.5" customHeight="1" x14ac:dyDescent="0.25">
      <c r="A104" s="6"/>
      <c r="B104" s="7"/>
      <c r="C104" s="8"/>
      <c r="D104" s="9"/>
      <c r="E104" s="10"/>
      <c r="F104" s="11"/>
      <c r="G104" s="14" t="s">
        <v>179</v>
      </c>
      <c r="H104" s="24" t="s">
        <v>199</v>
      </c>
      <c r="I104" s="8">
        <f>5617.82/1.13</f>
        <v>4971.5221238938057</v>
      </c>
      <c r="J104" s="9"/>
      <c r="K104" s="10"/>
    </row>
    <row r="105" spans="1:13" s="4" customFormat="1" ht="16.5" customHeight="1" x14ac:dyDescent="0.25">
      <c r="A105" s="6" t="s">
        <v>200</v>
      </c>
      <c r="B105" s="18" t="s">
        <v>201</v>
      </c>
      <c r="C105" s="8">
        <v>4958.1589999999997</v>
      </c>
      <c r="D105" s="9">
        <f t="shared" si="9"/>
        <v>0</v>
      </c>
      <c r="E105" s="10">
        <f t="shared" si="1"/>
        <v>0</v>
      </c>
      <c r="F105" s="11"/>
      <c r="G105" s="12">
        <v>1762307</v>
      </c>
      <c r="H105" s="13" t="s">
        <v>202</v>
      </c>
      <c r="I105" s="8">
        <v>4822.37</v>
      </c>
      <c r="J105" s="9">
        <f t="shared" si="2"/>
        <v>0</v>
      </c>
      <c r="K105" s="10">
        <f t="shared" si="3"/>
        <v>0</v>
      </c>
      <c r="M105" s="4">
        <f t="shared" si="4"/>
        <v>0</v>
      </c>
    </row>
    <row r="106" spans="1:13" s="4" customFormat="1" ht="16.5" customHeight="1" x14ac:dyDescent="0.25">
      <c r="A106" s="14" t="s">
        <v>203</v>
      </c>
      <c r="B106" s="18" t="s">
        <v>204</v>
      </c>
      <c r="C106" s="8">
        <f>8800/1.13</f>
        <v>7787.6106194690274</v>
      </c>
      <c r="D106" s="9">
        <f t="shared" si="9"/>
        <v>0</v>
      </c>
      <c r="E106" s="10">
        <f t="shared" si="1"/>
        <v>0</v>
      </c>
      <c r="F106" s="11"/>
      <c r="G106" s="12"/>
      <c r="H106" s="13"/>
      <c r="I106" s="8"/>
      <c r="J106" s="9"/>
      <c r="K106" s="10"/>
    </row>
    <row r="107" spans="1:13" s="4" customFormat="1" ht="16.5" customHeight="1" x14ac:dyDescent="0.25">
      <c r="A107" s="14" t="s">
        <v>184</v>
      </c>
      <c r="B107" s="37" t="s">
        <v>205</v>
      </c>
      <c r="C107" s="34">
        <f>6175/1.13</f>
        <v>5464.6017699115046</v>
      </c>
      <c r="D107" s="35">
        <f t="shared" si="9"/>
        <v>0</v>
      </c>
      <c r="E107" s="38">
        <f t="shared" si="1"/>
        <v>0</v>
      </c>
      <c r="F107" s="11"/>
      <c r="G107" s="14" t="s">
        <v>206</v>
      </c>
      <c r="H107" s="33" t="s">
        <v>207</v>
      </c>
      <c r="I107" s="34">
        <v>6796.46</v>
      </c>
      <c r="J107" s="35">
        <f t="shared" si="2"/>
        <v>0</v>
      </c>
      <c r="K107" s="38">
        <f t="shared" si="3"/>
        <v>0</v>
      </c>
    </row>
    <row r="108" spans="1:13" s="4" customFormat="1" ht="16.5" customHeight="1" x14ac:dyDescent="0.25">
      <c r="A108" s="6" t="s">
        <v>208</v>
      </c>
      <c r="B108" s="7" t="s">
        <v>209</v>
      </c>
      <c r="C108" s="8">
        <v>5584.6080000000002</v>
      </c>
      <c r="D108" s="9">
        <f t="shared" si="9"/>
        <v>0</v>
      </c>
      <c r="E108" s="10">
        <f t="shared" si="1"/>
        <v>0</v>
      </c>
      <c r="F108" s="11"/>
      <c r="G108" s="12">
        <v>1762295</v>
      </c>
      <c r="H108" s="13" t="s">
        <v>210</v>
      </c>
      <c r="I108" s="8">
        <v>5469.03</v>
      </c>
      <c r="J108" s="9">
        <f t="shared" si="2"/>
        <v>0</v>
      </c>
      <c r="K108" s="10">
        <f t="shared" si="3"/>
        <v>0</v>
      </c>
      <c r="M108" s="4">
        <f t="shared" si="4"/>
        <v>0</v>
      </c>
    </row>
    <row r="109" spans="1:13" s="4" customFormat="1" ht="16.5" customHeight="1" x14ac:dyDescent="0.25">
      <c r="A109" s="6" t="s">
        <v>211</v>
      </c>
      <c r="B109" s="7" t="s">
        <v>212</v>
      </c>
      <c r="C109" s="8">
        <v>7437.2380000000003</v>
      </c>
      <c r="D109" s="9">
        <f t="shared" si="9"/>
        <v>0</v>
      </c>
      <c r="E109" s="10">
        <f t="shared" si="1"/>
        <v>0</v>
      </c>
      <c r="F109" s="11"/>
      <c r="G109" s="12">
        <v>1762296</v>
      </c>
      <c r="H109" s="13" t="s">
        <v>213</v>
      </c>
      <c r="I109" s="8">
        <v>7283.19</v>
      </c>
      <c r="J109" s="9">
        <f t="shared" si="2"/>
        <v>0</v>
      </c>
      <c r="K109" s="10">
        <f t="shared" si="3"/>
        <v>0</v>
      </c>
      <c r="M109" s="4">
        <f t="shared" si="4"/>
        <v>0</v>
      </c>
    </row>
    <row r="110" spans="1:13" s="4" customFormat="1" ht="16.5" customHeight="1" x14ac:dyDescent="0.25">
      <c r="A110" s="6" t="s">
        <v>214</v>
      </c>
      <c r="B110" s="7" t="s">
        <v>215</v>
      </c>
      <c r="C110" s="8">
        <v>10761.062</v>
      </c>
      <c r="D110" s="9">
        <f t="shared" si="9"/>
        <v>0</v>
      </c>
      <c r="E110" s="10">
        <f t="shared" si="1"/>
        <v>0</v>
      </c>
      <c r="F110" s="11"/>
      <c r="G110" s="23"/>
      <c r="H110" s="5"/>
      <c r="I110" s="8"/>
      <c r="J110" s="9"/>
      <c r="K110" s="10"/>
      <c r="M110" s="4">
        <f t="shared" si="4"/>
        <v>0</v>
      </c>
    </row>
    <row r="111" spans="1:13" s="4" customFormat="1" ht="16.5" customHeight="1" x14ac:dyDescent="0.25">
      <c r="A111" s="6" t="s">
        <v>216</v>
      </c>
      <c r="B111" s="7" t="s">
        <v>217</v>
      </c>
      <c r="C111" s="8">
        <v>8955.6749999999993</v>
      </c>
      <c r="D111" s="9">
        <f t="shared" si="9"/>
        <v>0</v>
      </c>
      <c r="E111" s="10">
        <f t="shared" si="1"/>
        <v>0</v>
      </c>
      <c r="F111" s="11"/>
      <c r="G111" s="12">
        <v>1762308</v>
      </c>
      <c r="H111" s="13" t="s">
        <v>218</v>
      </c>
      <c r="I111" s="8">
        <v>8866.66</v>
      </c>
      <c r="J111" s="9">
        <f t="shared" si="2"/>
        <v>0</v>
      </c>
      <c r="K111" s="10">
        <f t="shared" si="3"/>
        <v>0</v>
      </c>
      <c r="M111" s="4">
        <f t="shared" si="4"/>
        <v>0</v>
      </c>
    </row>
    <row r="112" spans="1:13" s="4" customFormat="1" ht="16.5" customHeight="1" x14ac:dyDescent="0.25">
      <c r="A112" s="6" t="s">
        <v>219</v>
      </c>
      <c r="B112" s="7" t="s">
        <v>220</v>
      </c>
      <c r="C112" s="8">
        <v>10929.204</v>
      </c>
      <c r="D112" s="9">
        <f t="shared" si="9"/>
        <v>0</v>
      </c>
      <c r="E112" s="10">
        <f t="shared" si="1"/>
        <v>0</v>
      </c>
      <c r="F112" s="11"/>
      <c r="G112" s="23"/>
      <c r="H112" s="5"/>
      <c r="I112" s="8"/>
      <c r="J112" s="9">
        <f t="shared" si="2"/>
        <v>0</v>
      </c>
      <c r="K112" s="10">
        <f t="shared" si="3"/>
        <v>0</v>
      </c>
      <c r="M112" s="4">
        <f t="shared" si="4"/>
        <v>0</v>
      </c>
    </row>
    <row r="113" spans="1:13" s="4" customFormat="1" ht="16.5" customHeight="1" x14ac:dyDescent="0.25">
      <c r="A113" s="6" t="s">
        <v>221</v>
      </c>
      <c r="B113" s="7" t="s">
        <v>222</v>
      </c>
      <c r="C113" s="8">
        <v>13015.168</v>
      </c>
      <c r="D113" s="9">
        <f t="shared" si="9"/>
        <v>0</v>
      </c>
      <c r="E113" s="10">
        <f t="shared" si="1"/>
        <v>0</v>
      </c>
      <c r="F113" s="11"/>
      <c r="G113" s="23"/>
      <c r="H113" s="5"/>
      <c r="I113" s="8"/>
      <c r="J113" s="9">
        <f t="shared" si="2"/>
        <v>0</v>
      </c>
      <c r="K113" s="10">
        <f t="shared" si="3"/>
        <v>0</v>
      </c>
      <c r="M113" s="4">
        <f t="shared" si="4"/>
        <v>0</v>
      </c>
    </row>
    <row r="114" spans="1:13" s="4" customFormat="1" ht="16.5" customHeight="1" x14ac:dyDescent="0.4">
      <c r="A114" s="14" t="s">
        <v>223</v>
      </c>
      <c r="B114" s="18" t="s">
        <v>224</v>
      </c>
      <c r="C114" s="8">
        <f>14850/1.13</f>
        <v>13141.592920353984</v>
      </c>
      <c r="D114" s="9">
        <f t="shared" si="9"/>
        <v>0</v>
      </c>
      <c r="E114" s="10">
        <f t="shared" si="1"/>
        <v>0</v>
      </c>
      <c r="F114" s="11"/>
      <c r="G114" s="39" t="s">
        <v>225</v>
      </c>
      <c r="H114" s="40" t="s">
        <v>226</v>
      </c>
      <c r="I114" s="8">
        <v>11415.93</v>
      </c>
      <c r="J114" s="9">
        <f t="shared" si="2"/>
        <v>0</v>
      </c>
      <c r="K114" s="10">
        <f t="shared" si="3"/>
        <v>0</v>
      </c>
    </row>
    <row r="115" spans="1:13" s="4" customFormat="1" ht="16.5" customHeight="1" x14ac:dyDescent="0.25">
      <c r="A115" s="6"/>
      <c r="B115" s="7" t="s">
        <v>227</v>
      </c>
      <c r="C115" s="8">
        <f>15965/1.13</f>
        <v>14128.318584070797</v>
      </c>
      <c r="D115" s="9">
        <f t="shared" si="9"/>
        <v>0</v>
      </c>
      <c r="E115" s="10">
        <f t="shared" si="1"/>
        <v>0</v>
      </c>
      <c r="F115" s="11"/>
      <c r="G115" s="23"/>
      <c r="H115" s="5"/>
      <c r="I115" s="8"/>
      <c r="J115" s="9"/>
      <c r="K115" s="10"/>
      <c r="M115" s="4">
        <f t="shared" si="4"/>
        <v>0</v>
      </c>
    </row>
    <row r="116" spans="1:13" s="4" customFormat="1" ht="16.5" customHeight="1" x14ac:dyDescent="0.25">
      <c r="A116" s="6"/>
      <c r="B116" s="7" t="s">
        <v>228</v>
      </c>
      <c r="C116" s="8">
        <f>20800/1.13</f>
        <v>18407.079646017701</v>
      </c>
      <c r="D116" s="9"/>
      <c r="E116" s="10"/>
      <c r="F116" s="11"/>
      <c r="G116" s="23"/>
      <c r="H116" s="5"/>
      <c r="I116" s="8"/>
      <c r="J116" s="9"/>
      <c r="K116" s="10"/>
    </row>
    <row r="117" spans="1:13" ht="16.5" customHeight="1" x14ac:dyDescent="0.25">
      <c r="A117" s="14" t="s">
        <v>229</v>
      </c>
      <c r="B117" s="7" t="s">
        <v>230</v>
      </c>
      <c r="C117" s="8">
        <f>18580/1.13</f>
        <v>16442.477876106197</v>
      </c>
      <c r="D117" s="9">
        <f>M207*4</f>
        <v>0</v>
      </c>
      <c r="E117" s="10">
        <f t="shared" ref="E117" si="11">C117*D117</f>
        <v>0</v>
      </c>
      <c r="F117" s="11"/>
      <c r="G117" s="41"/>
      <c r="H117" s="13"/>
      <c r="I117" s="8"/>
      <c r="J117" s="9"/>
      <c r="K117" s="10"/>
      <c r="M117" s="4"/>
    </row>
    <row r="118" spans="1:13" s="4" customFormat="1" ht="16.5" customHeight="1" x14ac:dyDescent="0.25">
      <c r="A118" s="6" t="s">
        <v>231</v>
      </c>
      <c r="B118" s="7" t="s">
        <v>232</v>
      </c>
      <c r="C118" s="8">
        <v>9296.5490000000009</v>
      </c>
      <c r="D118" s="9">
        <f t="shared" si="9"/>
        <v>0</v>
      </c>
      <c r="E118" s="10">
        <f t="shared" si="1"/>
        <v>0</v>
      </c>
      <c r="F118" s="11"/>
      <c r="G118" s="23"/>
      <c r="H118" s="5"/>
      <c r="I118" s="8"/>
      <c r="J118" s="9"/>
      <c r="K118" s="10"/>
      <c r="M118" s="4">
        <f t="shared" si="4"/>
        <v>0</v>
      </c>
    </row>
    <row r="119" spans="1:13" s="4" customFormat="1" ht="16.5" customHeight="1" x14ac:dyDescent="0.25">
      <c r="A119" s="6"/>
      <c r="B119" s="7" t="s">
        <v>233</v>
      </c>
      <c r="C119" s="8">
        <f>13110/1.13</f>
        <v>11601.769911504425</v>
      </c>
      <c r="D119" s="9">
        <f t="shared" si="9"/>
        <v>0</v>
      </c>
      <c r="E119" s="10">
        <f t="shared" si="1"/>
        <v>0</v>
      </c>
      <c r="F119" s="11"/>
      <c r="G119" s="12">
        <v>1762309</v>
      </c>
      <c r="H119" s="24" t="s">
        <v>234</v>
      </c>
      <c r="I119" s="8">
        <v>11146.41</v>
      </c>
      <c r="J119" s="9">
        <f t="shared" si="2"/>
        <v>0</v>
      </c>
      <c r="K119" s="10">
        <f t="shared" si="3"/>
        <v>0</v>
      </c>
      <c r="M119" s="4">
        <f t="shared" si="4"/>
        <v>0</v>
      </c>
    </row>
    <row r="120" spans="1:13" s="4" customFormat="1" ht="16.5" customHeight="1" x14ac:dyDescent="0.25">
      <c r="A120" s="6" t="s">
        <v>235</v>
      </c>
      <c r="B120" s="7" t="s">
        <v>236</v>
      </c>
      <c r="C120" s="8">
        <v>11775.628000000001</v>
      </c>
      <c r="D120" s="9">
        <f t="shared" si="9"/>
        <v>0</v>
      </c>
      <c r="E120" s="10">
        <f t="shared" si="1"/>
        <v>0</v>
      </c>
      <c r="F120" s="11"/>
      <c r="G120" s="23"/>
      <c r="H120" s="5"/>
      <c r="I120" s="8"/>
      <c r="J120" s="9">
        <f t="shared" ref="J120:J132" si="12">M120</f>
        <v>0</v>
      </c>
      <c r="K120" s="10">
        <f t="shared" ref="K120:K132" si="13">I120*J120</f>
        <v>0</v>
      </c>
      <c r="M120" s="4">
        <f t="shared" si="4"/>
        <v>0</v>
      </c>
    </row>
    <row r="121" spans="1:13" s="4" customFormat="1" ht="16.5" customHeight="1" x14ac:dyDescent="0.25">
      <c r="A121" s="14" t="s">
        <v>237</v>
      </c>
      <c r="B121" s="7" t="s">
        <v>238</v>
      </c>
      <c r="C121" s="8">
        <f>12160/1.13</f>
        <v>10761.061946902655</v>
      </c>
      <c r="D121" s="9">
        <f t="shared" si="9"/>
        <v>0</v>
      </c>
      <c r="E121" s="10">
        <f t="shared" ref="E121:E214" si="14">C121*D121</f>
        <v>0</v>
      </c>
      <c r="F121" s="11"/>
      <c r="G121" s="23"/>
      <c r="H121" s="5"/>
      <c r="I121" s="8"/>
      <c r="J121" s="9">
        <f t="shared" si="12"/>
        <v>0</v>
      </c>
      <c r="K121" s="10">
        <f t="shared" si="13"/>
        <v>0</v>
      </c>
      <c r="M121" s="4">
        <f t="shared" ref="M121:M215" si="15">SUM(N121:S121)</f>
        <v>0</v>
      </c>
    </row>
    <row r="122" spans="1:13" s="4" customFormat="1" ht="16.5" customHeight="1" x14ac:dyDescent="0.25">
      <c r="A122" s="6"/>
      <c r="B122" s="7" t="s">
        <v>239</v>
      </c>
      <c r="C122" s="8">
        <f>14440/1.13</f>
        <v>12778.761061946903</v>
      </c>
      <c r="D122" s="9">
        <f t="shared" si="9"/>
        <v>0</v>
      </c>
      <c r="E122" s="10">
        <f t="shared" si="14"/>
        <v>0</v>
      </c>
      <c r="F122" s="11"/>
      <c r="G122" s="23"/>
      <c r="H122" s="5"/>
      <c r="I122" s="8"/>
      <c r="J122" s="9">
        <f t="shared" si="12"/>
        <v>0</v>
      </c>
      <c r="K122" s="10">
        <f t="shared" si="13"/>
        <v>0</v>
      </c>
      <c r="M122" s="4">
        <f t="shared" si="15"/>
        <v>0</v>
      </c>
    </row>
    <row r="123" spans="1:13" s="4" customFormat="1" ht="16.5" customHeight="1" x14ac:dyDescent="0.25">
      <c r="A123" s="6"/>
      <c r="B123" s="7" t="s">
        <v>240</v>
      </c>
      <c r="C123" s="8">
        <f>16000/1.13</f>
        <v>14159.292035398232</v>
      </c>
      <c r="D123" s="9">
        <f t="shared" si="9"/>
        <v>0</v>
      </c>
      <c r="E123" s="10">
        <f t="shared" si="14"/>
        <v>0</v>
      </c>
      <c r="F123" s="11"/>
      <c r="G123" s="23"/>
      <c r="H123" s="5"/>
      <c r="I123" s="8"/>
      <c r="J123" s="9">
        <f t="shared" si="12"/>
        <v>0</v>
      </c>
      <c r="K123" s="10">
        <f t="shared" si="13"/>
        <v>0</v>
      </c>
      <c r="M123" s="4">
        <f t="shared" si="15"/>
        <v>0</v>
      </c>
    </row>
    <row r="124" spans="1:13" s="4" customFormat="1" ht="16.5" customHeight="1" x14ac:dyDescent="0.25">
      <c r="A124" s="14" t="s">
        <v>196</v>
      </c>
      <c r="B124" s="7" t="s">
        <v>241</v>
      </c>
      <c r="C124" s="8">
        <f>15960/1.13</f>
        <v>14123.893805309735</v>
      </c>
      <c r="D124" s="9">
        <f t="shared" si="9"/>
        <v>0</v>
      </c>
      <c r="E124" s="10">
        <f t="shared" si="14"/>
        <v>0</v>
      </c>
      <c r="F124" s="11"/>
      <c r="G124" s="39" t="s">
        <v>196</v>
      </c>
      <c r="H124" s="24" t="s">
        <v>242</v>
      </c>
      <c r="I124" s="8">
        <v>22920.35</v>
      </c>
      <c r="J124" s="9">
        <f t="shared" si="12"/>
        <v>0</v>
      </c>
      <c r="K124" s="10">
        <f t="shared" si="13"/>
        <v>0</v>
      </c>
      <c r="M124" s="4">
        <f t="shared" si="15"/>
        <v>0</v>
      </c>
    </row>
    <row r="125" spans="1:13" s="4" customFormat="1" ht="16.5" customHeight="1" x14ac:dyDescent="0.25">
      <c r="A125" s="14" t="s">
        <v>243</v>
      </c>
      <c r="B125" s="7" t="s">
        <v>244</v>
      </c>
      <c r="C125" s="8">
        <f>20800/1.13</f>
        <v>18407.079646017701</v>
      </c>
      <c r="D125" s="9"/>
      <c r="E125" s="10"/>
      <c r="F125" s="11"/>
      <c r="G125" s="39"/>
      <c r="H125" s="24"/>
      <c r="I125" s="8"/>
      <c r="J125" s="9"/>
      <c r="K125" s="10"/>
    </row>
    <row r="126" spans="1:13" s="4" customFormat="1" ht="16.5" customHeight="1" x14ac:dyDescent="0.25">
      <c r="A126" s="14" t="s">
        <v>225</v>
      </c>
      <c r="B126" s="18" t="s">
        <v>245</v>
      </c>
      <c r="C126" s="43">
        <f>35225/1.13</f>
        <v>31172.56637168142</v>
      </c>
      <c r="D126" s="9">
        <f t="shared" si="9"/>
        <v>0</v>
      </c>
      <c r="E126" s="10">
        <f t="shared" si="14"/>
        <v>0</v>
      </c>
      <c r="F126" s="11"/>
      <c r="G126" s="39" t="s">
        <v>225</v>
      </c>
      <c r="H126" s="24" t="s">
        <v>246</v>
      </c>
      <c r="I126" s="8">
        <v>17345.14</v>
      </c>
      <c r="J126" s="9">
        <f t="shared" si="12"/>
        <v>0</v>
      </c>
      <c r="K126" s="10">
        <f t="shared" si="13"/>
        <v>0</v>
      </c>
    </row>
    <row r="127" spans="1:13" s="4" customFormat="1" ht="16.5" customHeight="1" x14ac:dyDescent="0.25">
      <c r="A127" s="6"/>
      <c r="B127" s="7" t="s">
        <v>247</v>
      </c>
      <c r="C127" s="8">
        <f>16800/1.13</f>
        <v>14867.256637168142</v>
      </c>
      <c r="D127" s="9">
        <f t="shared" si="9"/>
        <v>0</v>
      </c>
      <c r="E127" s="10">
        <f t="shared" si="14"/>
        <v>0</v>
      </c>
      <c r="F127" s="11"/>
      <c r="G127" s="23"/>
      <c r="H127" s="5"/>
      <c r="I127" s="8"/>
      <c r="J127" s="9">
        <f t="shared" si="12"/>
        <v>0</v>
      </c>
      <c r="K127" s="10">
        <f t="shared" si="13"/>
        <v>0</v>
      </c>
      <c r="M127" s="4">
        <f t="shared" si="15"/>
        <v>0</v>
      </c>
    </row>
    <row r="128" spans="1:13" s="4" customFormat="1" ht="16.5" customHeight="1" x14ac:dyDescent="0.25">
      <c r="A128" s="14" t="s">
        <v>248</v>
      </c>
      <c r="B128" s="18" t="s">
        <v>249</v>
      </c>
      <c r="C128" s="44">
        <f>19760/1.13</f>
        <v>17486.725663716818</v>
      </c>
      <c r="D128" s="9">
        <f t="shared" si="9"/>
        <v>0</v>
      </c>
      <c r="E128" s="10">
        <f t="shared" si="14"/>
        <v>0</v>
      </c>
      <c r="F128" s="11"/>
      <c r="G128" s="23"/>
      <c r="H128" s="13" t="s">
        <v>250</v>
      </c>
      <c r="I128" s="8">
        <v>19553.099999999999</v>
      </c>
      <c r="J128" s="9">
        <f t="shared" si="12"/>
        <v>0</v>
      </c>
      <c r="K128" s="10">
        <f t="shared" si="13"/>
        <v>0</v>
      </c>
    </row>
    <row r="129" spans="1:13" s="4" customFormat="1" ht="16.5" customHeight="1" x14ac:dyDescent="0.25">
      <c r="A129" s="14" t="s">
        <v>248</v>
      </c>
      <c r="B129" s="18" t="s">
        <v>251</v>
      </c>
      <c r="C129" s="44">
        <f>20306.15/1.13</f>
        <v>17970.044247787613</v>
      </c>
      <c r="D129" s="9">
        <f t="shared" si="9"/>
        <v>0</v>
      </c>
      <c r="E129" s="10">
        <f t="shared" si="14"/>
        <v>0</v>
      </c>
      <c r="F129" s="11"/>
      <c r="G129" s="23"/>
      <c r="H129" s="13"/>
      <c r="I129" s="8"/>
      <c r="J129" s="9">
        <f t="shared" si="12"/>
        <v>0</v>
      </c>
      <c r="K129" s="10">
        <f t="shared" si="13"/>
        <v>0</v>
      </c>
    </row>
    <row r="130" spans="1:13" s="4" customFormat="1" ht="16.5" customHeight="1" x14ac:dyDescent="0.25">
      <c r="A130" s="14" t="s">
        <v>248</v>
      </c>
      <c r="B130" s="18" t="s">
        <v>252</v>
      </c>
      <c r="C130" s="44">
        <f>22408/1.13</f>
        <v>19830.088495575223</v>
      </c>
      <c r="D130" s="9">
        <f t="shared" si="9"/>
        <v>0</v>
      </c>
      <c r="E130" s="10">
        <f t="shared" si="14"/>
        <v>0</v>
      </c>
      <c r="F130" s="11"/>
      <c r="G130" s="23"/>
      <c r="H130" s="13"/>
      <c r="I130" s="8"/>
      <c r="J130" s="9">
        <f t="shared" si="12"/>
        <v>0</v>
      </c>
      <c r="K130" s="10">
        <f t="shared" si="13"/>
        <v>0</v>
      </c>
    </row>
    <row r="131" spans="1:13" s="4" customFormat="1" ht="16.5" customHeight="1" x14ac:dyDescent="0.25">
      <c r="A131" s="39" t="s">
        <v>253</v>
      </c>
      <c r="B131" s="18" t="s">
        <v>254</v>
      </c>
      <c r="C131" s="43">
        <f>24510/1.13</f>
        <v>21690.265486725664</v>
      </c>
      <c r="D131" s="9">
        <v>0</v>
      </c>
      <c r="E131" s="10">
        <f t="shared" si="14"/>
        <v>0</v>
      </c>
      <c r="F131" s="11"/>
      <c r="G131" s="23"/>
      <c r="H131" s="5"/>
      <c r="I131" s="8"/>
      <c r="J131" s="9">
        <f t="shared" si="12"/>
        <v>0</v>
      </c>
      <c r="K131" s="10">
        <f t="shared" si="13"/>
        <v>0</v>
      </c>
    </row>
    <row r="132" spans="1:13" s="4" customFormat="1" ht="16.5" customHeight="1" x14ac:dyDescent="0.25">
      <c r="A132" s="14" t="s">
        <v>196</v>
      </c>
      <c r="B132" s="18" t="s">
        <v>255</v>
      </c>
      <c r="C132" s="8">
        <f>26410/1.13</f>
        <v>23371.681415929204</v>
      </c>
      <c r="D132" s="9">
        <f t="shared" si="9"/>
        <v>0</v>
      </c>
      <c r="E132" s="10">
        <f t="shared" si="14"/>
        <v>0</v>
      </c>
      <c r="F132" s="11"/>
      <c r="G132" s="14" t="s">
        <v>196</v>
      </c>
      <c r="H132" s="5" t="s">
        <v>256</v>
      </c>
      <c r="I132" s="8">
        <v>26106.19</v>
      </c>
      <c r="J132" s="9">
        <f t="shared" si="12"/>
        <v>0</v>
      </c>
      <c r="K132" s="10">
        <f t="shared" si="13"/>
        <v>0</v>
      </c>
      <c r="M132" s="4">
        <f t="shared" si="15"/>
        <v>0</v>
      </c>
    </row>
    <row r="133" spans="1:13" s="4" customFormat="1" ht="16.5" customHeight="1" x14ac:dyDescent="0.25">
      <c r="A133" s="45"/>
      <c r="B133" s="46" t="s">
        <v>257</v>
      </c>
      <c r="C133" s="47">
        <f>15000/1.13</f>
        <v>13274.336283185841</v>
      </c>
      <c r="D133" s="9">
        <f>D132</f>
        <v>0</v>
      </c>
      <c r="E133" s="10">
        <f t="shared" si="14"/>
        <v>0</v>
      </c>
      <c r="F133" s="11"/>
      <c r="G133" s="45"/>
      <c r="H133" s="5"/>
      <c r="I133" s="8"/>
      <c r="J133" s="9"/>
      <c r="K133" s="10"/>
    </row>
    <row r="134" spans="1:13" s="4" customFormat="1" ht="16.5" customHeight="1" x14ac:dyDescent="0.25">
      <c r="A134" s="6"/>
      <c r="B134" s="7" t="s">
        <v>258</v>
      </c>
      <c r="C134" s="8">
        <v>17234.513274336285</v>
      </c>
      <c r="D134" s="9">
        <f t="shared" si="9"/>
        <v>0</v>
      </c>
      <c r="E134" s="10">
        <f t="shared" si="14"/>
        <v>0</v>
      </c>
      <c r="F134" s="11"/>
      <c r="G134" s="23"/>
      <c r="H134" s="33" t="s">
        <v>259</v>
      </c>
      <c r="I134" s="34">
        <v>17615.3</v>
      </c>
      <c r="J134" s="35">
        <f t="shared" ref="J134" si="16">M134</f>
        <v>0</v>
      </c>
      <c r="K134" s="38">
        <f t="shared" ref="K134" si="17">I134*J134</f>
        <v>0</v>
      </c>
      <c r="M134" s="4">
        <f t="shared" si="15"/>
        <v>0</v>
      </c>
    </row>
    <row r="135" spans="1:13" s="4" customFormat="1" ht="16.5" customHeight="1" x14ac:dyDescent="0.25">
      <c r="A135" s="6"/>
      <c r="B135" s="7" t="s">
        <v>260</v>
      </c>
      <c r="C135" s="8">
        <f>20800/1.13</f>
        <v>18407.079646017701</v>
      </c>
      <c r="D135" s="9">
        <f t="shared" si="9"/>
        <v>0</v>
      </c>
      <c r="E135" s="10">
        <f t="shared" si="14"/>
        <v>0</v>
      </c>
      <c r="F135" s="11"/>
      <c r="G135" s="23"/>
      <c r="H135" s="5"/>
      <c r="I135" s="8"/>
      <c r="J135" s="9"/>
      <c r="K135" s="10"/>
      <c r="M135" s="4">
        <f t="shared" si="15"/>
        <v>0</v>
      </c>
    </row>
    <row r="136" spans="1:13" s="4" customFormat="1" ht="16.5" customHeight="1" x14ac:dyDescent="0.25">
      <c r="A136" s="6"/>
      <c r="B136" s="12" t="s">
        <v>261</v>
      </c>
      <c r="C136" s="8">
        <f>29810/1.13</f>
        <v>26380.530973451328</v>
      </c>
      <c r="D136" s="9">
        <f t="shared" si="9"/>
        <v>0</v>
      </c>
      <c r="E136" s="10">
        <f t="shared" si="14"/>
        <v>0</v>
      </c>
      <c r="F136" s="11"/>
      <c r="G136" s="23"/>
      <c r="H136" s="5"/>
      <c r="I136" s="8"/>
      <c r="J136" s="9"/>
      <c r="K136" s="10"/>
      <c r="M136" s="4">
        <f t="shared" si="15"/>
        <v>0</v>
      </c>
    </row>
    <row r="137" spans="1:13" s="4" customFormat="1" ht="16.5" customHeight="1" x14ac:dyDescent="0.25">
      <c r="A137" s="14" t="s">
        <v>179</v>
      </c>
      <c r="B137" s="7" t="s">
        <v>262</v>
      </c>
      <c r="C137" s="8">
        <f>25800/1.13</f>
        <v>22831.85840707965</v>
      </c>
      <c r="D137" s="9"/>
      <c r="E137" s="10"/>
      <c r="F137" s="11"/>
      <c r="G137" s="14" t="s">
        <v>179</v>
      </c>
      <c r="H137" s="24" t="s">
        <v>263</v>
      </c>
      <c r="I137" s="8">
        <f>18714/1.13</f>
        <v>16561.061946902657</v>
      </c>
      <c r="J137" s="9"/>
      <c r="K137" s="10"/>
    </row>
    <row r="138" spans="1:13" s="4" customFormat="1" ht="16.5" customHeight="1" x14ac:dyDescent="0.25">
      <c r="A138" s="14" t="s">
        <v>264</v>
      </c>
      <c r="B138" s="7" t="s">
        <v>265</v>
      </c>
      <c r="C138" s="8">
        <f>25920/1.13</f>
        <v>22938.053097345135</v>
      </c>
      <c r="D138" s="9">
        <f t="shared" si="9"/>
        <v>0</v>
      </c>
      <c r="E138" s="10">
        <f t="shared" si="14"/>
        <v>0</v>
      </c>
      <c r="F138" s="11"/>
      <c r="G138" s="23"/>
      <c r="H138" s="5"/>
      <c r="I138" s="8"/>
      <c r="J138" s="9"/>
      <c r="K138" s="10"/>
      <c r="M138" s="4">
        <f t="shared" si="15"/>
        <v>0</v>
      </c>
    </row>
    <row r="139" spans="1:13" s="4" customFormat="1" ht="16.5" customHeight="1" x14ac:dyDescent="0.25">
      <c r="A139" s="14" t="s">
        <v>266</v>
      </c>
      <c r="B139" s="7" t="s">
        <v>267</v>
      </c>
      <c r="C139" s="8">
        <f>34760/1.13</f>
        <v>30761.061946902657</v>
      </c>
      <c r="D139" s="9">
        <f t="shared" si="9"/>
        <v>0</v>
      </c>
      <c r="E139" s="10">
        <f t="shared" si="14"/>
        <v>0</v>
      </c>
      <c r="F139" s="11"/>
      <c r="G139" s="23"/>
      <c r="H139" s="5"/>
      <c r="I139" s="8"/>
      <c r="J139" s="9"/>
      <c r="K139" s="10"/>
      <c r="M139" s="4">
        <f t="shared" si="15"/>
        <v>0</v>
      </c>
    </row>
    <row r="140" spans="1:13" s="4" customFormat="1" ht="16.5" customHeight="1" x14ac:dyDescent="0.25">
      <c r="A140" s="14" t="s">
        <v>268</v>
      </c>
      <c r="B140" s="7" t="s">
        <v>269</v>
      </c>
      <c r="C140" s="8">
        <f>32110/1.13</f>
        <v>28415.929203539825</v>
      </c>
      <c r="D140" s="9">
        <f t="shared" si="9"/>
        <v>0</v>
      </c>
      <c r="E140" s="10">
        <f t="shared" si="14"/>
        <v>0</v>
      </c>
      <c r="F140" s="11"/>
      <c r="G140" s="23"/>
      <c r="H140" s="5"/>
      <c r="I140" s="8"/>
      <c r="J140" s="9"/>
      <c r="K140" s="10"/>
      <c r="M140" s="4">
        <f t="shared" si="15"/>
        <v>0</v>
      </c>
    </row>
    <row r="141" spans="1:13" ht="16.5" customHeight="1" x14ac:dyDescent="0.25">
      <c r="A141" s="14" t="s">
        <v>270</v>
      </c>
      <c r="B141" s="7" t="s">
        <v>271</v>
      </c>
      <c r="C141" s="8">
        <f>33580/1.13</f>
        <v>29716.814159292036</v>
      </c>
      <c r="D141" s="9">
        <f>M201*4</f>
        <v>0</v>
      </c>
      <c r="E141" s="10">
        <f t="shared" si="14"/>
        <v>0</v>
      </c>
      <c r="F141" s="11"/>
      <c r="G141" s="41"/>
      <c r="H141" s="13"/>
      <c r="I141" s="8"/>
      <c r="J141" s="9"/>
      <c r="K141" s="10"/>
      <c r="M141" s="4"/>
    </row>
    <row r="142" spans="1:13" ht="16.5" customHeight="1" x14ac:dyDescent="0.25">
      <c r="A142" s="14" t="s">
        <v>272</v>
      </c>
      <c r="B142" s="7" t="s">
        <v>273</v>
      </c>
      <c r="C142" s="8">
        <v>45132</v>
      </c>
      <c r="D142" s="9">
        <f t="shared" ref="D142" si="18">M142</f>
        <v>0</v>
      </c>
      <c r="E142" s="10">
        <f>C142*D142</f>
        <v>0</v>
      </c>
      <c r="F142" s="11"/>
      <c r="G142" s="41"/>
      <c r="H142" s="13"/>
      <c r="I142" s="8"/>
      <c r="J142" s="9"/>
      <c r="K142" s="10"/>
      <c r="M142" s="4"/>
    </row>
    <row r="143" spans="1:13" s="4" customFormat="1" ht="16.5" customHeight="1" x14ac:dyDescent="0.25">
      <c r="A143" s="6" t="s">
        <v>274</v>
      </c>
      <c r="B143" s="7" t="s">
        <v>275</v>
      </c>
      <c r="C143" s="8">
        <v>2394.6210000000001</v>
      </c>
      <c r="D143" s="9">
        <f t="shared" si="9"/>
        <v>0</v>
      </c>
      <c r="E143" s="10">
        <f t="shared" si="14"/>
        <v>0</v>
      </c>
      <c r="F143" s="11"/>
      <c r="G143" s="12">
        <v>1762297</v>
      </c>
      <c r="H143" s="13" t="s">
        <v>276</v>
      </c>
      <c r="I143" s="8">
        <v>2312.52</v>
      </c>
      <c r="J143" s="9">
        <f t="shared" ref="J143:J212" si="19">M143</f>
        <v>0</v>
      </c>
      <c r="K143" s="10">
        <f t="shared" ref="K143:K212" si="20">I143*J143</f>
        <v>0</v>
      </c>
      <c r="M143" s="4">
        <f t="shared" si="15"/>
        <v>0</v>
      </c>
    </row>
    <row r="144" spans="1:13" s="4" customFormat="1" ht="16.5" customHeight="1" x14ac:dyDescent="0.25">
      <c r="A144" s="6" t="s">
        <v>277</v>
      </c>
      <c r="B144" s="7" t="s">
        <v>278</v>
      </c>
      <c r="C144" s="8">
        <v>2776.92</v>
      </c>
      <c r="D144" s="9">
        <f t="shared" si="9"/>
        <v>0</v>
      </c>
      <c r="E144" s="10">
        <f t="shared" si="14"/>
        <v>0</v>
      </c>
      <c r="F144" s="11"/>
      <c r="G144" s="12">
        <v>1762298</v>
      </c>
      <c r="H144" s="13" t="s">
        <v>279</v>
      </c>
      <c r="I144" s="8">
        <v>2613.87</v>
      </c>
      <c r="J144" s="9">
        <f t="shared" si="19"/>
        <v>0</v>
      </c>
      <c r="K144" s="10">
        <f t="shared" si="20"/>
        <v>0</v>
      </c>
      <c r="M144" s="4">
        <f t="shared" si="15"/>
        <v>0</v>
      </c>
    </row>
    <row r="145" spans="1:13" s="4" customFormat="1" ht="16.5" customHeight="1" x14ac:dyDescent="0.25">
      <c r="A145" s="6"/>
      <c r="B145" s="7"/>
      <c r="C145" s="8"/>
      <c r="D145" s="9"/>
      <c r="E145" s="10"/>
      <c r="F145" s="11"/>
      <c r="G145" s="12">
        <v>1762299</v>
      </c>
      <c r="H145" s="13" t="s">
        <v>280</v>
      </c>
      <c r="I145" s="8">
        <v>3206.89</v>
      </c>
      <c r="J145" s="9">
        <f t="shared" si="19"/>
        <v>0</v>
      </c>
      <c r="K145" s="10">
        <f t="shared" si="20"/>
        <v>0</v>
      </c>
      <c r="M145" s="4">
        <f t="shared" si="15"/>
        <v>0</v>
      </c>
    </row>
    <row r="146" spans="1:13" s="4" customFormat="1" ht="16.5" customHeight="1" x14ac:dyDescent="0.25">
      <c r="A146" s="6" t="s">
        <v>281</v>
      </c>
      <c r="B146" s="7" t="s">
        <v>282</v>
      </c>
      <c r="C146" s="8">
        <v>3591.482</v>
      </c>
      <c r="D146" s="9">
        <f t="shared" si="9"/>
        <v>0</v>
      </c>
      <c r="E146" s="10">
        <f t="shared" si="14"/>
        <v>0</v>
      </c>
      <c r="F146" s="11"/>
      <c r="G146" s="12">
        <v>1762300</v>
      </c>
      <c r="H146" s="13" t="s">
        <v>283</v>
      </c>
      <c r="I146" s="8">
        <v>3496.57</v>
      </c>
      <c r="J146" s="9">
        <f t="shared" si="19"/>
        <v>0</v>
      </c>
      <c r="K146" s="10">
        <f t="shared" si="20"/>
        <v>0</v>
      </c>
      <c r="M146" s="4">
        <f t="shared" si="15"/>
        <v>0</v>
      </c>
    </row>
    <row r="147" spans="1:13" s="4" customFormat="1" ht="16.5" customHeight="1" x14ac:dyDescent="0.25">
      <c r="A147" s="14" t="s">
        <v>270</v>
      </c>
      <c r="B147" s="18" t="s">
        <v>284</v>
      </c>
      <c r="C147" s="8">
        <f>8407.5/1.13</f>
        <v>7440.2654867256642</v>
      </c>
      <c r="D147" s="9">
        <f t="shared" si="9"/>
        <v>0</v>
      </c>
      <c r="E147" s="10">
        <f t="shared" si="14"/>
        <v>0</v>
      </c>
      <c r="F147" s="11"/>
      <c r="G147" s="12"/>
      <c r="H147" s="13"/>
      <c r="I147" s="8"/>
      <c r="J147" s="9"/>
      <c r="K147" s="10"/>
    </row>
    <row r="148" spans="1:13" s="4" customFormat="1" ht="16.5" customHeight="1" x14ac:dyDescent="0.25">
      <c r="A148" s="14" t="s">
        <v>285</v>
      </c>
      <c r="B148" s="18" t="s">
        <v>286</v>
      </c>
      <c r="C148" s="8">
        <f>7707.19/1.13</f>
        <v>6820.5221238938057</v>
      </c>
      <c r="D148" s="9"/>
      <c r="E148" s="10"/>
      <c r="F148" s="11"/>
      <c r="G148" s="12"/>
      <c r="H148" s="13"/>
      <c r="I148" s="8"/>
      <c r="J148" s="9"/>
      <c r="K148" s="10"/>
    </row>
    <row r="149" spans="1:13" s="4" customFormat="1" ht="16.5" customHeight="1" x14ac:dyDescent="0.25">
      <c r="A149" s="6" t="s">
        <v>287</v>
      </c>
      <c r="B149" s="7" t="s">
        <v>288</v>
      </c>
      <c r="C149" s="8">
        <v>6285.11</v>
      </c>
      <c r="D149" s="9">
        <f t="shared" si="9"/>
        <v>0</v>
      </c>
      <c r="E149" s="10">
        <f t="shared" si="14"/>
        <v>0</v>
      </c>
      <c r="F149" s="11"/>
      <c r="G149" s="12">
        <v>1762301</v>
      </c>
      <c r="H149" s="13" t="s">
        <v>289</v>
      </c>
      <c r="I149" s="8">
        <v>6160.82</v>
      </c>
      <c r="J149" s="9">
        <f t="shared" si="19"/>
        <v>0</v>
      </c>
      <c r="K149" s="10">
        <f t="shared" si="20"/>
        <v>0</v>
      </c>
      <c r="M149" s="4">
        <f t="shared" si="15"/>
        <v>0</v>
      </c>
    </row>
    <row r="150" spans="1:13" s="4" customFormat="1" ht="16.5" customHeight="1" x14ac:dyDescent="0.25">
      <c r="A150" s="14" t="s">
        <v>191</v>
      </c>
      <c r="B150" s="7" t="s">
        <v>290</v>
      </c>
      <c r="C150" s="8">
        <f>7321.83/1.13</f>
        <v>6479.4955752212391</v>
      </c>
      <c r="D150" s="9">
        <f>M150</f>
        <v>0</v>
      </c>
      <c r="E150" s="10">
        <f t="shared" si="14"/>
        <v>0</v>
      </c>
      <c r="F150" s="11"/>
      <c r="G150" s="12"/>
      <c r="H150" s="13"/>
      <c r="I150" s="8"/>
      <c r="J150" s="9"/>
      <c r="K150" s="10"/>
    </row>
    <row r="151" spans="1:13" s="4" customFormat="1" ht="16.5" customHeight="1" x14ac:dyDescent="0.25">
      <c r="A151" s="14" t="s">
        <v>72</v>
      </c>
      <c r="B151" s="7" t="s">
        <v>291</v>
      </c>
      <c r="C151" s="31">
        <f>12160/1.13</f>
        <v>10761.061946902655</v>
      </c>
      <c r="D151" s="9">
        <v>0</v>
      </c>
      <c r="E151" s="10">
        <f t="shared" si="14"/>
        <v>0</v>
      </c>
      <c r="F151" s="11"/>
      <c r="G151" s="12"/>
      <c r="H151" s="13"/>
      <c r="I151" s="8"/>
      <c r="J151" s="9"/>
      <c r="K151" s="10"/>
    </row>
    <row r="152" spans="1:13" s="4" customFormat="1" ht="16.5" customHeight="1" x14ac:dyDescent="0.25">
      <c r="A152" s="14" t="s">
        <v>72</v>
      </c>
      <c r="B152" s="18" t="s">
        <v>292</v>
      </c>
      <c r="C152" s="31">
        <f>12160/1.13</f>
        <v>10761.061946902655</v>
      </c>
      <c r="D152" s="9"/>
      <c r="E152" s="10"/>
      <c r="F152" s="11"/>
      <c r="G152" s="12"/>
      <c r="H152" s="13"/>
      <c r="I152" s="8"/>
      <c r="J152" s="9"/>
      <c r="K152" s="10"/>
    </row>
    <row r="153" spans="1:13" s="4" customFormat="1" ht="16.5" customHeight="1" x14ac:dyDescent="0.25">
      <c r="A153" s="6" t="s">
        <v>293</v>
      </c>
      <c r="B153" s="7" t="s">
        <v>294</v>
      </c>
      <c r="C153" s="8">
        <v>9296.5490000000009</v>
      </c>
      <c r="D153" s="9">
        <f t="shared" ref="D153:D278" si="21">M153</f>
        <v>0</v>
      </c>
      <c r="E153" s="10">
        <f t="shared" si="14"/>
        <v>0</v>
      </c>
      <c r="F153" s="11"/>
      <c r="G153" s="12">
        <v>1762302</v>
      </c>
      <c r="H153" s="13" t="s">
        <v>295</v>
      </c>
      <c r="I153" s="8">
        <v>9410.94</v>
      </c>
      <c r="J153" s="9">
        <f t="shared" si="19"/>
        <v>0</v>
      </c>
      <c r="K153" s="10">
        <f t="shared" si="20"/>
        <v>0</v>
      </c>
      <c r="M153" s="4">
        <f t="shared" si="15"/>
        <v>0</v>
      </c>
    </row>
    <row r="154" spans="1:13" s="4" customFormat="1" ht="16.5" customHeight="1" x14ac:dyDescent="0.25">
      <c r="A154" s="14" t="s">
        <v>296</v>
      </c>
      <c r="B154" s="7" t="s">
        <v>297</v>
      </c>
      <c r="C154" s="8">
        <f>16180/1.13</f>
        <v>14318.584070796462</v>
      </c>
      <c r="D154" s="9">
        <f t="shared" si="21"/>
        <v>0</v>
      </c>
      <c r="E154" s="10">
        <f t="shared" si="14"/>
        <v>0</v>
      </c>
      <c r="F154" s="11"/>
      <c r="G154" s="1"/>
      <c r="H154" s="48"/>
      <c r="I154" s="8"/>
      <c r="J154" s="9"/>
      <c r="K154" s="10"/>
      <c r="M154" s="4">
        <f t="shared" si="15"/>
        <v>0</v>
      </c>
    </row>
    <row r="155" spans="1:13" s="4" customFormat="1" ht="16.5" customHeight="1" x14ac:dyDescent="0.25">
      <c r="A155" s="14" t="s">
        <v>296</v>
      </c>
      <c r="B155" s="7" t="s">
        <v>298</v>
      </c>
      <c r="C155" s="8">
        <f>21190/1.13</f>
        <v>18752.212389380533</v>
      </c>
      <c r="D155" s="9">
        <f t="shared" si="21"/>
        <v>0</v>
      </c>
      <c r="E155" s="10">
        <f t="shared" si="14"/>
        <v>0</v>
      </c>
      <c r="F155" s="11"/>
      <c r="G155" s="23"/>
      <c r="H155" s="5"/>
      <c r="I155" s="8"/>
      <c r="J155" s="9"/>
      <c r="K155" s="10"/>
      <c r="M155" s="4">
        <f t="shared" si="15"/>
        <v>0</v>
      </c>
    </row>
    <row r="156" spans="1:13" s="4" customFormat="1" ht="16.5" customHeight="1" x14ac:dyDescent="0.25">
      <c r="A156" s="6" t="s">
        <v>299</v>
      </c>
      <c r="B156" s="7" t="s">
        <v>300</v>
      </c>
      <c r="C156" s="8">
        <v>13015.168</v>
      </c>
      <c r="D156" s="9">
        <f t="shared" si="21"/>
        <v>0</v>
      </c>
      <c r="E156" s="10">
        <f t="shared" si="14"/>
        <v>0</v>
      </c>
      <c r="F156" s="11"/>
      <c r="G156" s="12">
        <v>1762303</v>
      </c>
      <c r="H156" s="13" t="s">
        <v>301</v>
      </c>
      <c r="I156" s="8">
        <v>12927.58</v>
      </c>
      <c r="J156" s="9">
        <f t="shared" si="19"/>
        <v>0</v>
      </c>
      <c r="K156" s="10">
        <f t="shared" si="20"/>
        <v>0</v>
      </c>
      <c r="M156" s="4">
        <f t="shared" si="15"/>
        <v>0</v>
      </c>
    </row>
    <row r="157" spans="1:13" s="4" customFormat="1" ht="16.5" customHeight="1" x14ac:dyDescent="0.25">
      <c r="A157" s="14" t="s">
        <v>296</v>
      </c>
      <c r="B157" s="7" t="s">
        <v>302</v>
      </c>
      <c r="C157" s="8">
        <f>23105/1.13</f>
        <v>20446.902654867259</v>
      </c>
      <c r="D157" s="9">
        <f t="shared" si="21"/>
        <v>0</v>
      </c>
      <c r="E157" s="10">
        <f t="shared" si="14"/>
        <v>0</v>
      </c>
      <c r="F157" s="11"/>
      <c r="G157" s="23"/>
      <c r="H157" s="5"/>
      <c r="I157" s="8"/>
      <c r="J157" s="9"/>
      <c r="K157" s="10"/>
      <c r="M157" s="4">
        <f t="shared" si="15"/>
        <v>0</v>
      </c>
    </row>
    <row r="158" spans="1:13" s="4" customFormat="1" ht="16.5" customHeight="1" x14ac:dyDescent="0.25">
      <c r="A158" s="6" t="s">
        <v>303</v>
      </c>
      <c r="B158" s="7" t="s">
        <v>304</v>
      </c>
      <c r="C158" s="8">
        <v>13872.941999999999</v>
      </c>
      <c r="D158" s="9">
        <f t="shared" si="21"/>
        <v>0</v>
      </c>
      <c r="E158" s="10">
        <f t="shared" si="14"/>
        <v>0</v>
      </c>
      <c r="F158" s="11"/>
      <c r="G158" s="12">
        <v>1762304</v>
      </c>
      <c r="H158" s="13" t="s">
        <v>305</v>
      </c>
      <c r="I158" s="8">
        <v>13270.83</v>
      </c>
      <c r="J158" s="9">
        <f t="shared" si="19"/>
        <v>0</v>
      </c>
      <c r="K158" s="10">
        <f t="shared" si="20"/>
        <v>0</v>
      </c>
      <c r="M158" s="4">
        <f t="shared" si="15"/>
        <v>0</v>
      </c>
    </row>
    <row r="159" spans="1:13" s="4" customFormat="1" ht="16.5" customHeight="1" x14ac:dyDescent="0.25">
      <c r="A159" s="14" t="s">
        <v>285</v>
      </c>
      <c r="B159" s="7" t="s">
        <v>306</v>
      </c>
      <c r="C159" s="8">
        <f>22356/1.13</f>
        <v>19784.070796460179</v>
      </c>
      <c r="D159" s="9">
        <f t="shared" si="21"/>
        <v>0</v>
      </c>
      <c r="E159" s="10">
        <f t="shared" si="14"/>
        <v>0</v>
      </c>
      <c r="F159" s="11"/>
      <c r="G159" s="23"/>
      <c r="H159" s="5"/>
      <c r="I159" s="8"/>
      <c r="J159" s="9">
        <f t="shared" si="19"/>
        <v>0</v>
      </c>
      <c r="K159" s="10">
        <f t="shared" si="20"/>
        <v>0</v>
      </c>
      <c r="M159" s="4">
        <f t="shared" si="15"/>
        <v>0</v>
      </c>
    </row>
    <row r="160" spans="1:13" s="4" customFormat="1" ht="16.5" customHeight="1" x14ac:dyDescent="0.25">
      <c r="A160" s="14" t="s">
        <v>225</v>
      </c>
      <c r="B160" s="18" t="s">
        <v>307</v>
      </c>
      <c r="C160" s="8">
        <f>23560/1.13</f>
        <v>20849.557522123894</v>
      </c>
      <c r="D160" s="9">
        <f t="shared" si="21"/>
        <v>0</v>
      </c>
      <c r="E160" s="10">
        <f t="shared" si="14"/>
        <v>0</v>
      </c>
      <c r="F160" s="11"/>
      <c r="G160" s="14" t="s">
        <v>196</v>
      </c>
      <c r="H160" s="24" t="s">
        <v>308</v>
      </c>
      <c r="I160" s="8">
        <v>34513.269999999997</v>
      </c>
      <c r="J160" s="9">
        <f t="shared" si="19"/>
        <v>0</v>
      </c>
      <c r="K160" s="10">
        <f t="shared" si="20"/>
        <v>0</v>
      </c>
    </row>
    <row r="161" spans="1:13" s="4" customFormat="1" ht="16.5" customHeight="1" x14ac:dyDescent="0.25">
      <c r="A161" s="14" t="s">
        <v>72</v>
      </c>
      <c r="B161" s="18" t="s">
        <v>309</v>
      </c>
      <c r="C161" s="8">
        <f>32560/1.13</f>
        <v>28814.159292035401</v>
      </c>
      <c r="D161" s="9"/>
      <c r="E161" s="10"/>
      <c r="F161" s="11"/>
      <c r="G161" s="45"/>
      <c r="H161" s="24"/>
      <c r="I161" s="8"/>
      <c r="J161" s="9"/>
      <c r="K161" s="10"/>
    </row>
    <row r="162" spans="1:13" s="4" customFormat="1" ht="16.5" customHeight="1" x14ac:dyDescent="0.25">
      <c r="A162" s="14" t="s">
        <v>72</v>
      </c>
      <c r="B162" s="18" t="s">
        <v>310</v>
      </c>
      <c r="C162" s="8">
        <f>32560/1.13</f>
        <v>28814.159292035401</v>
      </c>
      <c r="D162" s="9"/>
      <c r="E162" s="10"/>
      <c r="F162" s="11"/>
      <c r="G162" s="45"/>
      <c r="H162" s="24"/>
      <c r="I162" s="8"/>
      <c r="J162" s="9"/>
      <c r="K162" s="10"/>
    </row>
    <row r="163" spans="1:13" s="4" customFormat="1" ht="16.5" customHeight="1" x14ac:dyDescent="0.25">
      <c r="A163" s="14" t="s">
        <v>311</v>
      </c>
      <c r="B163" s="18" t="s">
        <v>312</v>
      </c>
      <c r="C163" s="8">
        <f>33285/1.13</f>
        <v>29455.752212389383</v>
      </c>
      <c r="D163" s="9"/>
      <c r="E163" s="10"/>
      <c r="F163" s="11"/>
      <c r="G163" s="45"/>
      <c r="H163" s="24"/>
      <c r="I163" s="8"/>
      <c r="J163" s="9"/>
      <c r="K163" s="10"/>
    </row>
    <row r="164" spans="1:13" s="4" customFormat="1" ht="16.5" customHeight="1" x14ac:dyDescent="0.25">
      <c r="A164" s="14" t="s">
        <v>248</v>
      </c>
      <c r="B164" s="18" t="s">
        <v>313</v>
      </c>
      <c r="C164" s="8">
        <f>30233.75/1.13</f>
        <v>26755.530973451328</v>
      </c>
      <c r="D164" s="9">
        <f t="shared" si="21"/>
        <v>0</v>
      </c>
      <c r="E164" s="10">
        <f t="shared" si="14"/>
        <v>0</v>
      </c>
      <c r="F164" s="11"/>
      <c r="G164" s="6"/>
      <c r="H164" s="24"/>
      <c r="I164" s="8"/>
      <c r="J164" s="9"/>
      <c r="K164" s="10"/>
    </row>
    <row r="165" spans="1:13" s="4" customFormat="1" ht="16.5" customHeight="1" x14ac:dyDescent="0.25">
      <c r="A165" s="14" t="s">
        <v>184</v>
      </c>
      <c r="B165" s="7" t="s">
        <v>314</v>
      </c>
      <c r="C165" s="8">
        <f>37810/1.13</f>
        <v>33460.176991150445</v>
      </c>
      <c r="D165" s="9">
        <f t="shared" si="21"/>
        <v>0</v>
      </c>
      <c r="E165" s="10">
        <f t="shared" si="14"/>
        <v>0</v>
      </c>
      <c r="F165" s="11"/>
      <c r="G165" s="6"/>
      <c r="H165" s="13"/>
      <c r="I165" s="8"/>
      <c r="J165" s="9">
        <f t="shared" si="19"/>
        <v>0</v>
      </c>
      <c r="K165" s="10">
        <f t="shared" si="20"/>
        <v>0</v>
      </c>
      <c r="M165" s="4">
        <f t="shared" si="15"/>
        <v>0</v>
      </c>
    </row>
    <row r="166" spans="1:13" s="4" customFormat="1" ht="16.5" customHeight="1" x14ac:dyDescent="0.25">
      <c r="A166" s="14" t="s">
        <v>248</v>
      </c>
      <c r="B166" s="18" t="s">
        <v>315</v>
      </c>
      <c r="C166" s="8">
        <f>45103/1.13</f>
        <v>39914.159292035401</v>
      </c>
      <c r="D166" s="9">
        <f t="shared" si="21"/>
        <v>0</v>
      </c>
      <c r="E166" s="10">
        <f t="shared" si="14"/>
        <v>0</v>
      </c>
      <c r="F166" s="11"/>
      <c r="G166" s="6"/>
      <c r="H166" s="13"/>
      <c r="I166" s="8"/>
      <c r="J166" s="9"/>
      <c r="K166" s="10"/>
    </row>
    <row r="167" spans="1:13" s="4" customFormat="1" ht="16.5" customHeight="1" x14ac:dyDescent="0.25">
      <c r="A167" s="14" t="s">
        <v>316</v>
      </c>
      <c r="B167" s="7" t="s">
        <v>317</v>
      </c>
      <c r="C167" s="8">
        <f>46000/1.13</f>
        <v>40707.964601769912</v>
      </c>
      <c r="D167" s="9">
        <f t="shared" si="21"/>
        <v>0</v>
      </c>
      <c r="E167" s="10">
        <f t="shared" si="14"/>
        <v>0</v>
      </c>
      <c r="F167" s="11"/>
      <c r="G167" s="23"/>
      <c r="H167" s="5"/>
      <c r="I167" s="8"/>
      <c r="J167" s="9"/>
      <c r="K167" s="10"/>
      <c r="M167" s="4">
        <f t="shared" si="15"/>
        <v>0</v>
      </c>
    </row>
    <row r="168" spans="1:13" s="4" customFormat="1" ht="16.5" customHeight="1" x14ac:dyDescent="0.25">
      <c r="A168" s="14" t="s">
        <v>191</v>
      </c>
      <c r="B168" s="7" t="s">
        <v>318</v>
      </c>
      <c r="C168" s="8">
        <f>49980/1.13</f>
        <v>44230.088495575226</v>
      </c>
      <c r="D168" s="9">
        <f>M168</f>
        <v>0</v>
      </c>
      <c r="E168" s="10">
        <f t="shared" si="14"/>
        <v>0</v>
      </c>
      <c r="F168" s="11"/>
      <c r="G168" s="23"/>
      <c r="H168" s="5"/>
      <c r="I168" s="8"/>
      <c r="J168" s="9"/>
      <c r="K168" s="10"/>
    </row>
    <row r="169" spans="1:13" s="4" customFormat="1" ht="16.5" customHeight="1" x14ac:dyDescent="0.25">
      <c r="A169" s="14" t="s">
        <v>296</v>
      </c>
      <c r="B169" s="7" t="s">
        <v>319</v>
      </c>
      <c r="C169" s="8">
        <f>56700/1.13</f>
        <v>50176.991150442482</v>
      </c>
      <c r="D169" s="9">
        <f t="shared" si="21"/>
        <v>0</v>
      </c>
      <c r="E169" s="10">
        <f t="shared" si="14"/>
        <v>0</v>
      </c>
      <c r="F169" s="11"/>
      <c r="G169" s="23"/>
      <c r="H169" s="5"/>
      <c r="I169" s="8"/>
      <c r="J169" s="9"/>
      <c r="K169" s="10"/>
      <c r="M169" s="4">
        <f t="shared" si="15"/>
        <v>0</v>
      </c>
    </row>
    <row r="170" spans="1:13" s="4" customFormat="1" ht="16.5" customHeight="1" x14ac:dyDescent="0.25">
      <c r="A170" s="6" t="s">
        <v>320</v>
      </c>
      <c r="B170" s="7" t="s">
        <v>321</v>
      </c>
      <c r="C170" s="8">
        <v>44809.735000000001</v>
      </c>
      <c r="D170" s="9">
        <f>M170</f>
        <v>0</v>
      </c>
      <c r="E170" s="10">
        <f>C170*D170</f>
        <v>0</v>
      </c>
      <c r="F170" s="11"/>
      <c r="G170" s="12">
        <v>1762305</v>
      </c>
      <c r="H170" s="24" t="s">
        <v>322</v>
      </c>
      <c r="I170" s="8">
        <v>41301.39</v>
      </c>
      <c r="J170" s="9">
        <f>M170</f>
        <v>0</v>
      </c>
      <c r="K170" s="10">
        <f>I170*J170</f>
        <v>0</v>
      </c>
      <c r="M170" s="4">
        <f>SUM(N170:S170)</f>
        <v>0</v>
      </c>
    </row>
    <row r="171" spans="1:13" s="4" customFormat="1" ht="16.5" customHeight="1" x14ac:dyDescent="0.25">
      <c r="A171" s="14" t="s">
        <v>72</v>
      </c>
      <c r="B171" s="7" t="s">
        <v>323</v>
      </c>
      <c r="C171" s="8">
        <f>1105.8/1.13</f>
        <v>978.5840707964602</v>
      </c>
      <c r="D171" s="9"/>
      <c r="E171" s="10"/>
      <c r="F171" s="11"/>
      <c r="G171" s="49"/>
      <c r="H171" s="13"/>
      <c r="I171" s="8"/>
      <c r="J171" s="9"/>
      <c r="K171" s="10"/>
    </row>
    <row r="172" spans="1:13" s="4" customFormat="1" ht="16.5" customHeight="1" x14ac:dyDescent="0.25">
      <c r="A172" s="14" t="s">
        <v>324</v>
      </c>
      <c r="B172" s="7" t="s">
        <v>325</v>
      </c>
      <c r="C172" s="8">
        <f>11250/1.13</f>
        <v>9955.7522123893814</v>
      </c>
      <c r="D172" s="9">
        <f>M172*2</f>
        <v>0</v>
      </c>
      <c r="E172" s="10">
        <f t="shared" ref="E172" si="22">C172*D172</f>
        <v>0</v>
      </c>
      <c r="F172" s="11"/>
      <c r="G172" s="50"/>
      <c r="H172" s="13"/>
      <c r="I172" s="8"/>
      <c r="J172" s="9"/>
      <c r="K172" s="10"/>
    </row>
    <row r="173" spans="1:13" s="4" customFormat="1" ht="16.5" customHeight="1" x14ac:dyDescent="0.25">
      <c r="A173" s="14" t="s">
        <v>196</v>
      </c>
      <c r="B173" s="26" t="s">
        <v>326</v>
      </c>
      <c r="C173" s="8">
        <f>14060/1.13</f>
        <v>12442.477876106195</v>
      </c>
      <c r="D173" s="9">
        <f>M173*4</f>
        <v>0</v>
      </c>
      <c r="E173" s="10">
        <f>C173*D173</f>
        <v>0</v>
      </c>
      <c r="F173" s="11"/>
      <c r="G173" s="14" t="s">
        <v>196</v>
      </c>
      <c r="H173" s="24" t="s">
        <v>327</v>
      </c>
      <c r="I173" s="8">
        <v>53982.93</v>
      </c>
      <c r="J173" s="9">
        <f>M173</f>
        <v>0</v>
      </c>
      <c r="K173" s="10">
        <f>I173*J173</f>
        <v>0</v>
      </c>
    </row>
    <row r="174" spans="1:13" s="4" customFormat="1" ht="16.5" customHeight="1" x14ac:dyDescent="0.25">
      <c r="A174" s="14" t="s">
        <v>328</v>
      </c>
      <c r="B174" s="7" t="s">
        <v>329</v>
      </c>
      <c r="C174" s="8">
        <f>12920/1.13</f>
        <v>11433.628318584071</v>
      </c>
      <c r="D174" s="9">
        <f>M174*2</f>
        <v>0</v>
      </c>
      <c r="E174" s="10">
        <f>C174*D174</f>
        <v>0</v>
      </c>
      <c r="F174" s="11"/>
      <c r="G174" s="23"/>
      <c r="H174" s="24"/>
      <c r="I174" s="8"/>
      <c r="J174" s="9"/>
      <c r="K174" s="10"/>
    </row>
    <row r="175" spans="1:13" s="4" customFormat="1" ht="16.5" customHeight="1" x14ac:dyDescent="0.25">
      <c r="A175" s="6" t="s">
        <v>330</v>
      </c>
      <c r="B175" s="7" t="s">
        <v>331</v>
      </c>
      <c r="C175" s="8">
        <v>9079.6460000000006</v>
      </c>
      <c r="D175" s="9">
        <f t="shared" si="21"/>
        <v>0</v>
      </c>
      <c r="E175" s="10">
        <f t="shared" si="14"/>
        <v>0</v>
      </c>
      <c r="F175" s="11"/>
      <c r="G175" s="23"/>
      <c r="H175" s="5"/>
      <c r="I175" s="8"/>
      <c r="J175" s="9"/>
      <c r="K175" s="10"/>
    </row>
    <row r="176" spans="1:13" s="4" customFormat="1" ht="16.5" customHeight="1" x14ac:dyDescent="0.25">
      <c r="A176" s="6" t="s">
        <v>332</v>
      </c>
      <c r="B176" s="7" t="s">
        <v>333</v>
      </c>
      <c r="C176" s="8">
        <v>9482.4789999999994</v>
      </c>
      <c r="D176" s="9">
        <f t="shared" si="21"/>
        <v>0</v>
      </c>
      <c r="E176" s="10">
        <f t="shared" si="14"/>
        <v>0</v>
      </c>
      <c r="F176" s="11"/>
      <c r="G176" s="23"/>
      <c r="H176" s="5"/>
      <c r="I176" s="8"/>
      <c r="J176" s="9"/>
      <c r="K176" s="10"/>
    </row>
    <row r="177" spans="1:13" s="4" customFormat="1" ht="16.5" customHeight="1" x14ac:dyDescent="0.25">
      <c r="A177" s="6" t="s">
        <v>334</v>
      </c>
      <c r="B177" s="7" t="s">
        <v>335</v>
      </c>
      <c r="C177" s="8">
        <f>13509/1.13</f>
        <v>11954.86725663717</v>
      </c>
      <c r="D177" s="9"/>
      <c r="E177" s="10"/>
      <c r="F177" s="11"/>
      <c r="G177" s="23"/>
      <c r="H177" s="5"/>
      <c r="I177" s="8"/>
      <c r="J177" s="9"/>
      <c r="K177" s="10"/>
    </row>
    <row r="178" spans="1:13" s="4" customFormat="1" ht="16.5" customHeight="1" x14ac:dyDescent="0.25">
      <c r="A178" s="14" t="s">
        <v>296</v>
      </c>
      <c r="B178" s="7" t="s">
        <v>336</v>
      </c>
      <c r="C178" s="8">
        <f>16895/1.13</f>
        <v>14951.327433628319</v>
      </c>
      <c r="D178" s="9">
        <f t="shared" si="21"/>
        <v>0</v>
      </c>
      <c r="E178" s="10">
        <f t="shared" si="14"/>
        <v>0</v>
      </c>
      <c r="F178" s="11"/>
      <c r="G178" s="23"/>
      <c r="H178" s="5"/>
      <c r="I178" s="8"/>
      <c r="J178" s="9"/>
      <c r="K178" s="10"/>
      <c r="M178" s="4">
        <f t="shared" si="15"/>
        <v>0</v>
      </c>
    </row>
    <row r="179" spans="1:13" s="4" customFormat="1" ht="16.5" customHeight="1" x14ac:dyDescent="0.25">
      <c r="A179" s="14" t="s">
        <v>296</v>
      </c>
      <c r="B179" s="7" t="s">
        <v>337</v>
      </c>
      <c r="C179" s="8">
        <f>19190/1.13</f>
        <v>16982.300884955755</v>
      </c>
      <c r="D179" s="9">
        <f t="shared" si="21"/>
        <v>0</v>
      </c>
      <c r="E179" s="10">
        <f t="shared" si="14"/>
        <v>0</v>
      </c>
      <c r="F179" s="11"/>
      <c r="G179" s="23"/>
      <c r="H179" s="5"/>
      <c r="I179" s="8"/>
      <c r="J179" s="9"/>
      <c r="K179" s="10"/>
      <c r="M179" s="4">
        <f t="shared" si="15"/>
        <v>0</v>
      </c>
    </row>
    <row r="180" spans="1:13" s="4" customFormat="1" ht="16.5" customHeight="1" x14ac:dyDescent="0.25">
      <c r="A180" s="14" t="s">
        <v>191</v>
      </c>
      <c r="B180" s="7" t="s">
        <v>338</v>
      </c>
      <c r="C180" s="8">
        <f>20580/1.13</f>
        <v>18212.389380530974</v>
      </c>
      <c r="D180" s="9">
        <f>M180*2</f>
        <v>0</v>
      </c>
      <c r="E180" s="10">
        <f t="shared" si="14"/>
        <v>0</v>
      </c>
      <c r="F180" s="11"/>
      <c r="G180" s="23"/>
      <c r="H180" s="5"/>
      <c r="I180" s="8"/>
      <c r="J180" s="9"/>
      <c r="K180" s="10"/>
    </row>
    <row r="181" spans="1:13" ht="16.5" customHeight="1" x14ac:dyDescent="0.25">
      <c r="A181" s="14" t="s">
        <v>339</v>
      </c>
      <c r="B181" s="7" t="s">
        <v>340</v>
      </c>
      <c r="C181" s="8">
        <f>16850/1.13</f>
        <v>14911.504424778763</v>
      </c>
      <c r="D181" s="9">
        <f t="shared" si="21"/>
        <v>0</v>
      </c>
      <c r="E181" s="10">
        <f t="shared" si="14"/>
        <v>0</v>
      </c>
      <c r="F181" s="11"/>
      <c r="G181" s="41"/>
      <c r="H181" s="13"/>
      <c r="I181" s="8"/>
      <c r="J181" s="9"/>
      <c r="K181" s="10"/>
      <c r="M181" s="4">
        <f t="shared" si="15"/>
        <v>0</v>
      </c>
    </row>
    <row r="182" spans="1:13" ht="16.5" customHeight="1" x14ac:dyDescent="0.25">
      <c r="A182" s="14" t="s">
        <v>341</v>
      </c>
      <c r="B182" s="7" t="s">
        <v>342</v>
      </c>
      <c r="C182" s="8">
        <f>19980/1.13</f>
        <v>17681.41592920354</v>
      </c>
      <c r="D182" s="9">
        <f>M182*2</f>
        <v>0</v>
      </c>
      <c r="E182" s="10">
        <f t="shared" si="14"/>
        <v>0</v>
      </c>
      <c r="F182" s="11"/>
      <c r="G182" s="41"/>
      <c r="H182" s="13"/>
      <c r="I182" s="8"/>
      <c r="J182" s="9"/>
      <c r="K182" s="10"/>
      <c r="M182" s="4">
        <f t="shared" si="15"/>
        <v>0</v>
      </c>
    </row>
    <row r="183" spans="1:13" ht="16.5" customHeight="1" x14ac:dyDescent="0.35">
      <c r="A183" s="6">
        <v>1794785</v>
      </c>
      <c r="B183" s="7" t="s">
        <v>343</v>
      </c>
      <c r="C183" s="8">
        <v>18593.098000000002</v>
      </c>
      <c r="D183" s="9">
        <f>M183*2</f>
        <v>0</v>
      </c>
      <c r="E183" s="10">
        <f t="shared" si="14"/>
        <v>0</v>
      </c>
      <c r="F183" s="11"/>
      <c r="G183" s="41"/>
      <c r="H183" s="13"/>
      <c r="I183" s="8"/>
      <c r="J183" s="9"/>
      <c r="K183" s="10"/>
      <c r="M183" s="4"/>
    </row>
    <row r="184" spans="1:13" ht="16.5" customHeight="1" x14ac:dyDescent="0.25">
      <c r="A184" s="14" t="s">
        <v>344</v>
      </c>
      <c r="B184" s="7" t="s">
        <v>345</v>
      </c>
      <c r="C184" s="8">
        <f>22800/1.13</f>
        <v>20176.991150442478</v>
      </c>
      <c r="D184" s="9">
        <f>M203*4</f>
        <v>0</v>
      </c>
      <c r="E184" s="10">
        <f>C184*D184</f>
        <v>0</v>
      </c>
      <c r="F184" s="11"/>
      <c r="G184" s="41"/>
      <c r="H184" s="13"/>
      <c r="I184" s="8"/>
      <c r="J184" s="9"/>
      <c r="K184" s="10"/>
      <c r="M184" s="4"/>
    </row>
    <row r="185" spans="1:13" ht="16.5" customHeight="1" x14ac:dyDescent="0.25">
      <c r="A185" s="14" t="s">
        <v>268</v>
      </c>
      <c r="B185" s="7" t="s">
        <v>346</v>
      </c>
      <c r="C185" s="8">
        <f>25800/1.13</f>
        <v>22831.85840707965</v>
      </c>
      <c r="D185" s="9">
        <f>M185*2</f>
        <v>0</v>
      </c>
      <c r="E185" s="10">
        <f t="shared" ref="E185" si="23">C185*D185</f>
        <v>0</v>
      </c>
      <c r="F185" s="11"/>
      <c r="G185" s="41"/>
      <c r="H185" s="13"/>
      <c r="I185" s="8"/>
      <c r="J185" s="9"/>
      <c r="K185" s="10"/>
      <c r="M185" s="4"/>
    </row>
    <row r="186" spans="1:13" ht="16.5" customHeight="1" x14ac:dyDescent="0.25">
      <c r="A186" s="14" t="s">
        <v>253</v>
      </c>
      <c r="B186" s="7" t="s">
        <v>347</v>
      </c>
      <c r="C186" s="8">
        <f>28310/1.13</f>
        <v>25053.097345132745</v>
      </c>
      <c r="D186" s="9">
        <f>M186*4</f>
        <v>0</v>
      </c>
      <c r="E186" s="10">
        <f t="shared" si="14"/>
        <v>0</v>
      </c>
      <c r="F186" s="11"/>
      <c r="G186" s="41"/>
      <c r="H186" s="13"/>
      <c r="I186" s="8"/>
      <c r="J186" s="9"/>
      <c r="K186" s="10"/>
      <c r="M186" s="4"/>
    </row>
    <row r="187" spans="1:13" ht="16.5" customHeight="1" x14ac:dyDescent="0.25">
      <c r="A187" s="14" t="s">
        <v>328</v>
      </c>
      <c r="B187" s="7" t="s">
        <v>348</v>
      </c>
      <c r="C187" s="8">
        <f>18772/1.13</f>
        <v>16612.389380530974</v>
      </c>
      <c r="D187" s="9">
        <f>M187*8</f>
        <v>0</v>
      </c>
      <c r="E187" s="10">
        <f t="shared" si="14"/>
        <v>0</v>
      </c>
      <c r="F187" s="11"/>
      <c r="G187" s="41"/>
      <c r="H187" s="13"/>
      <c r="I187" s="8"/>
      <c r="J187" s="9"/>
      <c r="K187" s="10"/>
      <c r="M187" s="4"/>
    </row>
    <row r="188" spans="1:13" ht="16.5" customHeight="1" x14ac:dyDescent="0.25">
      <c r="A188" s="14" t="s">
        <v>328</v>
      </c>
      <c r="B188" s="7" t="s">
        <v>348</v>
      </c>
      <c r="C188" s="8">
        <f>18772/1.13</f>
        <v>16612.389380530974</v>
      </c>
      <c r="D188" s="9">
        <f>M188*4</f>
        <v>0</v>
      </c>
      <c r="E188" s="10">
        <f t="shared" si="14"/>
        <v>0</v>
      </c>
      <c r="F188" s="11"/>
      <c r="G188" s="41"/>
      <c r="H188" s="13"/>
      <c r="I188" s="8"/>
      <c r="J188" s="9"/>
      <c r="K188" s="10"/>
      <c r="M188" s="4"/>
    </row>
    <row r="189" spans="1:13" ht="16.5" customHeight="1" x14ac:dyDescent="0.25">
      <c r="A189" s="14" t="s">
        <v>349</v>
      </c>
      <c r="B189" s="7" t="s">
        <v>350</v>
      </c>
      <c r="C189" s="8">
        <f>22116/1.13</f>
        <v>19571.681415929204</v>
      </c>
      <c r="D189" s="9">
        <f t="shared" ref="D189" si="24">M189*4</f>
        <v>0</v>
      </c>
      <c r="E189" s="10">
        <f t="shared" si="14"/>
        <v>0</v>
      </c>
      <c r="F189" s="11"/>
      <c r="G189" s="41"/>
      <c r="H189" s="13"/>
      <c r="I189" s="8"/>
      <c r="J189" s="9"/>
      <c r="K189" s="10"/>
      <c r="M189" s="4"/>
    </row>
    <row r="190" spans="1:13" ht="16.5" customHeight="1" x14ac:dyDescent="0.25">
      <c r="A190" s="14" t="s">
        <v>349</v>
      </c>
      <c r="B190" s="7" t="s">
        <v>351</v>
      </c>
      <c r="C190" s="8">
        <f>19494/1.13</f>
        <v>17251.327433628321</v>
      </c>
      <c r="D190" s="9">
        <f>M190*2</f>
        <v>0</v>
      </c>
      <c r="E190" s="10">
        <f t="shared" si="14"/>
        <v>0</v>
      </c>
      <c r="F190" s="11"/>
      <c r="G190" s="41"/>
      <c r="H190" s="13"/>
      <c r="I190" s="8"/>
      <c r="J190" s="9"/>
      <c r="K190" s="10"/>
      <c r="M190" s="4"/>
    </row>
    <row r="191" spans="1:13" ht="16.5" customHeight="1" x14ac:dyDescent="0.25">
      <c r="A191" s="14" t="s">
        <v>352</v>
      </c>
      <c r="B191" s="7" t="s">
        <v>353</v>
      </c>
      <c r="C191" s="8">
        <f>30880/1.13</f>
        <v>27327.433628318588</v>
      </c>
      <c r="D191" s="9">
        <f>M191*8</f>
        <v>0</v>
      </c>
      <c r="E191" s="10">
        <f t="shared" si="14"/>
        <v>0</v>
      </c>
      <c r="F191" s="11"/>
      <c r="G191" s="41"/>
      <c r="H191" s="13"/>
      <c r="I191" s="8"/>
      <c r="J191" s="9"/>
      <c r="K191" s="10"/>
      <c r="M191" s="4"/>
    </row>
    <row r="192" spans="1:13" ht="16.5" customHeight="1" x14ac:dyDescent="0.25">
      <c r="A192" s="14" t="s">
        <v>191</v>
      </c>
      <c r="B192" s="7" t="s">
        <v>354</v>
      </c>
      <c r="C192" s="8">
        <f>31280/1.13</f>
        <v>27681.415929203544</v>
      </c>
      <c r="D192" s="9">
        <f>M192*4</f>
        <v>0</v>
      </c>
      <c r="E192" s="10">
        <f t="shared" si="14"/>
        <v>0</v>
      </c>
      <c r="F192" s="11"/>
      <c r="G192" s="41"/>
      <c r="H192" s="13"/>
      <c r="I192" s="8"/>
      <c r="J192" s="9"/>
      <c r="K192" s="10"/>
      <c r="M192" s="4"/>
    </row>
    <row r="193" spans="1:19" ht="16.5" customHeight="1" x14ac:dyDescent="0.25">
      <c r="A193" s="14" t="s">
        <v>324</v>
      </c>
      <c r="B193" s="7" t="s">
        <v>355</v>
      </c>
      <c r="C193" s="8">
        <f>33800/1.13</f>
        <v>29911.504424778763</v>
      </c>
      <c r="D193" s="9">
        <f>M193*2</f>
        <v>0</v>
      </c>
      <c r="E193" s="10">
        <f t="shared" si="14"/>
        <v>0</v>
      </c>
      <c r="F193" s="11"/>
      <c r="G193" s="41"/>
      <c r="H193" s="13"/>
      <c r="I193" s="8"/>
      <c r="J193" s="9"/>
      <c r="K193" s="10"/>
      <c r="M193" s="4"/>
    </row>
    <row r="194" spans="1:19" ht="16.5" customHeight="1" x14ac:dyDescent="0.25">
      <c r="A194" s="14" t="s">
        <v>352</v>
      </c>
      <c r="B194" s="7" t="s">
        <v>356</v>
      </c>
      <c r="C194" s="8">
        <f>28850/1.13</f>
        <v>25530.973451327434</v>
      </c>
      <c r="D194" s="9">
        <f>M194*4</f>
        <v>0</v>
      </c>
      <c r="E194" s="10">
        <f t="shared" si="14"/>
        <v>0</v>
      </c>
      <c r="F194" s="11"/>
      <c r="G194" s="41"/>
      <c r="H194" s="13"/>
      <c r="I194" s="8"/>
      <c r="J194" s="9"/>
      <c r="K194" s="10"/>
      <c r="M194" s="4"/>
    </row>
    <row r="195" spans="1:19" ht="16.5" customHeight="1" x14ac:dyDescent="0.3">
      <c r="A195" s="41"/>
      <c r="B195" s="51" t="s">
        <v>357</v>
      </c>
      <c r="C195" s="8"/>
      <c r="D195" s="9"/>
      <c r="E195" s="10"/>
      <c r="F195" s="11"/>
      <c r="G195" s="41"/>
      <c r="H195" s="13"/>
      <c r="I195" s="8"/>
      <c r="J195" s="9"/>
      <c r="K195" s="10"/>
      <c r="M195" s="4"/>
    </row>
    <row r="196" spans="1:19" ht="16.5" customHeight="1" x14ac:dyDescent="0.25">
      <c r="A196" s="14" t="s">
        <v>266</v>
      </c>
      <c r="B196" s="7" t="s">
        <v>358</v>
      </c>
      <c r="C196" s="8">
        <f>32780/1.13</f>
        <v>29008.849557522128</v>
      </c>
      <c r="D196" s="9">
        <f>M196*2</f>
        <v>0</v>
      </c>
      <c r="E196" s="10">
        <f>C196*D196</f>
        <v>0</v>
      </c>
      <c r="F196" s="11"/>
      <c r="G196" s="41"/>
      <c r="H196" s="13"/>
      <c r="I196" s="8"/>
      <c r="J196" s="9"/>
      <c r="K196" s="10"/>
      <c r="M196" s="4">
        <f>SUM(N196:S196)</f>
        <v>0</v>
      </c>
    </row>
    <row r="197" spans="1:19" ht="16.5" customHeight="1" x14ac:dyDescent="0.25">
      <c r="A197" s="14" t="s">
        <v>324</v>
      </c>
      <c r="B197" s="7" t="s">
        <v>359</v>
      </c>
      <c r="C197" s="8">
        <f>35880/1.13</f>
        <v>31752.212389380533</v>
      </c>
      <c r="D197" s="9">
        <f>M201*4</f>
        <v>0</v>
      </c>
      <c r="E197" s="10">
        <f>C197*D197</f>
        <v>0</v>
      </c>
      <c r="F197" s="11"/>
      <c r="G197" s="41"/>
      <c r="H197" s="13"/>
      <c r="I197" s="8"/>
      <c r="J197" s="9"/>
      <c r="K197" s="10"/>
      <c r="M197" s="4"/>
    </row>
    <row r="198" spans="1:19" ht="16.5" customHeight="1" x14ac:dyDescent="0.25">
      <c r="A198" s="14" t="s">
        <v>270</v>
      </c>
      <c r="B198" s="7" t="s">
        <v>360</v>
      </c>
      <c r="C198" s="8">
        <f>35880/1.13</f>
        <v>31752.212389380533</v>
      </c>
      <c r="D198" s="9">
        <f>M203*4</f>
        <v>0</v>
      </c>
      <c r="E198" s="10">
        <f>C198*D198</f>
        <v>0</v>
      </c>
      <c r="F198" s="11"/>
      <c r="G198" s="41"/>
      <c r="H198" s="13"/>
      <c r="I198" s="8"/>
      <c r="J198" s="9"/>
      <c r="K198" s="10"/>
      <c r="M198" s="4"/>
    </row>
    <row r="199" spans="1:19" ht="16.5" customHeight="1" x14ac:dyDescent="0.25">
      <c r="A199" s="14" t="s">
        <v>270</v>
      </c>
      <c r="B199" s="7" t="s">
        <v>361</v>
      </c>
      <c r="C199" s="8">
        <f>31880/1.13</f>
        <v>28212.389380530974</v>
      </c>
      <c r="D199" s="9">
        <f>M202*4</f>
        <v>0</v>
      </c>
      <c r="E199" s="10">
        <f t="shared" ref="E199:E200" si="25">C199*D199</f>
        <v>0</v>
      </c>
      <c r="F199" s="11"/>
      <c r="G199" s="41"/>
      <c r="H199" s="13"/>
      <c r="I199" s="8"/>
      <c r="J199" s="9"/>
      <c r="K199" s="10"/>
      <c r="M199" s="4"/>
    </row>
    <row r="200" spans="1:19" ht="16.5" customHeight="1" x14ac:dyDescent="0.25">
      <c r="A200" s="14" t="s">
        <v>344</v>
      </c>
      <c r="B200" s="7" t="s">
        <v>362</v>
      </c>
      <c r="C200" s="8">
        <f>33880/1.13</f>
        <v>29982.300884955755</v>
      </c>
      <c r="D200" s="9">
        <f t="shared" ref="D200" si="26">M202*4</f>
        <v>0</v>
      </c>
      <c r="E200" s="10">
        <f t="shared" si="25"/>
        <v>0</v>
      </c>
      <c r="F200" s="11"/>
      <c r="G200" s="41"/>
      <c r="H200" s="13"/>
      <c r="I200" s="8"/>
      <c r="J200" s="9"/>
      <c r="K200" s="10"/>
      <c r="M200" s="4"/>
    </row>
    <row r="201" spans="1:19" ht="16.5" customHeight="1" x14ac:dyDescent="0.25">
      <c r="A201" s="14"/>
      <c r="B201" s="7"/>
      <c r="C201" s="8"/>
      <c r="D201" s="9"/>
      <c r="E201" s="10"/>
      <c r="F201" s="11"/>
      <c r="G201" s="41"/>
      <c r="H201" s="13"/>
      <c r="I201" s="8"/>
      <c r="J201" s="9"/>
      <c r="K201" s="10"/>
      <c r="M201" s="4">
        <f t="shared" si="15"/>
        <v>0</v>
      </c>
    </row>
    <row r="202" spans="1:19" ht="7.5" customHeight="1" x14ac:dyDescent="0.25">
      <c r="A202" s="27"/>
      <c r="B202" s="27"/>
      <c r="C202" s="27"/>
      <c r="D202" s="27"/>
      <c r="E202" s="28"/>
      <c r="F202" s="27"/>
      <c r="G202" s="28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</row>
    <row r="203" spans="1:19" ht="16.5" customHeight="1" x14ac:dyDescent="0.25">
      <c r="A203" s="41"/>
      <c r="B203" s="17" t="s">
        <v>363</v>
      </c>
      <c r="C203" s="8"/>
      <c r="D203" s="9"/>
      <c r="E203" s="10"/>
      <c r="F203" s="11"/>
      <c r="G203" s="41"/>
      <c r="H203" s="13"/>
      <c r="I203" s="8"/>
      <c r="J203" s="9"/>
      <c r="K203" s="10"/>
      <c r="M203" s="4"/>
    </row>
    <row r="204" spans="1:19" ht="16.5" customHeight="1" x14ac:dyDescent="0.25">
      <c r="A204" s="14" t="s">
        <v>364</v>
      </c>
      <c r="B204" s="17" t="s">
        <v>365</v>
      </c>
      <c r="C204" s="8">
        <f>955/1.13</f>
        <v>845.13274336283189</v>
      </c>
      <c r="D204" s="9">
        <f t="shared" ref="D204" si="27">M204</f>
        <v>0</v>
      </c>
      <c r="E204" s="10">
        <f t="shared" ref="E204" si="28">C204*D204</f>
        <v>0</v>
      </c>
      <c r="F204" s="11"/>
      <c r="G204" s="41"/>
      <c r="H204" s="13"/>
      <c r="I204" s="8"/>
      <c r="J204" s="9"/>
      <c r="K204" s="10"/>
      <c r="M204" s="4"/>
    </row>
    <row r="205" spans="1:19" ht="16.5" customHeight="1" x14ac:dyDescent="0.25">
      <c r="A205" s="14" t="s">
        <v>364</v>
      </c>
      <c r="B205" s="17" t="s">
        <v>366</v>
      </c>
      <c r="C205" s="8">
        <f>1020/1.13</f>
        <v>902.6548672566372</v>
      </c>
      <c r="D205" s="9">
        <f>M206</f>
        <v>0</v>
      </c>
      <c r="E205" s="10">
        <f>C205*D205</f>
        <v>0</v>
      </c>
      <c r="F205" s="11"/>
      <c r="G205" s="41"/>
      <c r="H205" s="13"/>
      <c r="I205" s="8"/>
      <c r="J205" s="9"/>
      <c r="K205" s="10"/>
      <c r="M205" s="4"/>
    </row>
    <row r="206" spans="1:19" ht="16.5" customHeight="1" x14ac:dyDescent="0.25">
      <c r="A206" s="41"/>
      <c r="B206" s="7"/>
      <c r="C206" s="8"/>
      <c r="D206" s="9"/>
      <c r="E206" s="10">
        <f t="shared" ref="E206:E213" si="29">C206*D206</f>
        <v>0</v>
      </c>
      <c r="F206" s="11"/>
      <c r="G206" s="14" t="s">
        <v>367</v>
      </c>
      <c r="H206" s="13" t="s">
        <v>368</v>
      </c>
      <c r="I206" s="8">
        <f>5000/1.13</f>
        <v>4424.7787610619471</v>
      </c>
      <c r="J206" s="9">
        <f t="shared" ref="J206" si="30">M206</f>
        <v>0</v>
      </c>
      <c r="K206" s="10">
        <f t="shared" ref="K206" si="31">I206*J206</f>
        <v>0</v>
      </c>
      <c r="M206" s="4"/>
    </row>
    <row r="207" spans="1:19" ht="16.5" customHeight="1" x14ac:dyDescent="0.25">
      <c r="A207" s="41"/>
      <c r="B207" s="7"/>
      <c r="C207" s="8"/>
      <c r="D207" s="9"/>
      <c r="E207" s="10">
        <f t="shared" si="29"/>
        <v>0</v>
      </c>
      <c r="F207" s="11"/>
      <c r="G207" s="41">
        <v>1762310</v>
      </c>
      <c r="H207" s="13" t="s">
        <v>369</v>
      </c>
      <c r="I207" s="8">
        <v>6053.1</v>
      </c>
      <c r="J207" s="9">
        <f t="shared" si="19"/>
        <v>0</v>
      </c>
      <c r="K207" s="10">
        <f t="shared" si="20"/>
        <v>0</v>
      </c>
      <c r="M207" s="4">
        <f t="shared" si="15"/>
        <v>0</v>
      </c>
    </row>
    <row r="208" spans="1:19" ht="16.5" customHeight="1" x14ac:dyDescent="0.25">
      <c r="A208" s="14" t="s">
        <v>173</v>
      </c>
      <c r="B208" s="7" t="s">
        <v>370</v>
      </c>
      <c r="C208" s="8">
        <f>9680/1.13</f>
        <v>8566.3716814159307</v>
      </c>
      <c r="D208" s="9">
        <f t="shared" ref="D208" si="32">M208</f>
        <v>0</v>
      </c>
      <c r="E208" s="10">
        <f t="shared" si="29"/>
        <v>0</v>
      </c>
      <c r="F208" s="11"/>
      <c r="G208" s="14" t="s">
        <v>367</v>
      </c>
      <c r="H208" s="13" t="s">
        <v>371</v>
      </c>
      <c r="I208" s="8">
        <f>8500/1.13</f>
        <v>7522.1238938053102</v>
      </c>
      <c r="J208" s="9">
        <f t="shared" si="19"/>
        <v>0</v>
      </c>
      <c r="K208" s="10">
        <f t="shared" si="20"/>
        <v>0</v>
      </c>
      <c r="M208" s="4">
        <f t="shared" si="15"/>
        <v>0</v>
      </c>
    </row>
    <row r="209" spans="1:13" ht="16.5" customHeight="1" x14ac:dyDescent="0.25">
      <c r="A209" s="41"/>
      <c r="B209" s="7"/>
      <c r="C209" s="8"/>
      <c r="D209" s="9"/>
      <c r="E209" s="10">
        <f t="shared" si="29"/>
        <v>0</v>
      </c>
      <c r="F209" s="11"/>
      <c r="G209" s="41">
        <v>1762311</v>
      </c>
      <c r="H209" s="13" t="s">
        <v>372</v>
      </c>
      <c r="I209" s="8">
        <v>11327.43</v>
      </c>
      <c r="J209" s="9">
        <f t="shared" si="19"/>
        <v>0</v>
      </c>
      <c r="K209" s="10">
        <f t="shared" si="20"/>
        <v>0</v>
      </c>
      <c r="M209" s="4">
        <f t="shared" si="15"/>
        <v>0</v>
      </c>
    </row>
    <row r="210" spans="1:13" ht="16.5" customHeight="1" x14ac:dyDescent="0.25">
      <c r="A210" s="41">
        <v>1802096</v>
      </c>
      <c r="B210" s="25" t="s">
        <v>373</v>
      </c>
      <c r="C210" s="8">
        <v>10591.15</v>
      </c>
      <c r="D210" s="9"/>
      <c r="E210" s="10">
        <f t="shared" si="29"/>
        <v>0</v>
      </c>
      <c r="F210" s="11"/>
      <c r="G210" s="41">
        <v>1762312</v>
      </c>
      <c r="H210" s="13" t="s">
        <v>374</v>
      </c>
      <c r="I210" s="8">
        <v>13451.33</v>
      </c>
      <c r="J210" s="9"/>
      <c r="K210" s="10"/>
      <c r="M210" s="4"/>
    </row>
    <row r="211" spans="1:13" ht="16.5" customHeight="1" x14ac:dyDescent="0.25">
      <c r="A211" s="14" t="s">
        <v>375</v>
      </c>
      <c r="B211" s="7" t="s">
        <v>376</v>
      </c>
      <c r="C211" s="8">
        <f>14960/1.13</f>
        <v>13238.938053097347</v>
      </c>
      <c r="D211" s="9">
        <f t="shared" si="21"/>
        <v>0</v>
      </c>
      <c r="E211" s="10">
        <f t="shared" si="29"/>
        <v>0</v>
      </c>
      <c r="F211" s="11"/>
      <c r="G211" s="14" t="s">
        <v>179</v>
      </c>
      <c r="H211" s="13" t="s">
        <v>377</v>
      </c>
      <c r="I211" s="8">
        <f>16340.82/1.13</f>
        <v>14460.902654867257</v>
      </c>
      <c r="J211" s="9">
        <f t="shared" si="19"/>
        <v>0</v>
      </c>
      <c r="K211" s="10">
        <f>I210*J211</f>
        <v>0</v>
      </c>
      <c r="M211" s="4">
        <f t="shared" si="15"/>
        <v>0</v>
      </c>
    </row>
    <row r="212" spans="1:13" ht="16.5" customHeight="1" x14ac:dyDescent="0.25">
      <c r="A212" s="41"/>
      <c r="B212" s="7"/>
      <c r="C212" s="8"/>
      <c r="D212" s="9"/>
      <c r="E212" s="10">
        <f t="shared" si="29"/>
        <v>0</v>
      </c>
      <c r="F212" s="11"/>
      <c r="G212" s="41">
        <v>1762313</v>
      </c>
      <c r="H212" s="13" t="s">
        <v>378</v>
      </c>
      <c r="I212" s="8">
        <v>18141.59</v>
      </c>
      <c r="J212" s="9">
        <f t="shared" si="19"/>
        <v>0</v>
      </c>
      <c r="K212" s="10">
        <f t="shared" si="20"/>
        <v>0</v>
      </c>
      <c r="M212" s="4">
        <f t="shared" si="15"/>
        <v>0</v>
      </c>
    </row>
    <row r="213" spans="1:13" ht="16.5" customHeight="1" x14ac:dyDescent="0.25">
      <c r="A213" s="14" t="s">
        <v>375</v>
      </c>
      <c r="B213" s="7" t="s">
        <v>379</v>
      </c>
      <c r="C213" s="8">
        <f>21760/1.13</f>
        <v>19256.637168141595</v>
      </c>
      <c r="D213" s="9">
        <f t="shared" ref="D213" si="33">M213</f>
        <v>0</v>
      </c>
      <c r="E213" s="10">
        <f t="shared" si="29"/>
        <v>0</v>
      </c>
      <c r="F213" s="11"/>
      <c r="G213" s="14" t="s">
        <v>179</v>
      </c>
      <c r="H213" s="13" t="s">
        <v>380</v>
      </c>
      <c r="I213" s="52">
        <f>26000/1.13</f>
        <v>23008.849557522128</v>
      </c>
      <c r="J213" s="53"/>
      <c r="K213" s="54"/>
      <c r="M213" s="4"/>
    </row>
    <row r="214" spans="1:13" ht="16.5" customHeight="1" x14ac:dyDescent="0.25">
      <c r="A214" s="14" t="s">
        <v>381</v>
      </c>
      <c r="B214" s="55" t="s">
        <v>382</v>
      </c>
      <c r="C214" s="52">
        <f>24960/1.13</f>
        <v>22088.495575221241</v>
      </c>
      <c r="D214" s="9">
        <f t="shared" si="21"/>
        <v>0</v>
      </c>
      <c r="E214" s="10">
        <f t="shared" si="14"/>
        <v>0</v>
      </c>
      <c r="F214" s="11"/>
      <c r="G214" s="56"/>
      <c r="H214" s="57"/>
      <c r="I214" s="52"/>
      <c r="J214" s="53"/>
      <c r="K214" s="54"/>
      <c r="M214" s="4"/>
    </row>
    <row r="215" spans="1:13" ht="16.5" customHeight="1" thickBot="1" x14ac:dyDescent="0.3">
      <c r="A215" s="58"/>
      <c r="B215" s="59"/>
      <c r="C215" s="60"/>
      <c r="D215" s="61"/>
      <c r="E215" s="62"/>
      <c r="F215" s="63"/>
      <c r="G215" s="58"/>
      <c r="H215" s="64"/>
      <c r="I215" s="60"/>
      <c r="J215" s="61"/>
      <c r="K215" s="62"/>
      <c r="M215" s="4">
        <f t="shared" si="15"/>
        <v>0</v>
      </c>
    </row>
    <row r="216" spans="1:13" ht="16.5" customHeight="1" x14ac:dyDescent="0.25">
      <c r="B216" s="65" t="s">
        <v>383</v>
      </c>
    </row>
    <row r="217" spans="1:13" ht="16.5" customHeight="1" x14ac:dyDescent="0.25">
      <c r="A217" s="14" t="s">
        <v>384</v>
      </c>
      <c r="B217" s="18" t="s">
        <v>385</v>
      </c>
      <c r="C217" s="8">
        <f>33580/1.13</f>
        <v>29716.814159292036</v>
      </c>
      <c r="D217" s="9">
        <f t="shared" ref="D217:D222" si="34">M217*4</f>
        <v>0</v>
      </c>
      <c r="E217" s="10">
        <f t="shared" ref="E217:E223" si="35">C217*D217</f>
        <v>0</v>
      </c>
      <c r="F217" s="66"/>
    </row>
    <row r="218" spans="1:13" ht="16.5" customHeight="1" x14ac:dyDescent="0.25">
      <c r="A218" s="14" t="s">
        <v>384</v>
      </c>
      <c r="B218" s="18" t="s">
        <v>386</v>
      </c>
      <c r="C218" s="8">
        <f>36880/1.13</f>
        <v>32637.168141592923</v>
      </c>
      <c r="D218" s="9">
        <f>M218*16</f>
        <v>0</v>
      </c>
      <c r="E218" s="10">
        <f t="shared" si="35"/>
        <v>0</v>
      </c>
      <c r="F218" s="67"/>
    </row>
    <row r="219" spans="1:13" ht="16.5" customHeight="1" x14ac:dyDescent="0.25">
      <c r="A219" s="14" t="s">
        <v>384</v>
      </c>
      <c r="B219" s="18" t="s">
        <v>387</v>
      </c>
      <c r="C219" s="8">
        <f>33900/1.13</f>
        <v>30000.000000000004</v>
      </c>
      <c r="D219" s="9">
        <f>M219*8</f>
        <v>0</v>
      </c>
      <c r="E219" s="10">
        <f t="shared" si="35"/>
        <v>0</v>
      </c>
      <c r="F219" s="67"/>
    </row>
    <row r="220" spans="1:13" ht="16.5" customHeight="1" x14ac:dyDescent="0.25">
      <c r="A220" s="14" t="s">
        <v>384</v>
      </c>
      <c r="B220" s="18" t="s">
        <v>388</v>
      </c>
      <c r="C220" s="8">
        <f>33500/1.13</f>
        <v>29646.017699115047</v>
      </c>
      <c r="D220" s="9">
        <f t="shared" si="34"/>
        <v>0</v>
      </c>
      <c r="E220" s="10">
        <f t="shared" si="35"/>
        <v>0</v>
      </c>
      <c r="F220" s="67"/>
    </row>
    <row r="221" spans="1:13" ht="16.5" customHeight="1" x14ac:dyDescent="0.25">
      <c r="A221" s="14" t="s">
        <v>384</v>
      </c>
      <c r="B221" s="18" t="s">
        <v>389</v>
      </c>
      <c r="C221" s="8">
        <f>34500/1.13</f>
        <v>30530.973451327438</v>
      </c>
      <c r="D221" s="9">
        <f>M221*2</f>
        <v>0</v>
      </c>
      <c r="E221" s="10">
        <f t="shared" si="35"/>
        <v>0</v>
      </c>
      <c r="F221" s="67"/>
    </row>
    <row r="222" spans="1:13" ht="16.5" customHeight="1" x14ac:dyDescent="0.25">
      <c r="A222" s="14" t="s">
        <v>384</v>
      </c>
      <c r="B222" s="18" t="s">
        <v>390</v>
      </c>
      <c r="C222" s="8">
        <f>122500/1.13</f>
        <v>108407.07964601771</v>
      </c>
      <c r="D222" s="9">
        <f t="shared" si="34"/>
        <v>0</v>
      </c>
      <c r="E222" s="10">
        <f t="shared" si="35"/>
        <v>0</v>
      </c>
      <c r="F222" s="68"/>
    </row>
    <row r="223" spans="1:13" ht="16.5" customHeight="1" x14ac:dyDescent="0.25">
      <c r="A223" s="14" t="s">
        <v>384</v>
      </c>
      <c r="B223" s="18" t="s">
        <v>391</v>
      </c>
      <c r="C223" s="8">
        <f>298500/1.13</f>
        <v>264159.29203539825</v>
      </c>
      <c r="D223" s="9">
        <f>M223*2</f>
        <v>0</v>
      </c>
      <c r="E223" s="10">
        <f t="shared" si="35"/>
        <v>0</v>
      </c>
      <c r="F223" s="68"/>
    </row>
    <row r="224" spans="1:13" ht="16.5" customHeight="1" x14ac:dyDescent="0.25">
      <c r="A224" s="14" t="s">
        <v>392</v>
      </c>
      <c r="B224" s="18" t="s">
        <v>393</v>
      </c>
      <c r="C224" s="10">
        <f>ROUNDUP(2660/1.13,2)</f>
        <v>2353.9900000000002</v>
      </c>
      <c r="D224" s="9">
        <f t="shared" ref="D224:D237" si="36">M224</f>
        <v>0</v>
      </c>
      <c r="E224" s="10">
        <f>C224*D224</f>
        <v>0</v>
      </c>
      <c r="G224" s="14" t="s">
        <v>392</v>
      </c>
      <c r="H224" s="18" t="s">
        <v>394</v>
      </c>
      <c r="I224" s="41">
        <f>ROUNDUP(1450/1.13,2)</f>
        <v>1283.19</v>
      </c>
      <c r="J224" s="9">
        <f t="shared" ref="J224:J237" si="37">M224</f>
        <v>0</v>
      </c>
      <c r="K224" s="10">
        <f t="shared" ref="K224:K238" si="38">I224*J224</f>
        <v>0</v>
      </c>
    </row>
    <row r="225" spans="1:11" ht="16.5" customHeight="1" x14ac:dyDescent="0.25">
      <c r="A225" s="14" t="s">
        <v>392</v>
      </c>
      <c r="B225" s="18" t="s">
        <v>395</v>
      </c>
      <c r="C225" s="10">
        <f>2992.5/1.13</f>
        <v>2648.2300884955753</v>
      </c>
      <c r="D225" s="9">
        <f t="shared" si="36"/>
        <v>0</v>
      </c>
      <c r="E225" s="10">
        <f t="shared" ref="E225:E237" si="39">C225*D225</f>
        <v>0</v>
      </c>
      <c r="G225" s="14" t="s">
        <v>392</v>
      </c>
      <c r="H225" s="18" t="s">
        <v>396</v>
      </c>
      <c r="I225" s="41">
        <f>ROUNDUP(1500/1.13,2)</f>
        <v>1327.44</v>
      </c>
      <c r="J225" s="9">
        <f t="shared" si="37"/>
        <v>0</v>
      </c>
      <c r="K225" s="10">
        <f t="shared" si="38"/>
        <v>0</v>
      </c>
    </row>
    <row r="226" spans="1:11" ht="16.5" customHeight="1" x14ac:dyDescent="0.25">
      <c r="A226" s="14" t="s">
        <v>352</v>
      </c>
      <c r="B226" s="18" t="s">
        <v>397</v>
      </c>
      <c r="C226" s="10">
        <f>7350/1.13</f>
        <v>6504.424778761063</v>
      </c>
      <c r="D226" s="9">
        <f t="shared" si="36"/>
        <v>0</v>
      </c>
      <c r="E226" s="10">
        <f t="shared" si="39"/>
        <v>0</v>
      </c>
      <c r="G226" s="41"/>
      <c r="H226" s="18"/>
      <c r="I226" s="41"/>
      <c r="J226" s="9"/>
      <c r="K226" s="10"/>
    </row>
    <row r="227" spans="1:11" ht="16.5" customHeight="1" x14ac:dyDescent="0.25">
      <c r="A227" s="14" t="s">
        <v>392</v>
      </c>
      <c r="B227" s="18" t="s">
        <v>398</v>
      </c>
      <c r="C227" s="10">
        <f>9880/1.13</f>
        <v>8743.3628318584088</v>
      </c>
      <c r="D227" s="9">
        <f t="shared" si="36"/>
        <v>0</v>
      </c>
      <c r="E227" s="10">
        <f t="shared" si="39"/>
        <v>0</v>
      </c>
      <c r="G227" s="14" t="s">
        <v>392</v>
      </c>
      <c r="H227" s="18" t="s">
        <v>399</v>
      </c>
      <c r="I227" s="41">
        <f>ROUNDUP(8900/1.13,2)</f>
        <v>7876.1100000000006</v>
      </c>
      <c r="J227" s="9">
        <f t="shared" si="37"/>
        <v>0</v>
      </c>
      <c r="K227" s="10">
        <f t="shared" si="38"/>
        <v>0</v>
      </c>
    </row>
    <row r="228" spans="1:11" ht="16.5" customHeight="1" x14ac:dyDescent="0.25">
      <c r="A228" s="41"/>
      <c r="B228" s="18"/>
      <c r="C228" s="8"/>
      <c r="D228" s="9"/>
      <c r="E228" s="10"/>
      <c r="G228" s="14" t="s">
        <v>400</v>
      </c>
      <c r="H228" s="18" t="s">
        <v>401</v>
      </c>
      <c r="I228" s="69">
        <f>ROUNDUP(12900/1.13,2)</f>
        <v>11415.93</v>
      </c>
      <c r="J228" s="9">
        <f t="shared" si="37"/>
        <v>0</v>
      </c>
      <c r="K228" s="10">
        <f t="shared" si="38"/>
        <v>0</v>
      </c>
    </row>
    <row r="229" spans="1:11" ht="16.5" customHeight="1" x14ac:dyDescent="0.25">
      <c r="A229" s="14" t="s">
        <v>225</v>
      </c>
      <c r="B229" s="7" t="s">
        <v>402</v>
      </c>
      <c r="C229" s="8">
        <f>18613/1.13</f>
        <v>16471.681415929204</v>
      </c>
      <c r="D229" s="9">
        <f t="shared" ref="D229" si="40">M229</f>
        <v>0</v>
      </c>
      <c r="E229" s="10">
        <f t="shared" ref="E229" si="41">C229*D229</f>
        <v>0</v>
      </c>
      <c r="G229" s="41"/>
      <c r="H229" s="18"/>
      <c r="I229" s="41"/>
      <c r="J229" s="9"/>
      <c r="K229" s="10"/>
    </row>
    <row r="230" spans="1:11" ht="16.5" customHeight="1" x14ac:dyDescent="0.25">
      <c r="A230" s="14" t="s">
        <v>392</v>
      </c>
      <c r="B230" s="18" t="s">
        <v>403</v>
      </c>
      <c r="C230" s="10">
        <f>18500/1.13</f>
        <v>16371.681415929204</v>
      </c>
      <c r="D230" s="9">
        <f t="shared" si="36"/>
        <v>0</v>
      </c>
      <c r="E230" s="10">
        <f t="shared" si="39"/>
        <v>0</v>
      </c>
      <c r="G230" s="14" t="s">
        <v>392</v>
      </c>
      <c r="H230" s="18" t="s">
        <v>404</v>
      </c>
      <c r="I230" s="41">
        <f>ROUNDUP(13900/1.13,2)</f>
        <v>12300.89</v>
      </c>
      <c r="J230" s="9">
        <f t="shared" si="37"/>
        <v>0</v>
      </c>
      <c r="K230" s="10">
        <f t="shared" si="38"/>
        <v>0</v>
      </c>
    </row>
    <row r="231" spans="1:11" ht="16.5" customHeight="1" x14ac:dyDescent="0.25">
      <c r="A231" s="14" t="s">
        <v>225</v>
      </c>
      <c r="B231" s="7" t="s">
        <v>405</v>
      </c>
      <c r="C231" s="8">
        <f>19950/1.13</f>
        <v>17654.867256637172</v>
      </c>
      <c r="D231" s="9">
        <f t="shared" si="36"/>
        <v>0</v>
      </c>
      <c r="E231" s="10">
        <f t="shared" si="39"/>
        <v>0</v>
      </c>
      <c r="G231" s="41"/>
      <c r="H231" s="18"/>
      <c r="I231" s="41"/>
      <c r="J231" s="9"/>
      <c r="K231" s="10"/>
    </row>
    <row r="232" spans="1:11" ht="16.5" customHeight="1" x14ac:dyDescent="0.3">
      <c r="A232" s="14" t="s">
        <v>225</v>
      </c>
      <c r="B232" s="17" t="s">
        <v>406</v>
      </c>
      <c r="C232" s="43">
        <f>35225/1.13</f>
        <v>31172.56637168142</v>
      </c>
      <c r="D232" s="9">
        <f t="shared" si="36"/>
        <v>0</v>
      </c>
      <c r="E232" s="10">
        <f t="shared" si="39"/>
        <v>0</v>
      </c>
      <c r="G232" s="41"/>
      <c r="H232" s="18"/>
      <c r="I232" s="41"/>
      <c r="J232" s="9"/>
      <c r="K232" s="10"/>
    </row>
    <row r="233" spans="1:11" ht="16.5" customHeight="1" x14ac:dyDescent="0.25">
      <c r="A233" s="14" t="s">
        <v>352</v>
      </c>
      <c r="B233" s="18" t="s">
        <v>407</v>
      </c>
      <c r="C233" s="10">
        <f>33880/1.13</f>
        <v>29982.300884955755</v>
      </c>
      <c r="D233" s="9">
        <f t="shared" si="36"/>
        <v>0</v>
      </c>
      <c r="E233" s="10">
        <f t="shared" si="39"/>
        <v>0</v>
      </c>
      <c r="G233" s="41"/>
      <c r="H233" s="18"/>
      <c r="I233" s="41"/>
      <c r="J233" s="9"/>
      <c r="K233" s="10"/>
    </row>
    <row r="234" spans="1:11" ht="16.5" customHeight="1" x14ac:dyDescent="0.25">
      <c r="A234" s="14" t="s">
        <v>384</v>
      </c>
      <c r="B234" s="18" t="s">
        <v>408</v>
      </c>
      <c r="C234" s="10">
        <f>5985/1.13</f>
        <v>5296.4601769911505</v>
      </c>
      <c r="D234" s="9">
        <f t="shared" si="36"/>
        <v>0</v>
      </c>
      <c r="E234" s="10">
        <f t="shared" si="39"/>
        <v>0</v>
      </c>
      <c r="G234" s="41"/>
      <c r="H234" s="18"/>
      <c r="I234" s="41"/>
      <c r="J234" s="9"/>
      <c r="K234" s="10"/>
    </row>
    <row r="235" spans="1:11" ht="16.5" customHeight="1" x14ac:dyDescent="0.25">
      <c r="A235" s="14" t="s">
        <v>392</v>
      </c>
      <c r="B235" s="18" t="s">
        <v>409</v>
      </c>
      <c r="C235" s="10">
        <f>6498/1.13</f>
        <v>5750.4424778761068</v>
      </c>
      <c r="D235" s="9">
        <f t="shared" si="36"/>
        <v>0</v>
      </c>
      <c r="E235" s="10">
        <f t="shared" si="39"/>
        <v>0</v>
      </c>
      <c r="G235" s="14" t="s">
        <v>392</v>
      </c>
      <c r="H235" s="18" t="s">
        <v>410</v>
      </c>
      <c r="I235" s="41">
        <f>ROUNDUP(4300/1.13,2)</f>
        <v>3805.3100000000004</v>
      </c>
      <c r="J235" s="9">
        <f t="shared" si="37"/>
        <v>0</v>
      </c>
      <c r="K235" s="10">
        <f t="shared" si="38"/>
        <v>0</v>
      </c>
    </row>
    <row r="236" spans="1:11" ht="16.5" customHeight="1" x14ac:dyDescent="0.25">
      <c r="A236" s="14" t="s">
        <v>384</v>
      </c>
      <c r="B236" s="18" t="s">
        <v>411</v>
      </c>
      <c r="C236" s="10">
        <f>12996/1.13</f>
        <v>11500.884955752214</v>
      </c>
      <c r="D236" s="9">
        <f t="shared" si="36"/>
        <v>0</v>
      </c>
      <c r="E236" s="10">
        <f t="shared" si="39"/>
        <v>0</v>
      </c>
      <c r="G236" s="41"/>
      <c r="H236" s="18"/>
      <c r="I236" s="41"/>
      <c r="J236" s="9">
        <f t="shared" si="37"/>
        <v>0</v>
      </c>
      <c r="K236" s="10">
        <f t="shared" si="38"/>
        <v>0</v>
      </c>
    </row>
    <row r="237" spans="1:11" ht="16.5" customHeight="1" x14ac:dyDescent="0.25">
      <c r="A237" s="14" t="s">
        <v>392</v>
      </c>
      <c r="B237" s="18" t="s">
        <v>412</v>
      </c>
      <c r="C237" s="10">
        <f>19760/1.13</f>
        <v>17486.725663716818</v>
      </c>
      <c r="D237" s="9">
        <f t="shared" si="36"/>
        <v>0</v>
      </c>
      <c r="E237" s="10">
        <f t="shared" si="39"/>
        <v>0</v>
      </c>
      <c r="G237" s="14" t="s">
        <v>392</v>
      </c>
      <c r="H237" s="18" t="s">
        <v>413</v>
      </c>
      <c r="I237" s="41">
        <f>ROUNDUP(16000/1.13,2)</f>
        <v>14159.300000000001</v>
      </c>
      <c r="J237" s="9">
        <f t="shared" si="37"/>
        <v>0</v>
      </c>
      <c r="K237" s="10">
        <f t="shared" si="38"/>
        <v>0</v>
      </c>
    </row>
    <row r="238" spans="1:11" ht="16.5" customHeight="1" x14ac:dyDescent="0.25">
      <c r="A238" s="41"/>
      <c r="B238" s="18"/>
      <c r="C238" s="8"/>
      <c r="D238" s="9"/>
      <c r="E238" s="10"/>
      <c r="G238" s="14" t="s">
        <v>400</v>
      </c>
      <c r="H238" s="18" t="s">
        <v>414</v>
      </c>
      <c r="I238" s="70">
        <f>ROUNDUP(19750/1.13,2)</f>
        <v>17477.879999999997</v>
      </c>
      <c r="J238" s="70">
        <f>M240</f>
        <v>0</v>
      </c>
      <c r="K238" s="10">
        <f t="shared" si="38"/>
        <v>0</v>
      </c>
    </row>
    <row r="239" spans="1:11" ht="16.5" customHeight="1" x14ac:dyDescent="0.25">
      <c r="A239" s="14" t="s">
        <v>225</v>
      </c>
      <c r="B239" s="7" t="s">
        <v>415</v>
      </c>
      <c r="C239" s="8">
        <f>29450/1.13</f>
        <v>26061.946902654869</v>
      </c>
      <c r="D239" s="9">
        <f t="shared" ref="D239:D240" si="42">M239</f>
        <v>0</v>
      </c>
      <c r="E239" s="10">
        <f t="shared" ref="E239:E240" si="43">C239*D239</f>
        <v>0</v>
      </c>
      <c r="G239" s="41"/>
      <c r="H239" s="41"/>
      <c r="I239" s="41"/>
      <c r="J239" s="41"/>
      <c r="K239" s="41"/>
    </row>
    <row r="240" spans="1:11" ht="16.5" customHeight="1" x14ac:dyDescent="0.25">
      <c r="A240" s="14" t="s">
        <v>225</v>
      </c>
      <c r="B240" s="26" t="s">
        <v>416</v>
      </c>
      <c r="C240" s="8">
        <f>17575/1.13</f>
        <v>15553.097345132745</v>
      </c>
      <c r="D240" s="9">
        <f t="shared" si="42"/>
        <v>0</v>
      </c>
      <c r="E240" s="10">
        <f t="shared" si="43"/>
        <v>0</v>
      </c>
      <c r="G240" s="41"/>
      <c r="H240" s="41"/>
      <c r="I240" s="41"/>
      <c r="J240" s="41"/>
      <c r="K240" s="41"/>
    </row>
    <row r="241" spans="1:11" ht="16.5" customHeight="1" thickBot="1" x14ac:dyDescent="0.3"/>
    <row r="242" spans="1:11" ht="16.5" customHeight="1" thickBot="1" x14ac:dyDescent="0.3">
      <c r="A242" s="71"/>
      <c r="B242" s="72" t="s">
        <v>417</v>
      </c>
      <c r="C242" s="72"/>
      <c r="D242" s="72"/>
      <c r="E242" s="73">
        <f>SUM(E2:E241)</f>
        <v>0</v>
      </c>
      <c r="G242" s="71"/>
      <c r="H242" s="72" t="s">
        <v>417</v>
      </c>
      <c r="I242" s="72"/>
      <c r="J242" s="72"/>
      <c r="K242" s="73">
        <f>SUM(K2:K241)</f>
        <v>0</v>
      </c>
    </row>
    <row r="243" spans="1:11" ht="16.5" customHeight="1" x14ac:dyDescent="0.25">
      <c r="E243" s="74"/>
      <c r="K243" s="74"/>
    </row>
    <row r="244" spans="1:11" ht="16.5" customHeight="1" x14ac:dyDescent="0.25">
      <c r="E244" s="74"/>
      <c r="K244" s="74"/>
    </row>
    <row r="245" spans="1:11" ht="16.5" customHeight="1" x14ac:dyDescent="0.25">
      <c r="E245" s="74"/>
      <c r="K245" s="74"/>
    </row>
    <row r="246" spans="1:11" ht="16.5" customHeight="1" x14ac:dyDescent="0.25">
      <c r="E246" s="74"/>
      <c r="K246" s="74"/>
    </row>
    <row r="247" spans="1:11" ht="16.5" customHeight="1" x14ac:dyDescent="0.25">
      <c r="E247" s="74"/>
      <c r="K247" s="74"/>
    </row>
    <row r="248" spans="1:11" ht="16.5" customHeight="1" x14ac:dyDescent="0.25">
      <c r="E248" s="74"/>
      <c r="K248" s="74"/>
    </row>
    <row r="249" spans="1:11" ht="16.5" customHeight="1" x14ac:dyDescent="0.25">
      <c r="E249" s="74"/>
      <c r="K249" s="74"/>
    </row>
    <row r="250" spans="1:11" ht="16.5" customHeight="1" x14ac:dyDescent="0.25">
      <c r="E250" s="74"/>
      <c r="K250" s="74"/>
    </row>
    <row r="251" spans="1:11" ht="16.5" customHeight="1" x14ac:dyDescent="0.25">
      <c r="E251" s="74"/>
      <c r="K251" s="74"/>
    </row>
    <row r="252" spans="1:11" ht="16.5" customHeight="1" x14ac:dyDescent="0.25">
      <c r="E252" s="74"/>
      <c r="K252" s="74"/>
    </row>
    <row r="253" spans="1:11" ht="16.5" customHeight="1" x14ac:dyDescent="0.25">
      <c r="E253" s="74"/>
      <c r="K253" s="74"/>
    </row>
    <row r="254" spans="1:11" ht="16.5" customHeight="1" x14ac:dyDescent="0.25">
      <c r="E254" s="74"/>
      <c r="K254" s="74"/>
    </row>
    <row r="255" spans="1:11" ht="16.5" customHeight="1" x14ac:dyDescent="0.25">
      <c r="E255" s="74"/>
      <c r="K255" s="74"/>
    </row>
    <row r="256" spans="1:11" ht="16.5" customHeight="1" x14ac:dyDescent="0.25">
      <c r="E256" s="74"/>
      <c r="K256" s="74"/>
    </row>
    <row r="257" spans="1:12" ht="16.5" customHeight="1" x14ac:dyDescent="0.25">
      <c r="E257" s="74"/>
      <c r="K257" s="74"/>
      <c r="L257" s="75" t="s">
        <v>418</v>
      </c>
    </row>
    <row r="258" spans="1:12" ht="16.5" customHeight="1" x14ac:dyDescent="0.25">
      <c r="A258" s="28" t="s">
        <v>116</v>
      </c>
      <c r="B258" s="76" t="s">
        <v>419</v>
      </c>
      <c r="C258" s="76"/>
      <c r="D258" s="76"/>
      <c r="E258" s="76"/>
      <c r="F258" s="27"/>
      <c r="G258" s="28" t="s">
        <v>116</v>
      </c>
      <c r="H258" s="76" t="s">
        <v>419</v>
      </c>
      <c r="I258" s="76"/>
      <c r="J258" s="76"/>
      <c r="K258" s="76"/>
    </row>
    <row r="259" spans="1:12" ht="16.5" customHeight="1" x14ac:dyDescent="0.25">
      <c r="A259" s="28"/>
      <c r="B259" s="77" t="s">
        <v>420</v>
      </c>
      <c r="C259" s="78">
        <f>ROUND(980/1.13,2)</f>
        <v>867.26</v>
      </c>
      <c r="D259" s="79">
        <v>1</v>
      </c>
      <c r="E259" s="80">
        <f t="shared" ref="E259:E264" si="44">C259*D259</f>
        <v>867.26</v>
      </c>
      <c r="F259" s="27"/>
      <c r="G259" s="28"/>
      <c r="H259" s="81" t="s">
        <v>421</v>
      </c>
      <c r="I259" s="80">
        <f>ROUND(6500/1.13,2)</f>
        <v>5752.21</v>
      </c>
      <c r="J259" s="79">
        <v>1</v>
      </c>
      <c r="K259" s="80">
        <f>I259*J259</f>
        <v>5752.21</v>
      </c>
    </row>
    <row r="260" spans="1:12" ht="16.5" customHeight="1" x14ac:dyDescent="0.25">
      <c r="A260" s="28"/>
      <c r="B260" s="77" t="s">
        <v>422</v>
      </c>
      <c r="C260" s="78">
        <f>ROUND(348.65/1.13,2)</f>
        <v>308.54000000000002</v>
      </c>
      <c r="D260" s="79">
        <v>1</v>
      </c>
      <c r="E260" s="80">
        <f t="shared" si="44"/>
        <v>308.54000000000002</v>
      </c>
      <c r="F260" s="27"/>
      <c r="G260" s="28"/>
      <c r="H260" s="81" t="s">
        <v>423</v>
      </c>
      <c r="I260" s="80">
        <f>ROUND(370/1.13,2)</f>
        <v>327.43</v>
      </c>
      <c r="J260" s="79">
        <v>1</v>
      </c>
      <c r="K260" s="80">
        <f t="shared" ref="K260:K264" si="45">I260*J260</f>
        <v>327.43</v>
      </c>
    </row>
    <row r="261" spans="1:12" ht="16.5" customHeight="1" x14ac:dyDescent="0.25">
      <c r="A261" s="28"/>
      <c r="B261" s="77" t="s">
        <v>424</v>
      </c>
      <c r="C261" s="78">
        <f>ROUND(348.65/1.13,2)</f>
        <v>308.54000000000002</v>
      </c>
      <c r="D261" s="79">
        <v>1</v>
      </c>
      <c r="E261" s="80">
        <f t="shared" si="44"/>
        <v>308.54000000000002</v>
      </c>
      <c r="F261" s="27"/>
      <c r="G261" s="28"/>
      <c r="H261" s="81" t="s">
        <v>423</v>
      </c>
      <c r="I261" s="80">
        <f>ROUND(370/1.13,2)</f>
        <v>327.43</v>
      </c>
      <c r="J261" s="79">
        <v>1</v>
      </c>
      <c r="K261" s="80">
        <f t="shared" si="45"/>
        <v>327.43</v>
      </c>
    </row>
    <row r="262" spans="1:12" ht="16.5" customHeight="1" x14ac:dyDescent="0.25">
      <c r="A262" s="28"/>
      <c r="B262" s="77" t="s">
        <v>425</v>
      </c>
      <c r="C262" s="78">
        <f>ROUND(697.27/1.13,2)</f>
        <v>617.04999999999995</v>
      </c>
      <c r="D262" s="79">
        <v>2</v>
      </c>
      <c r="E262" s="80">
        <f t="shared" si="44"/>
        <v>1234.0999999999999</v>
      </c>
      <c r="F262" s="27"/>
      <c r="G262" s="28"/>
      <c r="H262" s="81" t="s">
        <v>42</v>
      </c>
      <c r="I262" s="80">
        <f>ROUND(370/1.13,2)</f>
        <v>327.43</v>
      </c>
      <c r="J262" s="79">
        <v>2</v>
      </c>
      <c r="K262" s="80">
        <f t="shared" si="45"/>
        <v>654.86</v>
      </c>
    </row>
    <row r="263" spans="1:12" ht="16.5" customHeight="1" x14ac:dyDescent="0.25">
      <c r="A263" s="28"/>
      <c r="B263" s="77" t="s">
        <v>426</v>
      </c>
      <c r="C263" s="78">
        <f>ROUND(889.07/1.13,2)</f>
        <v>786.79</v>
      </c>
      <c r="D263" s="79">
        <v>1</v>
      </c>
      <c r="E263" s="80">
        <f t="shared" si="44"/>
        <v>786.79</v>
      </c>
      <c r="F263" s="27"/>
      <c r="G263" s="28"/>
      <c r="H263" s="81" t="s">
        <v>427</v>
      </c>
      <c r="I263" s="80">
        <f>ROUND(1500/1.13,2)</f>
        <v>1327.43</v>
      </c>
      <c r="J263" s="79">
        <v>1</v>
      </c>
      <c r="K263" s="80">
        <f t="shared" si="45"/>
        <v>1327.43</v>
      </c>
    </row>
    <row r="264" spans="1:12" ht="16.5" customHeight="1" x14ac:dyDescent="0.25">
      <c r="A264" s="28"/>
      <c r="B264" s="77" t="s">
        <v>428</v>
      </c>
      <c r="C264" s="78">
        <f>ROUND(500/1.13,2)</f>
        <v>442.48</v>
      </c>
      <c r="D264" s="79">
        <v>1</v>
      </c>
      <c r="E264" s="80">
        <f t="shared" si="44"/>
        <v>442.48</v>
      </c>
      <c r="F264" s="27"/>
      <c r="G264" s="28"/>
      <c r="H264" s="81" t="s">
        <v>427</v>
      </c>
      <c r="I264" s="80">
        <f>ROUND(1500/1.13,2)</f>
        <v>1327.43</v>
      </c>
      <c r="J264" s="79">
        <v>1</v>
      </c>
      <c r="K264" s="80">
        <f t="shared" si="45"/>
        <v>1327.43</v>
      </c>
    </row>
    <row r="265" spans="1:12" ht="16.5" customHeight="1" x14ac:dyDescent="0.25"/>
    <row r="266" spans="1:12" ht="16.5" customHeight="1" x14ac:dyDescent="0.25"/>
    <row r="267" spans="1:12" ht="16.5" customHeight="1" x14ac:dyDescent="0.25">
      <c r="A267" s="6"/>
      <c r="B267" s="18" t="s">
        <v>429</v>
      </c>
      <c r="C267" s="8">
        <v>1415.9292035398232</v>
      </c>
      <c r="D267" s="9">
        <v>1</v>
      </c>
      <c r="E267" s="10">
        <f t="shared" ref="E267:E270" si="46">D267*C267</f>
        <v>1415.9292035398232</v>
      </c>
      <c r="F267" s="82" t="s">
        <v>430</v>
      </c>
    </row>
    <row r="268" spans="1:12" x14ac:dyDescent="0.25">
      <c r="A268" s="6" t="s">
        <v>274</v>
      </c>
      <c r="B268" s="18" t="s">
        <v>431</v>
      </c>
      <c r="C268" s="8">
        <v>2394.6210000000001</v>
      </c>
      <c r="D268" s="9">
        <v>3</v>
      </c>
      <c r="E268" s="10">
        <f t="shared" si="46"/>
        <v>7183.8630000000003</v>
      </c>
      <c r="F268" s="83"/>
    </row>
    <row r="269" spans="1:12" x14ac:dyDescent="0.25">
      <c r="A269" s="6" t="s">
        <v>165</v>
      </c>
      <c r="B269" s="18" t="s">
        <v>432</v>
      </c>
      <c r="C269" s="8">
        <v>897.86800000000005</v>
      </c>
      <c r="D269" s="9">
        <v>3</v>
      </c>
      <c r="E269" s="10">
        <f t="shared" si="46"/>
        <v>2693.6040000000003</v>
      </c>
      <c r="F269" s="83"/>
    </row>
    <row r="270" spans="1:12" x14ac:dyDescent="0.25">
      <c r="A270" s="6"/>
      <c r="B270" s="18" t="s">
        <v>433</v>
      </c>
      <c r="C270" s="8">
        <f>3280/1.13</f>
        <v>2902.6548672566373</v>
      </c>
      <c r="D270" s="9">
        <v>1</v>
      </c>
      <c r="E270" s="10">
        <f t="shared" si="46"/>
        <v>2902.6548672566373</v>
      </c>
      <c r="F270" s="84"/>
    </row>
    <row r="271" spans="1:12" x14ac:dyDescent="0.25">
      <c r="A271" s="6" t="s">
        <v>434</v>
      </c>
      <c r="B271" s="18" t="s">
        <v>435</v>
      </c>
      <c r="C271" s="8">
        <v>248.71799999999999</v>
      </c>
      <c r="D271" s="9">
        <v>6</v>
      </c>
      <c r="E271" s="10">
        <f>C271*D271</f>
        <v>1492.308</v>
      </c>
      <c r="F271" s="85" t="s">
        <v>436</v>
      </c>
    </row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</sheetData>
  <mergeCells count="3">
    <mergeCell ref="B258:E258"/>
    <mergeCell ref="H258:K258"/>
    <mergeCell ref="F267:F270"/>
  </mergeCells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China 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Zhengbing</dc:creator>
  <cp:lastModifiedBy>Zhu Zhengbing</cp:lastModifiedBy>
  <dcterms:created xsi:type="dcterms:W3CDTF">2026-05-11T08:45:46Z</dcterms:created>
  <dcterms:modified xsi:type="dcterms:W3CDTF">2026-05-11T08:46:39Z</dcterms:modified>
</cp:coreProperties>
</file>